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工作\PL\2026\"/>
    </mc:Choice>
  </mc:AlternateContent>
  <xr:revisionPtr revIDLastSave="0" documentId="13_ncr:1_{B6B888F7-3B95-4DDE-9B76-758838B5CE4D}" xr6:coauthVersionLast="47" xr6:coauthVersionMax="47" xr10:uidLastSave="{00000000-0000-0000-0000-000000000000}"/>
  <bookViews>
    <workbookView xWindow="-103" yWindow="-103" windowWidth="21806" windowHeight="13886" tabRatio="895" activeTab="5" xr2:uid="{00000000-000D-0000-FFFF-FFFF00000000}"/>
  </bookViews>
  <sheets>
    <sheet name="汇总-1月" sheetId="3" r:id="rId1"/>
    <sheet name="汇总-累计" sheetId="51" r:id="rId2"/>
    <sheet name="资管部" sheetId="119" state="hidden" r:id="rId3"/>
    <sheet name="汇总明细-1月" sheetId="1" r:id="rId4"/>
    <sheet name="汇总明细-累计" sheetId="50" r:id="rId5"/>
    <sheet name="当月-能耗" sheetId="52" r:id="rId6"/>
    <sheet name="累计-能耗" sheetId="53" r:id="rId7"/>
    <sheet name="当月排名取数" sheetId="114" state="hidden" r:id="rId8"/>
    <sheet name="累计排名取数" sheetId="117" state="hidden" r:id="rId9"/>
    <sheet name="新事业部" sheetId="46" state="hidden" r:id="rId10"/>
    <sheet name="汇总" sheetId="70" r:id="rId11"/>
    <sheet name="于洪" sheetId="99" r:id="rId12"/>
    <sheet name="滁州" sheetId="90" r:id="rId13"/>
    <sheet name="武汉" sheetId="86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12" hidden="1">滁州!$A$11:$AC$11</definedName>
    <definedName name="_xlnm._FilterDatabase" localSheetId="0" hidden="1">'汇总-1月'!$A$4:$AE$7</definedName>
    <definedName name="_xlnm._FilterDatabase" localSheetId="1" hidden="1">'汇总-累计'!$A$2:$AH$7</definedName>
    <definedName name="_xlnm._FilterDatabase" localSheetId="3" hidden="1">'汇总明细-1月'!$B$2:$AU$7</definedName>
    <definedName name="_xlnm._FilterDatabase" localSheetId="4" hidden="1">'汇总明细-累计'!$B$2:$BA$7</definedName>
    <definedName name="_xlnm._FilterDatabase" localSheetId="13" hidden="1">武汉!$A$11:$AC$11</definedName>
    <definedName name="_xlnm._FilterDatabase" localSheetId="11" hidden="1">于洪!$A$11:$AC$11</definedName>
    <definedName name="AccessDatabase" hidden="1">"C:\ncux\bud\rms_inv.mdb"</definedName>
    <definedName name="anscount" hidden="1">2</definedName>
    <definedName name="limcount" hidden="1">3</definedName>
    <definedName name="Recorder" hidden="1">#REF!</definedName>
    <definedName name="wrn.Internal._.Detail." localSheetId="12" hidden="1">{"IntDetail",#N/A,FALSE,"Reports";"IntSummary",#N/A,FALSE,"Reports"}</definedName>
    <definedName name="wrn.Internal._.Detail." localSheetId="13" hidden="1">{"IntDetail",#N/A,FALSE,"Reports";"IntSummary",#N/A,FALSE,"Reports"}</definedName>
    <definedName name="wrn.Internal._.Detail." localSheetId="11" hidden="1">{"IntDetail",#N/A,FALSE,"Reports";"IntSummary",#N/A,FALSE,"Reports"}</definedName>
    <definedName name="wrn.Internal._.Detail." hidden="1">{"IntDetail",#N/A,FALSE,"Reports";"IntSummary",#N/A,FALSE,"Reports"}</definedName>
    <definedName name="切片器_是否属三无消费">#N/A</definedName>
    <definedName name="切片器_姓名">#N/A</definedName>
    <definedName name="切片器_账龄区间">#N/A</definedName>
    <definedName name="切片器_账龄区间1">#N/A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Y5" i="1" l="1" a="1"/>
  <c r="BX5" i="1" a="1"/>
  <c r="BY6" i="1" a="1"/>
  <c r="BY7" i="1" a="1"/>
  <c r="BX5" i="1" l="1"/>
  <c r="BY7" i="1"/>
  <c r="BY5" i="1"/>
  <c r="BY6" i="1"/>
  <c r="M127" i="70"/>
  <c r="H118" i="70"/>
  <c r="H102" i="70"/>
  <c r="M80" i="70"/>
  <c r="M72" i="70"/>
  <c r="M54" i="70"/>
  <c r="M53" i="70"/>
  <c r="M32" i="70"/>
  <c r="H32" i="70"/>
  <c r="H147" i="70"/>
  <c r="M145" i="70"/>
  <c r="M112" i="70"/>
  <c r="M96" i="70"/>
  <c r="M93" i="70"/>
  <c r="M59" i="70"/>
  <c r="M55" i="70"/>
  <c r="H144" i="70"/>
  <c r="H92" i="70"/>
  <c r="R147" i="70"/>
  <c r="N98" i="70"/>
  <c r="R91" i="70"/>
  <c r="N79" i="70"/>
  <c r="R72" i="70"/>
  <c r="S72" i="70" s="1"/>
  <c r="N5" i="70"/>
  <c r="P146" i="70"/>
  <c r="N126" i="70"/>
  <c r="O126" i="70" s="1"/>
  <c r="K119" i="70"/>
  <c r="N23" i="70"/>
  <c r="N110" i="70"/>
  <c r="I110" i="70"/>
  <c r="R103" i="70"/>
  <c r="H100" i="70"/>
  <c r="R99" i="70"/>
  <c r="K99" i="70"/>
  <c r="R95" i="70"/>
  <c r="K95" i="70"/>
  <c r="N94" i="70"/>
  <c r="H81" i="70"/>
  <c r="R80" i="70"/>
  <c r="K80" i="70"/>
  <c r="P79" i="70"/>
  <c r="K76" i="70"/>
  <c r="I75" i="70"/>
  <c r="H73" i="70"/>
  <c r="R62" i="70"/>
  <c r="K62" i="70"/>
  <c r="H59" i="70"/>
  <c r="R58" i="70"/>
  <c r="K54" i="70"/>
  <c r="P53" i="70"/>
  <c r="H45" i="70"/>
  <c r="R44" i="70"/>
  <c r="K44" i="70"/>
  <c r="P43" i="70"/>
  <c r="AO5" i="46" s="1"/>
  <c r="AU5" i="46" s="1"/>
  <c r="N36" i="70"/>
  <c r="N32" i="70"/>
  <c r="I32" i="70"/>
  <c r="R6" i="70"/>
  <c r="K6" i="70"/>
  <c r="P5" i="70"/>
  <c r="AK159" i="86"/>
  <c r="AJ159" i="86"/>
  <c r="AI159" i="86"/>
  <c r="AH159" i="86"/>
  <c r="AG159" i="86"/>
  <c r="AF159" i="86"/>
  <c r="AE159" i="86"/>
  <c r="AD159" i="86"/>
  <c r="AC159" i="86"/>
  <c r="AB159" i="86"/>
  <c r="AA159" i="86"/>
  <c r="Z159" i="86"/>
  <c r="Y159" i="86"/>
  <c r="X159" i="86"/>
  <c r="W159" i="86"/>
  <c r="V159" i="86"/>
  <c r="U159" i="86"/>
  <c r="T159" i="86"/>
  <c r="S159" i="86"/>
  <c r="R159" i="86"/>
  <c r="Q159" i="86"/>
  <c r="P159" i="86"/>
  <c r="O159" i="86"/>
  <c r="N159" i="86"/>
  <c r="M159" i="86"/>
  <c r="L159" i="86"/>
  <c r="K159" i="86"/>
  <c r="J159" i="86"/>
  <c r="I159" i="86"/>
  <c r="H159" i="86"/>
  <c r="AK158" i="86"/>
  <c r="AJ158" i="86"/>
  <c r="AI158" i="86"/>
  <c r="AH158" i="86"/>
  <c r="AG158" i="86"/>
  <c r="AF158" i="86"/>
  <c r="AE158" i="86"/>
  <c r="AD158" i="86"/>
  <c r="AC158" i="86"/>
  <c r="AB158" i="86"/>
  <c r="AA158" i="86"/>
  <c r="Z158" i="86"/>
  <c r="Y158" i="86"/>
  <c r="X158" i="86"/>
  <c r="W158" i="86"/>
  <c r="V158" i="86"/>
  <c r="U158" i="86"/>
  <c r="T158" i="86"/>
  <c r="S158" i="86"/>
  <c r="R158" i="86"/>
  <c r="Q158" i="86"/>
  <c r="P158" i="86"/>
  <c r="O158" i="86"/>
  <c r="N158" i="86"/>
  <c r="M158" i="86"/>
  <c r="L158" i="86"/>
  <c r="K158" i="86"/>
  <c r="J158" i="86"/>
  <c r="I158" i="86"/>
  <c r="H158" i="86"/>
  <c r="G158" i="86"/>
  <c r="M153" i="86"/>
  <c r="L153" i="86"/>
  <c r="K153" i="86"/>
  <c r="J153" i="86"/>
  <c r="I153" i="86"/>
  <c r="H153" i="86"/>
  <c r="S148" i="86"/>
  <c r="R148" i="86"/>
  <c r="Q148" i="86"/>
  <c r="P148" i="86"/>
  <c r="O148" i="86"/>
  <c r="N148" i="86"/>
  <c r="M148" i="86"/>
  <c r="L148" i="86"/>
  <c r="K148" i="86"/>
  <c r="J148" i="86"/>
  <c r="I148" i="86"/>
  <c r="H148" i="86"/>
  <c r="S147" i="86"/>
  <c r="R147" i="86"/>
  <c r="Q147" i="86"/>
  <c r="P147" i="86"/>
  <c r="O147" i="86"/>
  <c r="N147" i="86"/>
  <c r="M147" i="86"/>
  <c r="L147" i="86"/>
  <c r="K147" i="86"/>
  <c r="J147" i="86"/>
  <c r="I147" i="86"/>
  <c r="H147" i="86"/>
  <c r="S146" i="86"/>
  <c r="R146" i="86"/>
  <c r="Q146" i="86"/>
  <c r="P146" i="86"/>
  <c r="O146" i="86"/>
  <c r="N146" i="86"/>
  <c r="M146" i="86"/>
  <c r="L146" i="86"/>
  <c r="K146" i="86"/>
  <c r="J146" i="86"/>
  <c r="I146" i="86"/>
  <c r="H146" i="86"/>
  <c r="S145" i="86"/>
  <c r="R145" i="86"/>
  <c r="Q145" i="86"/>
  <c r="P145" i="86"/>
  <c r="O145" i="86"/>
  <c r="N145" i="86"/>
  <c r="M145" i="86"/>
  <c r="L145" i="86"/>
  <c r="K145" i="86"/>
  <c r="J145" i="86"/>
  <c r="I145" i="86"/>
  <c r="H145" i="86"/>
  <c r="S144" i="86"/>
  <c r="R144" i="86"/>
  <c r="Q144" i="86"/>
  <c r="P144" i="86"/>
  <c r="O144" i="86"/>
  <c r="N144" i="86"/>
  <c r="M144" i="86"/>
  <c r="L144" i="86"/>
  <c r="K144" i="86"/>
  <c r="J144" i="86"/>
  <c r="I144" i="86"/>
  <c r="H144" i="86"/>
  <c r="S143" i="86"/>
  <c r="R143" i="86"/>
  <c r="Q143" i="86"/>
  <c r="P143" i="86"/>
  <c r="O143" i="86"/>
  <c r="N143" i="86"/>
  <c r="M143" i="86"/>
  <c r="L143" i="86"/>
  <c r="K143" i="86"/>
  <c r="J143" i="86"/>
  <c r="I143" i="86"/>
  <c r="H143" i="86"/>
  <c r="S142" i="86"/>
  <c r="R142" i="86"/>
  <c r="Q142" i="86"/>
  <c r="P142" i="86"/>
  <c r="O142" i="86"/>
  <c r="N142" i="86"/>
  <c r="M142" i="86"/>
  <c r="L142" i="86"/>
  <c r="K142" i="86"/>
  <c r="J142" i="86"/>
  <c r="I142" i="86"/>
  <c r="H142" i="86"/>
  <c r="S141" i="86"/>
  <c r="R141" i="86"/>
  <c r="Q141" i="86"/>
  <c r="P141" i="86"/>
  <c r="O141" i="86"/>
  <c r="N141" i="86"/>
  <c r="M141" i="86"/>
  <c r="L141" i="86"/>
  <c r="K141" i="86"/>
  <c r="J141" i="86"/>
  <c r="I141" i="86"/>
  <c r="H141" i="86"/>
  <c r="S140" i="86"/>
  <c r="R140" i="86"/>
  <c r="Q140" i="86"/>
  <c r="P140" i="86"/>
  <c r="O140" i="86"/>
  <c r="N140" i="86"/>
  <c r="M140" i="86"/>
  <c r="L140" i="86"/>
  <c r="K140" i="86"/>
  <c r="J140" i="86"/>
  <c r="I140" i="86"/>
  <c r="H140" i="86"/>
  <c r="S135" i="86"/>
  <c r="R135" i="86"/>
  <c r="Q135" i="86"/>
  <c r="P135" i="86"/>
  <c r="O135" i="86"/>
  <c r="N135" i="86"/>
  <c r="M135" i="86"/>
  <c r="L135" i="86"/>
  <c r="K135" i="86"/>
  <c r="J135" i="86"/>
  <c r="I135" i="86"/>
  <c r="H135" i="86"/>
  <c r="S134" i="86"/>
  <c r="R134" i="86"/>
  <c r="Q134" i="86"/>
  <c r="P134" i="86"/>
  <c r="O134" i="86"/>
  <c r="N134" i="86"/>
  <c r="M134" i="86"/>
  <c r="L134" i="86"/>
  <c r="K134" i="86"/>
  <c r="J134" i="86"/>
  <c r="I134" i="86"/>
  <c r="H134" i="86"/>
  <c r="S133" i="86"/>
  <c r="R133" i="86"/>
  <c r="Q133" i="86"/>
  <c r="P133" i="86"/>
  <c r="O133" i="86"/>
  <c r="N133" i="86"/>
  <c r="M133" i="86"/>
  <c r="L133" i="86"/>
  <c r="K133" i="86"/>
  <c r="J133" i="86"/>
  <c r="I133" i="86"/>
  <c r="H133" i="86"/>
  <c r="S132" i="86"/>
  <c r="R132" i="86"/>
  <c r="Q132" i="86"/>
  <c r="P132" i="86"/>
  <c r="O132" i="86"/>
  <c r="N132" i="86"/>
  <c r="M132" i="86"/>
  <c r="L132" i="86"/>
  <c r="K132" i="86"/>
  <c r="J132" i="86"/>
  <c r="I132" i="86"/>
  <c r="H132" i="86"/>
  <c r="S131" i="86"/>
  <c r="R131" i="86"/>
  <c r="Q131" i="86"/>
  <c r="P131" i="86"/>
  <c r="O131" i="86"/>
  <c r="N131" i="86"/>
  <c r="M131" i="86"/>
  <c r="L131" i="86"/>
  <c r="K131" i="86"/>
  <c r="J131" i="86"/>
  <c r="I131" i="86"/>
  <c r="H131" i="86"/>
  <c r="S130" i="86"/>
  <c r="R130" i="86"/>
  <c r="Q130" i="86"/>
  <c r="P130" i="86"/>
  <c r="O130" i="86"/>
  <c r="N130" i="86"/>
  <c r="M130" i="86"/>
  <c r="L130" i="86"/>
  <c r="K130" i="86"/>
  <c r="J130" i="86"/>
  <c r="I130" i="86"/>
  <c r="H130" i="86"/>
  <c r="S129" i="86"/>
  <c r="R129" i="86"/>
  <c r="Q129" i="86"/>
  <c r="P129" i="86"/>
  <c r="O129" i="86"/>
  <c r="N129" i="86"/>
  <c r="M129" i="86"/>
  <c r="L129" i="86"/>
  <c r="K129" i="86"/>
  <c r="J129" i="86"/>
  <c r="I129" i="86"/>
  <c r="H129" i="86"/>
  <c r="S128" i="86"/>
  <c r="R128" i="86"/>
  <c r="Q128" i="86"/>
  <c r="P128" i="86"/>
  <c r="O128" i="86"/>
  <c r="N128" i="86"/>
  <c r="M128" i="86"/>
  <c r="L128" i="86"/>
  <c r="K128" i="86"/>
  <c r="J128" i="86"/>
  <c r="I128" i="86"/>
  <c r="H128" i="86"/>
  <c r="S127" i="86"/>
  <c r="R127" i="86"/>
  <c r="Q127" i="86"/>
  <c r="P127" i="86"/>
  <c r="O127" i="86"/>
  <c r="N127" i="86"/>
  <c r="M127" i="86"/>
  <c r="L127" i="86"/>
  <c r="K127" i="86"/>
  <c r="J127" i="86"/>
  <c r="I127" i="86"/>
  <c r="H127" i="86"/>
  <c r="S126" i="86"/>
  <c r="R126" i="86"/>
  <c r="Q126" i="86"/>
  <c r="P126" i="86"/>
  <c r="O126" i="86"/>
  <c r="N126" i="86"/>
  <c r="M126" i="86"/>
  <c r="L126" i="86"/>
  <c r="K126" i="86"/>
  <c r="J126" i="86"/>
  <c r="I126" i="86"/>
  <c r="H126" i="86"/>
  <c r="S125" i="86"/>
  <c r="R125" i="86"/>
  <c r="Q125" i="86"/>
  <c r="P125" i="86"/>
  <c r="O125" i="86"/>
  <c r="N125" i="86"/>
  <c r="M125" i="86"/>
  <c r="L125" i="86"/>
  <c r="K125" i="86"/>
  <c r="J125" i="86"/>
  <c r="I125" i="86"/>
  <c r="H125" i="86"/>
  <c r="S124" i="86"/>
  <c r="R124" i="86"/>
  <c r="Q124" i="86"/>
  <c r="P124" i="86"/>
  <c r="O124" i="86"/>
  <c r="N124" i="86"/>
  <c r="M124" i="86"/>
  <c r="L124" i="86"/>
  <c r="K124" i="86"/>
  <c r="J124" i="86"/>
  <c r="I124" i="86"/>
  <c r="H124" i="86"/>
  <c r="S123" i="86"/>
  <c r="R123" i="86"/>
  <c r="Q123" i="86"/>
  <c r="P123" i="86"/>
  <c r="O123" i="86"/>
  <c r="N123" i="86"/>
  <c r="M123" i="86"/>
  <c r="L123" i="86"/>
  <c r="K123" i="86"/>
  <c r="J123" i="86"/>
  <c r="I123" i="86"/>
  <c r="H123" i="86"/>
  <c r="S122" i="86"/>
  <c r="R122" i="86"/>
  <c r="Q122" i="86"/>
  <c r="P122" i="86"/>
  <c r="O122" i="86"/>
  <c r="N122" i="86"/>
  <c r="M122" i="86"/>
  <c r="L122" i="86"/>
  <c r="K122" i="86"/>
  <c r="J122" i="86"/>
  <c r="I122" i="86"/>
  <c r="H122" i="86"/>
  <c r="S121" i="86"/>
  <c r="R121" i="86"/>
  <c r="Q121" i="86"/>
  <c r="P121" i="86"/>
  <c r="O121" i="86"/>
  <c r="N121" i="86"/>
  <c r="M121" i="86"/>
  <c r="L121" i="86"/>
  <c r="K121" i="86"/>
  <c r="J121" i="86"/>
  <c r="I121" i="86"/>
  <c r="H121" i="86"/>
  <c r="S120" i="86"/>
  <c r="R120" i="86"/>
  <c r="Q120" i="86"/>
  <c r="P120" i="86"/>
  <c r="O120" i="86"/>
  <c r="N120" i="86"/>
  <c r="M120" i="86"/>
  <c r="L120" i="86"/>
  <c r="K120" i="86"/>
  <c r="J120" i="86"/>
  <c r="I120" i="86"/>
  <c r="H120" i="86"/>
  <c r="S119" i="86"/>
  <c r="R119" i="86"/>
  <c r="Q119" i="86"/>
  <c r="P119" i="86"/>
  <c r="O119" i="86"/>
  <c r="N119" i="86"/>
  <c r="M119" i="86"/>
  <c r="L119" i="86"/>
  <c r="K119" i="86"/>
  <c r="J119" i="86"/>
  <c r="I119" i="86"/>
  <c r="H119" i="86"/>
  <c r="S118" i="86"/>
  <c r="R118" i="86"/>
  <c r="Q118" i="86"/>
  <c r="P118" i="86"/>
  <c r="O118" i="86"/>
  <c r="N118" i="86"/>
  <c r="M118" i="86"/>
  <c r="L118" i="86"/>
  <c r="K118" i="86"/>
  <c r="J118" i="86"/>
  <c r="I118" i="86"/>
  <c r="H118" i="86"/>
  <c r="S117" i="86"/>
  <c r="R117" i="86"/>
  <c r="Q117" i="86"/>
  <c r="P117" i="86"/>
  <c r="O117" i="86"/>
  <c r="N117" i="86"/>
  <c r="M117" i="86"/>
  <c r="L117" i="86"/>
  <c r="K117" i="86"/>
  <c r="J117" i="86"/>
  <c r="I117" i="86"/>
  <c r="H117" i="86"/>
  <c r="S116" i="86"/>
  <c r="R116" i="86"/>
  <c r="Q116" i="86"/>
  <c r="P116" i="86"/>
  <c r="O116" i="86"/>
  <c r="N116" i="86"/>
  <c r="M116" i="86"/>
  <c r="L116" i="86"/>
  <c r="K116" i="86"/>
  <c r="J116" i="86"/>
  <c r="I116" i="86"/>
  <c r="H116" i="86"/>
  <c r="S115" i="86"/>
  <c r="R115" i="86"/>
  <c r="Q115" i="86"/>
  <c r="P115" i="86"/>
  <c r="O115" i="86"/>
  <c r="N115" i="86"/>
  <c r="M115" i="86"/>
  <c r="L115" i="86"/>
  <c r="K115" i="86"/>
  <c r="J115" i="86"/>
  <c r="I115" i="86"/>
  <c r="H115" i="86"/>
  <c r="S114" i="86"/>
  <c r="R114" i="86"/>
  <c r="Q114" i="86"/>
  <c r="P114" i="86"/>
  <c r="O114" i="86"/>
  <c r="N114" i="86"/>
  <c r="M114" i="86"/>
  <c r="L114" i="86"/>
  <c r="K114" i="86"/>
  <c r="J114" i="86"/>
  <c r="I114" i="86"/>
  <c r="H114" i="86"/>
  <c r="S113" i="86"/>
  <c r="R113" i="86"/>
  <c r="Q113" i="86"/>
  <c r="P113" i="86"/>
  <c r="O113" i="86"/>
  <c r="N113" i="86"/>
  <c r="M113" i="86"/>
  <c r="L113" i="86"/>
  <c r="K113" i="86"/>
  <c r="J113" i="86"/>
  <c r="I113" i="86"/>
  <c r="H113" i="86"/>
  <c r="S112" i="86"/>
  <c r="R112" i="86"/>
  <c r="Q112" i="86"/>
  <c r="P112" i="86"/>
  <c r="O112" i="86"/>
  <c r="N112" i="86"/>
  <c r="M112" i="86"/>
  <c r="L112" i="86"/>
  <c r="K112" i="86"/>
  <c r="J112" i="86"/>
  <c r="I112" i="86"/>
  <c r="H112" i="86"/>
  <c r="S111" i="86"/>
  <c r="R111" i="86"/>
  <c r="Q111" i="86"/>
  <c r="P111" i="86"/>
  <c r="O111" i="86"/>
  <c r="N111" i="86"/>
  <c r="M111" i="86"/>
  <c r="L111" i="86"/>
  <c r="K111" i="86"/>
  <c r="J111" i="86"/>
  <c r="I111" i="86"/>
  <c r="H111" i="86"/>
  <c r="S110" i="86"/>
  <c r="R110" i="86"/>
  <c r="Q110" i="86"/>
  <c r="P110" i="86"/>
  <c r="O110" i="86"/>
  <c r="N110" i="86"/>
  <c r="M110" i="86"/>
  <c r="L110" i="86"/>
  <c r="K110" i="86"/>
  <c r="J110" i="86"/>
  <c r="I110" i="86"/>
  <c r="H110" i="86"/>
  <c r="S109" i="86"/>
  <c r="R109" i="86"/>
  <c r="Q109" i="86"/>
  <c r="P109" i="86"/>
  <c r="O109" i="86"/>
  <c r="N109" i="86"/>
  <c r="M109" i="86"/>
  <c r="L109" i="86"/>
  <c r="K109" i="86"/>
  <c r="J109" i="86"/>
  <c r="I109" i="86"/>
  <c r="H109" i="86"/>
  <c r="S108" i="86"/>
  <c r="R108" i="86"/>
  <c r="Q108" i="86"/>
  <c r="P108" i="86"/>
  <c r="O108" i="86"/>
  <c r="N108" i="86"/>
  <c r="M108" i="86"/>
  <c r="L108" i="86"/>
  <c r="K108" i="86"/>
  <c r="J108" i="86"/>
  <c r="I108" i="86"/>
  <c r="H108" i="86"/>
  <c r="S107" i="86"/>
  <c r="R107" i="86"/>
  <c r="Q107" i="86"/>
  <c r="P107" i="86"/>
  <c r="O107" i="86"/>
  <c r="N107" i="86"/>
  <c r="M107" i="86"/>
  <c r="L107" i="86"/>
  <c r="K107" i="86"/>
  <c r="J107" i="86"/>
  <c r="I107" i="86"/>
  <c r="H107" i="86"/>
  <c r="S106" i="86"/>
  <c r="R106" i="86"/>
  <c r="Q106" i="86"/>
  <c r="P106" i="86"/>
  <c r="O106" i="86"/>
  <c r="N106" i="86"/>
  <c r="M106" i="86"/>
  <c r="L106" i="86"/>
  <c r="K106" i="86"/>
  <c r="J106" i="86"/>
  <c r="I106" i="86"/>
  <c r="H106" i="86"/>
  <c r="S105" i="86"/>
  <c r="R105" i="86"/>
  <c r="Q105" i="86"/>
  <c r="P105" i="86"/>
  <c r="O105" i="86"/>
  <c r="N105" i="86"/>
  <c r="M105" i="86"/>
  <c r="L105" i="86"/>
  <c r="K105" i="86"/>
  <c r="J105" i="86"/>
  <c r="I105" i="86"/>
  <c r="H105" i="86"/>
  <c r="S104" i="86"/>
  <c r="R104" i="86"/>
  <c r="Q104" i="86"/>
  <c r="P104" i="86"/>
  <c r="O104" i="86"/>
  <c r="N104" i="86"/>
  <c r="M104" i="86"/>
  <c r="L104" i="86"/>
  <c r="K104" i="86"/>
  <c r="J104" i="86"/>
  <c r="I104" i="86"/>
  <c r="H104" i="86"/>
  <c r="S103" i="86"/>
  <c r="R103" i="86"/>
  <c r="Q103" i="86"/>
  <c r="P103" i="86"/>
  <c r="O103" i="86"/>
  <c r="N103" i="86"/>
  <c r="M103" i="86"/>
  <c r="L103" i="86"/>
  <c r="K103" i="86"/>
  <c r="J103" i="86"/>
  <c r="I103" i="86"/>
  <c r="H103" i="86"/>
  <c r="S102" i="86"/>
  <c r="R102" i="86"/>
  <c r="Q102" i="86"/>
  <c r="P102" i="86"/>
  <c r="O102" i="86"/>
  <c r="N102" i="86"/>
  <c r="M102" i="86"/>
  <c r="L102" i="86"/>
  <c r="K102" i="86"/>
  <c r="J102" i="86"/>
  <c r="I102" i="86"/>
  <c r="H102" i="86"/>
  <c r="S101" i="86"/>
  <c r="R101" i="86"/>
  <c r="Q101" i="86"/>
  <c r="P101" i="86"/>
  <c r="O101" i="86"/>
  <c r="N101" i="86"/>
  <c r="M101" i="86"/>
  <c r="L101" i="86"/>
  <c r="K101" i="86"/>
  <c r="J101" i="86"/>
  <c r="I101" i="86"/>
  <c r="H101" i="86"/>
  <c r="S100" i="86"/>
  <c r="R100" i="86"/>
  <c r="Q100" i="86"/>
  <c r="P100" i="86"/>
  <c r="O100" i="86"/>
  <c r="N100" i="86"/>
  <c r="M100" i="86"/>
  <c r="L100" i="86"/>
  <c r="K100" i="86"/>
  <c r="J100" i="86"/>
  <c r="I100" i="86"/>
  <c r="H100" i="86"/>
  <c r="S99" i="86"/>
  <c r="R99" i="86"/>
  <c r="Q99" i="86"/>
  <c r="P99" i="86"/>
  <c r="O99" i="86"/>
  <c r="N99" i="86"/>
  <c r="M99" i="86"/>
  <c r="L99" i="86"/>
  <c r="K99" i="86"/>
  <c r="J99" i="86"/>
  <c r="I99" i="86"/>
  <c r="H99" i="86"/>
  <c r="S98" i="86"/>
  <c r="R98" i="86"/>
  <c r="Q98" i="86"/>
  <c r="P98" i="86"/>
  <c r="O98" i="86"/>
  <c r="N98" i="86"/>
  <c r="M98" i="86"/>
  <c r="L98" i="86"/>
  <c r="K98" i="86"/>
  <c r="J98" i="86"/>
  <c r="I98" i="86"/>
  <c r="H98" i="86"/>
  <c r="S97" i="86"/>
  <c r="R97" i="86"/>
  <c r="Q97" i="86"/>
  <c r="P97" i="86"/>
  <c r="O97" i="86"/>
  <c r="N97" i="86"/>
  <c r="M97" i="86"/>
  <c r="L97" i="86"/>
  <c r="K97" i="86"/>
  <c r="J97" i="86"/>
  <c r="I97" i="86"/>
  <c r="H97" i="86"/>
  <c r="S96" i="86"/>
  <c r="R96" i="86"/>
  <c r="Q96" i="86"/>
  <c r="P96" i="86"/>
  <c r="O96" i="86"/>
  <c r="N96" i="86"/>
  <c r="M96" i="86"/>
  <c r="L96" i="86"/>
  <c r="K96" i="86"/>
  <c r="J96" i="86"/>
  <c r="I96" i="86"/>
  <c r="H96" i="86"/>
  <c r="S95" i="86"/>
  <c r="R95" i="86"/>
  <c r="Q95" i="86"/>
  <c r="P95" i="86"/>
  <c r="O95" i="86"/>
  <c r="N95" i="86"/>
  <c r="M95" i="86"/>
  <c r="L95" i="86"/>
  <c r="K95" i="86"/>
  <c r="J95" i="86"/>
  <c r="I95" i="86"/>
  <c r="H95" i="86"/>
  <c r="S94" i="86"/>
  <c r="R94" i="86"/>
  <c r="Q94" i="86"/>
  <c r="P94" i="86"/>
  <c r="O94" i="86"/>
  <c r="N94" i="86"/>
  <c r="M94" i="86"/>
  <c r="L94" i="86"/>
  <c r="K94" i="86"/>
  <c r="J94" i="86"/>
  <c r="I94" i="86"/>
  <c r="H94" i="86"/>
  <c r="S93" i="86"/>
  <c r="R93" i="86"/>
  <c r="Q93" i="86"/>
  <c r="P93" i="86"/>
  <c r="O93" i="86"/>
  <c r="N93" i="86"/>
  <c r="M93" i="86"/>
  <c r="L93" i="86"/>
  <c r="K93" i="86"/>
  <c r="J93" i="86"/>
  <c r="I93" i="86"/>
  <c r="H93" i="86"/>
  <c r="S92" i="86"/>
  <c r="R92" i="86"/>
  <c r="Q92" i="86"/>
  <c r="P92" i="86"/>
  <c r="O92" i="86"/>
  <c r="N92" i="86"/>
  <c r="M92" i="86"/>
  <c r="L92" i="86"/>
  <c r="K92" i="86"/>
  <c r="J92" i="86"/>
  <c r="I92" i="86"/>
  <c r="H92" i="86"/>
  <c r="S91" i="86"/>
  <c r="R91" i="86"/>
  <c r="Q91" i="86"/>
  <c r="P91" i="86"/>
  <c r="O91" i="86"/>
  <c r="N91" i="86"/>
  <c r="M91" i="86"/>
  <c r="L91" i="86"/>
  <c r="K91" i="86"/>
  <c r="J91" i="86"/>
  <c r="I91" i="86"/>
  <c r="H91" i="86"/>
  <c r="S90" i="86"/>
  <c r="R90" i="86"/>
  <c r="Q90" i="86"/>
  <c r="P90" i="86"/>
  <c r="O90" i="86"/>
  <c r="N90" i="86"/>
  <c r="M90" i="86"/>
  <c r="L90" i="86"/>
  <c r="K90" i="86"/>
  <c r="J90" i="86"/>
  <c r="I90" i="86"/>
  <c r="H90" i="86"/>
  <c r="S87" i="86"/>
  <c r="R87" i="86"/>
  <c r="Q87" i="86"/>
  <c r="P87" i="86"/>
  <c r="O87" i="86"/>
  <c r="N87" i="86"/>
  <c r="M87" i="86"/>
  <c r="L87" i="86"/>
  <c r="K87" i="86"/>
  <c r="J87" i="86"/>
  <c r="I87" i="86"/>
  <c r="H87" i="86"/>
  <c r="S86" i="86"/>
  <c r="R86" i="86"/>
  <c r="Q86" i="86"/>
  <c r="P86" i="86"/>
  <c r="O86" i="86"/>
  <c r="N86" i="86"/>
  <c r="M86" i="86"/>
  <c r="L86" i="86"/>
  <c r="K86" i="86"/>
  <c r="J86" i="86"/>
  <c r="I86" i="86"/>
  <c r="H86" i="86"/>
  <c r="S85" i="86"/>
  <c r="R85" i="86"/>
  <c r="Q85" i="86"/>
  <c r="P85" i="86"/>
  <c r="O85" i="86"/>
  <c r="N85" i="86"/>
  <c r="M85" i="86"/>
  <c r="L85" i="86"/>
  <c r="K85" i="86"/>
  <c r="J85" i="86"/>
  <c r="I85" i="86"/>
  <c r="H85" i="86"/>
  <c r="S83" i="86"/>
  <c r="R83" i="86"/>
  <c r="Q83" i="86"/>
  <c r="P83" i="86"/>
  <c r="O83" i="86"/>
  <c r="N83" i="86"/>
  <c r="M83" i="86"/>
  <c r="L83" i="86"/>
  <c r="K83" i="86"/>
  <c r="J83" i="86"/>
  <c r="I83" i="86"/>
  <c r="H83" i="86"/>
  <c r="S82" i="86"/>
  <c r="R82" i="86"/>
  <c r="Q82" i="86"/>
  <c r="P82" i="86"/>
  <c r="O82" i="86"/>
  <c r="N82" i="86"/>
  <c r="M82" i="86"/>
  <c r="L82" i="86"/>
  <c r="K82" i="86"/>
  <c r="J82" i="86"/>
  <c r="I82" i="86"/>
  <c r="H82" i="86"/>
  <c r="S81" i="86"/>
  <c r="R81" i="86"/>
  <c r="Q81" i="86"/>
  <c r="P81" i="86"/>
  <c r="O81" i="86"/>
  <c r="N81" i="86"/>
  <c r="M81" i="86"/>
  <c r="L81" i="86"/>
  <c r="K81" i="86"/>
  <c r="J81" i="86"/>
  <c r="I81" i="86"/>
  <c r="H81" i="86"/>
  <c r="S80" i="86"/>
  <c r="R80" i="86"/>
  <c r="Q80" i="86"/>
  <c r="P80" i="86"/>
  <c r="O80" i="86"/>
  <c r="N80" i="86"/>
  <c r="M80" i="86"/>
  <c r="L80" i="86"/>
  <c r="K80" i="86"/>
  <c r="J80" i="86"/>
  <c r="I80" i="86"/>
  <c r="H80" i="86"/>
  <c r="S79" i="86"/>
  <c r="R79" i="86"/>
  <c r="Q79" i="86"/>
  <c r="P79" i="86"/>
  <c r="O79" i="86"/>
  <c r="N79" i="86"/>
  <c r="M79" i="86"/>
  <c r="L79" i="86"/>
  <c r="K79" i="86"/>
  <c r="J79" i="86"/>
  <c r="I79" i="86"/>
  <c r="H79" i="86"/>
  <c r="S78" i="86"/>
  <c r="R78" i="86"/>
  <c r="Q78" i="86"/>
  <c r="P78" i="86"/>
  <c r="O78" i="86"/>
  <c r="N78" i="86"/>
  <c r="M78" i="86"/>
  <c r="L78" i="86"/>
  <c r="K78" i="86"/>
  <c r="J78" i="86"/>
  <c r="I78" i="86"/>
  <c r="H78" i="86"/>
  <c r="S77" i="86"/>
  <c r="R77" i="86"/>
  <c r="Q77" i="86"/>
  <c r="P77" i="86"/>
  <c r="O77" i="86"/>
  <c r="N77" i="86"/>
  <c r="M77" i="86"/>
  <c r="L77" i="86"/>
  <c r="K77" i="86"/>
  <c r="J77" i="86"/>
  <c r="I77" i="86"/>
  <c r="H77" i="86"/>
  <c r="S76" i="86"/>
  <c r="R76" i="86"/>
  <c r="Q76" i="86"/>
  <c r="P76" i="86"/>
  <c r="O76" i="86"/>
  <c r="N76" i="86"/>
  <c r="M76" i="86"/>
  <c r="L76" i="86"/>
  <c r="K76" i="86"/>
  <c r="J76" i="86"/>
  <c r="I76" i="86"/>
  <c r="H76" i="86"/>
  <c r="S75" i="86"/>
  <c r="R75" i="86"/>
  <c r="Q75" i="86"/>
  <c r="P75" i="86"/>
  <c r="O75" i="86"/>
  <c r="N75" i="86"/>
  <c r="M75" i="86"/>
  <c r="L75" i="86"/>
  <c r="K75" i="86"/>
  <c r="J75" i="86"/>
  <c r="I75" i="86"/>
  <c r="H75" i="86"/>
  <c r="S74" i="86"/>
  <c r="R74" i="86"/>
  <c r="Q74" i="86"/>
  <c r="P74" i="86"/>
  <c r="O74" i="86"/>
  <c r="N74" i="86"/>
  <c r="M74" i="86"/>
  <c r="L74" i="86"/>
  <c r="K74" i="86"/>
  <c r="J74" i="86"/>
  <c r="I74" i="86"/>
  <c r="H74" i="86"/>
  <c r="S73" i="86"/>
  <c r="R73" i="86"/>
  <c r="Q73" i="86"/>
  <c r="P73" i="86"/>
  <c r="O73" i="86"/>
  <c r="N73" i="86"/>
  <c r="M73" i="86"/>
  <c r="L73" i="86"/>
  <c r="K73" i="86"/>
  <c r="J73" i="86"/>
  <c r="I73" i="86"/>
  <c r="H73" i="86"/>
  <c r="S72" i="86"/>
  <c r="R72" i="86"/>
  <c r="Q72" i="86"/>
  <c r="P72" i="86"/>
  <c r="O72" i="86"/>
  <c r="N72" i="86"/>
  <c r="M72" i="86"/>
  <c r="L72" i="86"/>
  <c r="K72" i="86"/>
  <c r="J72" i="86"/>
  <c r="I72" i="86"/>
  <c r="H72" i="86"/>
  <c r="S71" i="86"/>
  <c r="R71" i="86"/>
  <c r="Q71" i="86"/>
  <c r="P71" i="86"/>
  <c r="O71" i="86"/>
  <c r="N71" i="86"/>
  <c r="M71" i="86"/>
  <c r="L71" i="86"/>
  <c r="K71" i="86"/>
  <c r="J71" i="86"/>
  <c r="I71" i="86"/>
  <c r="H71" i="86"/>
  <c r="S70" i="86"/>
  <c r="R70" i="86"/>
  <c r="Q70" i="86"/>
  <c r="P70" i="86"/>
  <c r="O70" i="86"/>
  <c r="N70" i="86"/>
  <c r="M70" i="86"/>
  <c r="L70" i="86"/>
  <c r="K70" i="86"/>
  <c r="J70" i="86"/>
  <c r="I70" i="86"/>
  <c r="H70" i="86"/>
  <c r="S69" i="86"/>
  <c r="R69" i="86"/>
  <c r="Q69" i="86"/>
  <c r="P69" i="86"/>
  <c r="O69" i="86"/>
  <c r="N69" i="86"/>
  <c r="M69" i="86"/>
  <c r="L69" i="86"/>
  <c r="K69" i="86"/>
  <c r="J69" i="86"/>
  <c r="I69" i="86"/>
  <c r="H69" i="86"/>
  <c r="S66" i="86"/>
  <c r="R66" i="86"/>
  <c r="Q66" i="86"/>
  <c r="P66" i="86"/>
  <c r="O66" i="86"/>
  <c r="N66" i="86"/>
  <c r="M66" i="86"/>
  <c r="L66" i="86"/>
  <c r="K66" i="86"/>
  <c r="J66" i="86"/>
  <c r="I66" i="86"/>
  <c r="H66" i="86"/>
  <c r="S65" i="86"/>
  <c r="R65" i="86"/>
  <c r="Q65" i="86"/>
  <c r="P65" i="86"/>
  <c r="O65" i="86"/>
  <c r="N65" i="86"/>
  <c r="M65" i="86"/>
  <c r="L65" i="86"/>
  <c r="K65" i="86"/>
  <c r="J65" i="86"/>
  <c r="I65" i="86"/>
  <c r="H65" i="86"/>
  <c r="S64" i="86"/>
  <c r="R64" i="86"/>
  <c r="Q64" i="86"/>
  <c r="P64" i="86"/>
  <c r="O64" i="86"/>
  <c r="N64" i="86"/>
  <c r="M64" i="86"/>
  <c r="L64" i="86"/>
  <c r="K64" i="86"/>
  <c r="J64" i="86"/>
  <c r="I64" i="86"/>
  <c r="H64" i="86"/>
  <c r="S63" i="86"/>
  <c r="R63" i="86"/>
  <c r="Q63" i="86"/>
  <c r="P63" i="86"/>
  <c r="O63" i="86"/>
  <c r="N63" i="86"/>
  <c r="M63" i="86"/>
  <c r="L63" i="86"/>
  <c r="K63" i="86"/>
  <c r="J63" i="86"/>
  <c r="I63" i="86"/>
  <c r="H63" i="86"/>
  <c r="S62" i="86"/>
  <c r="R62" i="86"/>
  <c r="Q62" i="86"/>
  <c r="P62" i="86"/>
  <c r="O62" i="86"/>
  <c r="N62" i="86"/>
  <c r="M62" i="86"/>
  <c r="L62" i="86"/>
  <c r="K62" i="86"/>
  <c r="J62" i="86"/>
  <c r="I62" i="86"/>
  <c r="H62" i="86"/>
  <c r="S61" i="86"/>
  <c r="R61" i="86"/>
  <c r="Q61" i="86"/>
  <c r="P61" i="86"/>
  <c r="O61" i="86"/>
  <c r="N61" i="86"/>
  <c r="M61" i="86"/>
  <c r="L61" i="86"/>
  <c r="K61" i="86"/>
  <c r="J61" i="86"/>
  <c r="I61" i="86"/>
  <c r="H61" i="86"/>
  <c r="S60" i="86"/>
  <c r="R60" i="86"/>
  <c r="Q60" i="86"/>
  <c r="P60" i="86"/>
  <c r="O60" i="86"/>
  <c r="N60" i="86"/>
  <c r="M60" i="86"/>
  <c r="L60" i="86"/>
  <c r="K60" i="86"/>
  <c r="J60" i="86"/>
  <c r="I60" i="86"/>
  <c r="H60" i="86"/>
  <c r="S59" i="86"/>
  <c r="R59" i="86"/>
  <c r="Q59" i="86"/>
  <c r="P59" i="86"/>
  <c r="O59" i="86"/>
  <c r="N59" i="86"/>
  <c r="M59" i="86"/>
  <c r="L59" i="86"/>
  <c r="K59" i="86"/>
  <c r="J59" i="86"/>
  <c r="I59" i="86"/>
  <c r="H59" i="86"/>
  <c r="S58" i="86"/>
  <c r="R58" i="86"/>
  <c r="Q58" i="86"/>
  <c r="P58" i="86"/>
  <c r="O58" i="86"/>
  <c r="N58" i="86"/>
  <c r="M58" i="86"/>
  <c r="L58" i="86"/>
  <c r="K58" i="86"/>
  <c r="J58" i="86"/>
  <c r="I58" i="86"/>
  <c r="H58" i="86"/>
  <c r="S57" i="86"/>
  <c r="R57" i="86"/>
  <c r="Q57" i="86"/>
  <c r="P57" i="86"/>
  <c r="O57" i="86"/>
  <c r="N57" i="86"/>
  <c r="M57" i="86"/>
  <c r="L57" i="86"/>
  <c r="K57" i="86"/>
  <c r="J57" i="86"/>
  <c r="I57" i="86"/>
  <c r="H57" i="86"/>
  <c r="S56" i="86"/>
  <c r="R56" i="86"/>
  <c r="Q56" i="86"/>
  <c r="P56" i="86"/>
  <c r="O56" i="86"/>
  <c r="N56" i="86"/>
  <c r="M56" i="86"/>
  <c r="L56" i="86"/>
  <c r="K56" i="86"/>
  <c r="J56" i="86"/>
  <c r="I56" i="86"/>
  <c r="H56" i="86"/>
  <c r="S55" i="86"/>
  <c r="R55" i="86"/>
  <c r="Q55" i="86"/>
  <c r="P55" i="86"/>
  <c r="O55" i="86"/>
  <c r="N55" i="86"/>
  <c r="M55" i="86"/>
  <c r="L55" i="86"/>
  <c r="K55" i="86"/>
  <c r="J55" i="86"/>
  <c r="I55" i="86"/>
  <c r="H55" i="86"/>
  <c r="S54" i="86"/>
  <c r="R54" i="86"/>
  <c r="Q54" i="86"/>
  <c r="P54" i="86"/>
  <c r="O54" i="86"/>
  <c r="N54" i="86"/>
  <c r="M54" i="86"/>
  <c r="L54" i="86"/>
  <c r="K54" i="86"/>
  <c r="J54" i="86"/>
  <c r="I54" i="86"/>
  <c r="H54" i="86"/>
  <c r="S53" i="86"/>
  <c r="R53" i="86"/>
  <c r="Q53" i="86"/>
  <c r="P53" i="86"/>
  <c r="O53" i="86"/>
  <c r="N53" i="86"/>
  <c r="M53" i="86"/>
  <c r="L53" i="86"/>
  <c r="K53" i="86"/>
  <c r="J53" i="86"/>
  <c r="I53" i="86"/>
  <c r="H53" i="86"/>
  <c r="S52" i="86"/>
  <c r="R52" i="86"/>
  <c r="Q52" i="86"/>
  <c r="P52" i="86"/>
  <c r="O52" i="86"/>
  <c r="N52" i="86"/>
  <c r="M52" i="86"/>
  <c r="L52" i="86"/>
  <c r="K52" i="86"/>
  <c r="J52" i="86"/>
  <c r="I52" i="86"/>
  <c r="H52" i="86"/>
  <c r="S49" i="86"/>
  <c r="R49" i="86"/>
  <c r="Q49" i="86"/>
  <c r="P49" i="86"/>
  <c r="O49" i="86"/>
  <c r="N49" i="86"/>
  <c r="M49" i="86"/>
  <c r="L49" i="86"/>
  <c r="K49" i="86"/>
  <c r="J49" i="86"/>
  <c r="I49" i="86"/>
  <c r="H49" i="86"/>
  <c r="S48" i="86"/>
  <c r="R48" i="86"/>
  <c r="Q48" i="86"/>
  <c r="P48" i="86"/>
  <c r="O48" i="86"/>
  <c r="N48" i="86"/>
  <c r="M48" i="86"/>
  <c r="L48" i="86"/>
  <c r="K48" i="86"/>
  <c r="J48" i="86"/>
  <c r="I48" i="86"/>
  <c r="H48" i="86"/>
  <c r="S47" i="86"/>
  <c r="R47" i="86"/>
  <c r="Q47" i="86"/>
  <c r="P47" i="86"/>
  <c r="O47" i="86"/>
  <c r="N47" i="86"/>
  <c r="M47" i="86"/>
  <c r="L47" i="86"/>
  <c r="K47" i="86"/>
  <c r="J47" i="86"/>
  <c r="I47" i="86"/>
  <c r="H47" i="86"/>
  <c r="S46" i="86"/>
  <c r="R46" i="86"/>
  <c r="Q46" i="86"/>
  <c r="P46" i="86"/>
  <c r="O46" i="86"/>
  <c r="N46" i="86"/>
  <c r="M46" i="86"/>
  <c r="L46" i="86"/>
  <c r="K46" i="86"/>
  <c r="J46" i="86"/>
  <c r="I46" i="86"/>
  <c r="H46" i="86"/>
  <c r="S45" i="86"/>
  <c r="R45" i="86"/>
  <c r="Q45" i="86"/>
  <c r="P45" i="86"/>
  <c r="O45" i="86"/>
  <c r="N45" i="86"/>
  <c r="M45" i="86"/>
  <c r="L45" i="86"/>
  <c r="K45" i="86"/>
  <c r="J45" i="86"/>
  <c r="I45" i="86"/>
  <c r="H45" i="86"/>
  <c r="S44" i="86"/>
  <c r="R44" i="86"/>
  <c r="Q44" i="86"/>
  <c r="P44" i="86"/>
  <c r="O44" i="86"/>
  <c r="N44" i="86"/>
  <c r="M44" i="86"/>
  <c r="L44" i="86"/>
  <c r="K44" i="86"/>
  <c r="J44" i="86"/>
  <c r="I44" i="86"/>
  <c r="H44" i="86"/>
  <c r="S43" i="86"/>
  <c r="R43" i="86"/>
  <c r="Q43" i="86"/>
  <c r="P43" i="86"/>
  <c r="O43" i="86"/>
  <c r="N43" i="86"/>
  <c r="M43" i="86"/>
  <c r="L43" i="86"/>
  <c r="K43" i="86"/>
  <c r="J43" i="86"/>
  <c r="I43" i="86"/>
  <c r="H43" i="86"/>
  <c r="S39" i="86"/>
  <c r="R39" i="86"/>
  <c r="Q39" i="86"/>
  <c r="P39" i="86"/>
  <c r="O39" i="86"/>
  <c r="N39" i="86"/>
  <c r="M39" i="86"/>
  <c r="L39" i="86"/>
  <c r="K39" i="86"/>
  <c r="J39" i="86"/>
  <c r="I39" i="86"/>
  <c r="H39" i="86"/>
  <c r="S38" i="86"/>
  <c r="R38" i="86"/>
  <c r="Q38" i="86"/>
  <c r="P38" i="86"/>
  <c r="O38" i="86"/>
  <c r="N38" i="86"/>
  <c r="M38" i="86"/>
  <c r="L38" i="86"/>
  <c r="K38" i="86"/>
  <c r="J38" i="86"/>
  <c r="I38" i="86"/>
  <c r="H38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S35" i="86"/>
  <c r="R35" i="86"/>
  <c r="Q35" i="86"/>
  <c r="P35" i="86"/>
  <c r="O35" i="86"/>
  <c r="N35" i="86"/>
  <c r="M35" i="86"/>
  <c r="L35" i="86"/>
  <c r="K35" i="86"/>
  <c r="J35" i="86"/>
  <c r="I35" i="86"/>
  <c r="H35" i="86"/>
  <c r="S34" i="86"/>
  <c r="R34" i="86"/>
  <c r="Q34" i="86"/>
  <c r="P34" i="86"/>
  <c r="O34" i="86"/>
  <c r="N34" i="86"/>
  <c r="M34" i="86"/>
  <c r="L34" i="86"/>
  <c r="K34" i="86"/>
  <c r="J34" i="86"/>
  <c r="I34" i="86"/>
  <c r="H34" i="86"/>
  <c r="S33" i="86"/>
  <c r="R33" i="86"/>
  <c r="Q33" i="86"/>
  <c r="P33" i="86"/>
  <c r="O33" i="86"/>
  <c r="N33" i="86"/>
  <c r="M33" i="86"/>
  <c r="L33" i="86"/>
  <c r="K33" i="86"/>
  <c r="J33" i="86"/>
  <c r="I33" i="86"/>
  <c r="H33" i="86"/>
  <c r="S32" i="86"/>
  <c r="R32" i="86"/>
  <c r="Q32" i="86"/>
  <c r="P32" i="86"/>
  <c r="O32" i="86"/>
  <c r="N32" i="86"/>
  <c r="M32" i="86"/>
  <c r="L32" i="86"/>
  <c r="K32" i="86"/>
  <c r="J32" i="86"/>
  <c r="I32" i="86"/>
  <c r="H32" i="86"/>
  <c r="S31" i="86"/>
  <c r="R31" i="86"/>
  <c r="Q31" i="86"/>
  <c r="P31" i="86"/>
  <c r="O31" i="86"/>
  <c r="N31" i="86"/>
  <c r="M31" i="86"/>
  <c r="L31" i="86"/>
  <c r="K31" i="86"/>
  <c r="J31" i="86"/>
  <c r="I31" i="86"/>
  <c r="H31" i="86"/>
  <c r="S29" i="86"/>
  <c r="R29" i="86"/>
  <c r="Q29" i="86"/>
  <c r="P29" i="86"/>
  <c r="O29" i="86"/>
  <c r="N29" i="86"/>
  <c r="M29" i="86"/>
  <c r="L29" i="86"/>
  <c r="K29" i="86"/>
  <c r="J29" i="86"/>
  <c r="I29" i="86"/>
  <c r="H29" i="86"/>
  <c r="S28" i="86"/>
  <c r="R28" i="86"/>
  <c r="Q28" i="86"/>
  <c r="P28" i="86"/>
  <c r="O28" i="86"/>
  <c r="N28" i="86"/>
  <c r="M28" i="86"/>
  <c r="L28" i="86"/>
  <c r="K28" i="86"/>
  <c r="J28" i="86"/>
  <c r="I28" i="86"/>
  <c r="H28" i="86"/>
  <c r="S27" i="86"/>
  <c r="R27" i="86"/>
  <c r="Q27" i="86"/>
  <c r="P27" i="86"/>
  <c r="O27" i="86"/>
  <c r="N27" i="86"/>
  <c r="M27" i="86"/>
  <c r="L27" i="86"/>
  <c r="K27" i="86"/>
  <c r="J27" i="86"/>
  <c r="I27" i="86"/>
  <c r="H27" i="86"/>
  <c r="S26" i="86"/>
  <c r="R26" i="86"/>
  <c r="Q26" i="86"/>
  <c r="P26" i="86"/>
  <c r="O26" i="86"/>
  <c r="N26" i="86"/>
  <c r="M26" i="86"/>
  <c r="L26" i="86"/>
  <c r="K26" i="86"/>
  <c r="J26" i="86"/>
  <c r="I26" i="86"/>
  <c r="H26" i="86"/>
  <c r="S25" i="86"/>
  <c r="R25" i="86"/>
  <c r="Q25" i="86"/>
  <c r="P25" i="86"/>
  <c r="O25" i="86"/>
  <c r="N25" i="86"/>
  <c r="M25" i="86"/>
  <c r="L25" i="86"/>
  <c r="K25" i="86"/>
  <c r="J25" i="86"/>
  <c r="I25" i="86"/>
  <c r="H25" i="86"/>
  <c r="S24" i="86"/>
  <c r="R24" i="86"/>
  <c r="Q24" i="86"/>
  <c r="P24" i="86"/>
  <c r="O24" i="86"/>
  <c r="N24" i="86"/>
  <c r="M24" i="86"/>
  <c r="L24" i="86"/>
  <c r="K24" i="86"/>
  <c r="J24" i="86"/>
  <c r="I24" i="86"/>
  <c r="H24" i="86"/>
  <c r="S23" i="86"/>
  <c r="R23" i="86"/>
  <c r="Q23" i="86"/>
  <c r="P23" i="86"/>
  <c r="O23" i="86"/>
  <c r="N23" i="86"/>
  <c r="M23" i="86"/>
  <c r="L23" i="86"/>
  <c r="K23" i="86"/>
  <c r="J23" i="86"/>
  <c r="I23" i="86"/>
  <c r="H23" i="86"/>
  <c r="S22" i="86"/>
  <c r="R22" i="86"/>
  <c r="Q22" i="86"/>
  <c r="P22" i="86"/>
  <c r="O22" i="86"/>
  <c r="N22" i="86"/>
  <c r="M22" i="86"/>
  <c r="L22" i="86"/>
  <c r="K22" i="86"/>
  <c r="J22" i="86"/>
  <c r="I22" i="86"/>
  <c r="H22" i="86"/>
  <c r="S21" i="86"/>
  <c r="R21" i="86"/>
  <c r="Q21" i="86"/>
  <c r="P21" i="86"/>
  <c r="O21" i="86"/>
  <c r="N21" i="86"/>
  <c r="M21" i="86"/>
  <c r="L21" i="86"/>
  <c r="K21" i="86"/>
  <c r="J21" i="86"/>
  <c r="I21" i="86"/>
  <c r="H21" i="86"/>
  <c r="S20" i="86"/>
  <c r="R20" i="86"/>
  <c r="Q20" i="86"/>
  <c r="P20" i="86"/>
  <c r="O20" i="86"/>
  <c r="N20" i="86"/>
  <c r="M20" i="86"/>
  <c r="L20" i="86"/>
  <c r="K20" i="86"/>
  <c r="J20" i="86"/>
  <c r="I20" i="86"/>
  <c r="H20" i="86"/>
  <c r="S19" i="86"/>
  <c r="R19" i="86"/>
  <c r="Q19" i="86"/>
  <c r="P19" i="86"/>
  <c r="O19" i="86"/>
  <c r="N19" i="86"/>
  <c r="M19" i="86"/>
  <c r="L19" i="86"/>
  <c r="K19" i="86"/>
  <c r="J19" i="86"/>
  <c r="I19" i="86"/>
  <c r="H19" i="86"/>
  <c r="S18" i="86"/>
  <c r="R18" i="86"/>
  <c r="Q18" i="86"/>
  <c r="P18" i="86"/>
  <c r="O18" i="86"/>
  <c r="N18" i="86"/>
  <c r="M18" i="86"/>
  <c r="L18" i="86"/>
  <c r="K18" i="86"/>
  <c r="J18" i="86"/>
  <c r="I18" i="86"/>
  <c r="H18" i="86"/>
  <c r="S17" i="86"/>
  <c r="R17" i="86"/>
  <c r="Q17" i="86"/>
  <c r="P17" i="86"/>
  <c r="O17" i="86"/>
  <c r="N17" i="86"/>
  <c r="M17" i="86"/>
  <c r="L17" i="86"/>
  <c r="K17" i="86"/>
  <c r="J17" i="86"/>
  <c r="I17" i="86"/>
  <c r="H17" i="86"/>
  <c r="S16" i="86"/>
  <c r="R16" i="86"/>
  <c r="Q16" i="86"/>
  <c r="P16" i="86"/>
  <c r="O16" i="86"/>
  <c r="N16" i="86"/>
  <c r="M16" i="86"/>
  <c r="L16" i="86"/>
  <c r="K16" i="86"/>
  <c r="J16" i="86"/>
  <c r="I16" i="86"/>
  <c r="H16" i="86"/>
  <c r="S13" i="86"/>
  <c r="R13" i="86"/>
  <c r="Q13" i="86"/>
  <c r="P13" i="86"/>
  <c r="O13" i="86"/>
  <c r="N13" i="86"/>
  <c r="M13" i="86"/>
  <c r="L13" i="86"/>
  <c r="K13" i="86"/>
  <c r="J13" i="86"/>
  <c r="I13" i="86"/>
  <c r="H13" i="86"/>
  <c r="S12" i="86"/>
  <c r="R12" i="86"/>
  <c r="Q12" i="86"/>
  <c r="P12" i="86"/>
  <c r="O12" i="86"/>
  <c r="N12" i="86"/>
  <c r="M12" i="86"/>
  <c r="L12" i="86"/>
  <c r="K12" i="86"/>
  <c r="J12" i="86"/>
  <c r="I12" i="86"/>
  <c r="H12" i="86"/>
  <c r="S11" i="86"/>
  <c r="R11" i="86"/>
  <c r="Q11" i="86"/>
  <c r="P11" i="86"/>
  <c r="O11" i="86"/>
  <c r="N11" i="86"/>
  <c r="M11" i="86"/>
  <c r="L11" i="86"/>
  <c r="K11" i="86"/>
  <c r="J11" i="86"/>
  <c r="I11" i="86"/>
  <c r="H11" i="86"/>
  <c r="S10" i="86"/>
  <c r="R10" i="86"/>
  <c r="Q10" i="86"/>
  <c r="P10" i="86"/>
  <c r="O10" i="86"/>
  <c r="N10" i="86"/>
  <c r="M10" i="86"/>
  <c r="L10" i="86"/>
  <c r="K10" i="86"/>
  <c r="J10" i="86"/>
  <c r="I10" i="86"/>
  <c r="H10" i="86"/>
  <c r="S9" i="86"/>
  <c r="R9" i="86"/>
  <c r="Q9" i="86"/>
  <c r="P9" i="86"/>
  <c r="O9" i="86"/>
  <c r="N9" i="86"/>
  <c r="M9" i="86"/>
  <c r="L9" i="86"/>
  <c r="K9" i="86"/>
  <c r="J9" i="86"/>
  <c r="I9" i="86"/>
  <c r="H9" i="86"/>
  <c r="S8" i="86"/>
  <c r="R8" i="86"/>
  <c r="Q8" i="86"/>
  <c r="P8" i="86"/>
  <c r="O8" i="86"/>
  <c r="N8" i="86"/>
  <c r="M8" i="86"/>
  <c r="L8" i="86"/>
  <c r="K8" i="86"/>
  <c r="J8" i="86"/>
  <c r="I8" i="86"/>
  <c r="H8" i="86"/>
  <c r="S7" i="86"/>
  <c r="R7" i="86"/>
  <c r="Q7" i="86"/>
  <c r="P7" i="86"/>
  <c r="O7" i="86"/>
  <c r="N7" i="86"/>
  <c r="M7" i="86"/>
  <c r="L7" i="86"/>
  <c r="K7" i="86"/>
  <c r="J7" i="86"/>
  <c r="I7" i="86"/>
  <c r="H7" i="86"/>
  <c r="S6" i="86"/>
  <c r="R6" i="86"/>
  <c r="Q6" i="86"/>
  <c r="P6" i="86"/>
  <c r="O6" i="86"/>
  <c r="N6" i="86"/>
  <c r="M6" i="86"/>
  <c r="L6" i="86"/>
  <c r="K6" i="86"/>
  <c r="J6" i="86"/>
  <c r="I6" i="86"/>
  <c r="H6" i="86"/>
  <c r="S5" i="86"/>
  <c r="R5" i="86"/>
  <c r="Q5" i="86"/>
  <c r="P5" i="86"/>
  <c r="O5" i="86"/>
  <c r="N5" i="86"/>
  <c r="M5" i="86"/>
  <c r="L5" i="86"/>
  <c r="K5" i="86"/>
  <c r="J5" i="86"/>
  <c r="I5" i="86"/>
  <c r="H5" i="86"/>
  <c r="H2" i="86"/>
  <c r="G2" i="86"/>
  <c r="AK159" i="90"/>
  <c r="AJ159" i="90"/>
  <c r="AI159" i="90"/>
  <c r="AH159" i="90"/>
  <c r="AG159" i="90"/>
  <c r="AF159" i="90"/>
  <c r="AE159" i="90"/>
  <c r="AD159" i="90"/>
  <c r="AC159" i="90"/>
  <c r="AB159" i="90"/>
  <c r="AA159" i="90"/>
  <c r="Z159" i="90"/>
  <c r="Y159" i="90"/>
  <c r="X159" i="90"/>
  <c r="W159" i="90"/>
  <c r="V159" i="90"/>
  <c r="U159" i="90"/>
  <c r="T159" i="90"/>
  <c r="S159" i="90"/>
  <c r="R159" i="90"/>
  <c r="Q159" i="90"/>
  <c r="P159" i="90"/>
  <c r="O159" i="90"/>
  <c r="N159" i="90"/>
  <c r="M159" i="90"/>
  <c r="L159" i="90"/>
  <c r="K159" i="90"/>
  <c r="J159" i="90"/>
  <c r="I159" i="90"/>
  <c r="H159" i="90"/>
  <c r="AK158" i="90"/>
  <c r="AJ158" i="90"/>
  <c r="AI158" i="90"/>
  <c r="AH158" i="90"/>
  <c r="AG158" i="90"/>
  <c r="AF158" i="90"/>
  <c r="AE158" i="90"/>
  <c r="AD158" i="90"/>
  <c r="AC158" i="90"/>
  <c r="AB158" i="90"/>
  <c r="AA158" i="90"/>
  <c r="Z158" i="90"/>
  <c r="Y158" i="90"/>
  <c r="X158" i="90"/>
  <c r="W158" i="90"/>
  <c r="V158" i="90"/>
  <c r="U158" i="90"/>
  <c r="T158" i="90"/>
  <c r="S158" i="90"/>
  <c r="R158" i="90"/>
  <c r="Q158" i="90"/>
  <c r="P158" i="90"/>
  <c r="O158" i="90"/>
  <c r="N158" i="90"/>
  <c r="M158" i="90"/>
  <c r="L158" i="90"/>
  <c r="K158" i="90"/>
  <c r="J158" i="90"/>
  <c r="I158" i="90"/>
  <c r="H158" i="90"/>
  <c r="M153" i="90"/>
  <c r="L153" i="90"/>
  <c r="K153" i="90"/>
  <c r="J153" i="90"/>
  <c r="I153" i="90"/>
  <c r="H153" i="90"/>
  <c r="S148" i="90"/>
  <c r="R148" i="90"/>
  <c r="Q148" i="90"/>
  <c r="P148" i="90"/>
  <c r="O148" i="90"/>
  <c r="N148" i="90"/>
  <c r="M148" i="90"/>
  <c r="L148" i="90"/>
  <c r="K148" i="90"/>
  <c r="J148" i="90"/>
  <c r="I148" i="90"/>
  <c r="H148" i="90"/>
  <c r="S147" i="90"/>
  <c r="R147" i="90"/>
  <c r="Q147" i="90"/>
  <c r="P147" i="90"/>
  <c r="O147" i="90"/>
  <c r="N147" i="90"/>
  <c r="M147" i="90"/>
  <c r="L147" i="90"/>
  <c r="K147" i="90"/>
  <c r="J147" i="90"/>
  <c r="I147" i="90"/>
  <c r="H147" i="90"/>
  <c r="S146" i="90"/>
  <c r="R146" i="90"/>
  <c r="Q146" i="90"/>
  <c r="P146" i="90"/>
  <c r="O146" i="90"/>
  <c r="N146" i="90"/>
  <c r="M146" i="90"/>
  <c r="L146" i="90"/>
  <c r="K146" i="90"/>
  <c r="K146" i="70" s="1"/>
  <c r="J146" i="90"/>
  <c r="I146" i="90"/>
  <c r="H146" i="90"/>
  <c r="S145" i="90"/>
  <c r="R145" i="90"/>
  <c r="Q145" i="90"/>
  <c r="P145" i="90"/>
  <c r="O145" i="90"/>
  <c r="N145" i="90"/>
  <c r="M145" i="90"/>
  <c r="L145" i="90"/>
  <c r="K145" i="90"/>
  <c r="J145" i="90"/>
  <c r="I145" i="90"/>
  <c r="H145" i="90"/>
  <c r="S144" i="90"/>
  <c r="R144" i="90"/>
  <c r="R144" i="70" s="1"/>
  <c r="Q144" i="90"/>
  <c r="P144" i="90"/>
  <c r="O144" i="90"/>
  <c r="N144" i="90"/>
  <c r="M144" i="90"/>
  <c r="L144" i="90"/>
  <c r="K144" i="90"/>
  <c r="J144" i="90"/>
  <c r="I144" i="90"/>
  <c r="H144" i="90"/>
  <c r="S143" i="90"/>
  <c r="R143" i="90"/>
  <c r="Q143" i="90"/>
  <c r="P143" i="90"/>
  <c r="O143" i="90"/>
  <c r="N143" i="90"/>
  <c r="N143" i="70" s="1"/>
  <c r="M143" i="90"/>
  <c r="L143" i="90"/>
  <c r="K143" i="90"/>
  <c r="J143" i="90"/>
  <c r="I143" i="90"/>
  <c r="H143" i="90"/>
  <c r="S142" i="90"/>
  <c r="R142" i="90"/>
  <c r="Q142" i="90"/>
  <c r="P142" i="90"/>
  <c r="O142" i="90"/>
  <c r="N142" i="90"/>
  <c r="M142" i="90"/>
  <c r="L142" i="90"/>
  <c r="K142" i="90"/>
  <c r="J142" i="90"/>
  <c r="I142" i="90"/>
  <c r="H142" i="90"/>
  <c r="S141" i="90"/>
  <c r="R141" i="90"/>
  <c r="Q141" i="90"/>
  <c r="P141" i="90"/>
  <c r="O141" i="90"/>
  <c r="N141" i="90"/>
  <c r="M141" i="90"/>
  <c r="L141" i="90"/>
  <c r="K141" i="90"/>
  <c r="J141" i="90"/>
  <c r="I141" i="90"/>
  <c r="H141" i="90"/>
  <c r="S140" i="90"/>
  <c r="R140" i="90"/>
  <c r="Q140" i="90"/>
  <c r="P140" i="90"/>
  <c r="O140" i="90"/>
  <c r="N140" i="90"/>
  <c r="M140" i="90"/>
  <c r="L140" i="90"/>
  <c r="K140" i="90"/>
  <c r="J140" i="90"/>
  <c r="I140" i="90"/>
  <c r="H140" i="90"/>
  <c r="S135" i="90"/>
  <c r="R135" i="90"/>
  <c r="Q135" i="90"/>
  <c r="P135" i="90"/>
  <c r="O135" i="90"/>
  <c r="N135" i="90"/>
  <c r="M135" i="90"/>
  <c r="L135" i="90"/>
  <c r="K135" i="90"/>
  <c r="J135" i="90"/>
  <c r="I135" i="90"/>
  <c r="H135" i="90"/>
  <c r="S134" i="90"/>
  <c r="R134" i="90"/>
  <c r="Q134" i="90"/>
  <c r="P134" i="90"/>
  <c r="O134" i="90"/>
  <c r="N134" i="90"/>
  <c r="M134" i="90"/>
  <c r="L134" i="90"/>
  <c r="K134" i="90"/>
  <c r="J134" i="90"/>
  <c r="I134" i="90"/>
  <c r="H134" i="90"/>
  <c r="S133" i="90"/>
  <c r="R133" i="90"/>
  <c r="Q133" i="90"/>
  <c r="P133" i="90"/>
  <c r="O133" i="90"/>
  <c r="N133" i="90"/>
  <c r="M133" i="90"/>
  <c r="L133" i="90"/>
  <c r="K133" i="90"/>
  <c r="J133" i="90"/>
  <c r="I133" i="90"/>
  <c r="H133" i="90"/>
  <c r="S132" i="90"/>
  <c r="R132" i="90"/>
  <c r="Q132" i="90"/>
  <c r="P132" i="90"/>
  <c r="O132" i="90"/>
  <c r="N132" i="90"/>
  <c r="M132" i="90"/>
  <c r="L132" i="90"/>
  <c r="K132" i="90"/>
  <c r="J132" i="90"/>
  <c r="I132" i="90"/>
  <c r="H132" i="90"/>
  <c r="S131" i="90"/>
  <c r="R131" i="90"/>
  <c r="Q131" i="90"/>
  <c r="P131" i="90"/>
  <c r="O131" i="90"/>
  <c r="N131" i="90"/>
  <c r="N131" i="70" s="1"/>
  <c r="M131" i="90"/>
  <c r="L131" i="90"/>
  <c r="K131" i="90"/>
  <c r="J131" i="90"/>
  <c r="I131" i="90"/>
  <c r="H131" i="90"/>
  <c r="S130" i="90"/>
  <c r="R130" i="90"/>
  <c r="Q130" i="90"/>
  <c r="P130" i="90"/>
  <c r="O130" i="90"/>
  <c r="N130" i="90"/>
  <c r="M130" i="90"/>
  <c r="L130" i="90"/>
  <c r="K130" i="90"/>
  <c r="J130" i="90"/>
  <c r="I130" i="90"/>
  <c r="H130" i="90"/>
  <c r="S129" i="90"/>
  <c r="R129" i="90"/>
  <c r="Q129" i="90"/>
  <c r="P129" i="90"/>
  <c r="O129" i="90"/>
  <c r="N129" i="90"/>
  <c r="M129" i="90"/>
  <c r="L129" i="90"/>
  <c r="K129" i="90"/>
  <c r="J129" i="90"/>
  <c r="I129" i="90"/>
  <c r="H129" i="90"/>
  <c r="S128" i="90"/>
  <c r="R128" i="90"/>
  <c r="Q128" i="90"/>
  <c r="P128" i="90"/>
  <c r="O128" i="90"/>
  <c r="N128" i="90"/>
  <c r="M128" i="90"/>
  <c r="L128" i="90"/>
  <c r="K128" i="90"/>
  <c r="J128" i="90"/>
  <c r="I128" i="90"/>
  <c r="H128" i="90"/>
  <c r="S127" i="90"/>
  <c r="R127" i="90"/>
  <c r="Q127" i="90"/>
  <c r="P127" i="90"/>
  <c r="O127" i="90"/>
  <c r="N127" i="90"/>
  <c r="N127" i="70" s="1"/>
  <c r="M127" i="90"/>
  <c r="L127" i="90"/>
  <c r="K127" i="90"/>
  <c r="J127" i="90"/>
  <c r="I127" i="90"/>
  <c r="H127" i="90"/>
  <c r="S126" i="90"/>
  <c r="R126" i="90"/>
  <c r="Q126" i="90"/>
  <c r="P126" i="90"/>
  <c r="O126" i="90"/>
  <c r="N126" i="90"/>
  <c r="M126" i="90"/>
  <c r="L126" i="90"/>
  <c r="K126" i="90"/>
  <c r="J126" i="90"/>
  <c r="I126" i="90"/>
  <c r="H126" i="90"/>
  <c r="S125" i="90"/>
  <c r="R125" i="90"/>
  <c r="Q125" i="90"/>
  <c r="P125" i="90"/>
  <c r="O125" i="90"/>
  <c r="N125" i="90"/>
  <c r="M125" i="90"/>
  <c r="L125" i="90"/>
  <c r="K125" i="90"/>
  <c r="J125" i="90"/>
  <c r="I125" i="90"/>
  <c r="H125" i="90"/>
  <c r="S124" i="90"/>
  <c r="R124" i="90"/>
  <c r="Q124" i="90"/>
  <c r="P124" i="90"/>
  <c r="O124" i="90"/>
  <c r="N124" i="90"/>
  <c r="M124" i="90"/>
  <c r="L124" i="90"/>
  <c r="K124" i="90"/>
  <c r="J124" i="90"/>
  <c r="I124" i="90"/>
  <c r="H124" i="90"/>
  <c r="S123" i="90"/>
  <c r="R123" i="90"/>
  <c r="Q123" i="90"/>
  <c r="P123" i="90"/>
  <c r="O123" i="90"/>
  <c r="N123" i="90"/>
  <c r="M123" i="90"/>
  <c r="L123" i="90"/>
  <c r="K123" i="90"/>
  <c r="J123" i="90"/>
  <c r="I123" i="90"/>
  <c r="H123" i="90"/>
  <c r="S122" i="90"/>
  <c r="R122" i="90"/>
  <c r="Q122" i="90"/>
  <c r="P122" i="90"/>
  <c r="O122" i="90"/>
  <c r="N122" i="90"/>
  <c r="M122" i="90"/>
  <c r="L122" i="90"/>
  <c r="K122" i="90"/>
  <c r="J122" i="90"/>
  <c r="I122" i="90"/>
  <c r="H122" i="90"/>
  <c r="S121" i="90"/>
  <c r="R121" i="90"/>
  <c r="Q121" i="90"/>
  <c r="P121" i="90"/>
  <c r="O121" i="90"/>
  <c r="N121" i="90"/>
  <c r="M121" i="90"/>
  <c r="L121" i="90"/>
  <c r="K121" i="90"/>
  <c r="J121" i="90"/>
  <c r="I121" i="90"/>
  <c r="H121" i="90"/>
  <c r="S120" i="90"/>
  <c r="R120" i="90"/>
  <c r="Q120" i="90"/>
  <c r="P120" i="90"/>
  <c r="O120" i="90"/>
  <c r="N120" i="90"/>
  <c r="M120" i="90"/>
  <c r="L120" i="90"/>
  <c r="K120" i="90"/>
  <c r="J120" i="90"/>
  <c r="I120" i="90"/>
  <c r="H120" i="90"/>
  <c r="S119" i="90"/>
  <c r="R119" i="90"/>
  <c r="Q119" i="90"/>
  <c r="P119" i="90"/>
  <c r="O119" i="90"/>
  <c r="N119" i="90"/>
  <c r="M119" i="90"/>
  <c r="L119" i="90"/>
  <c r="K119" i="90"/>
  <c r="J119" i="90"/>
  <c r="I119" i="90"/>
  <c r="H119" i="90"/>
  <c r="S118" i="90"/>
  <c r="R118" i="90"/>
  <c r="Q118" i="90"/>
  <c r="P118" i="90"/>
  <c r="O118" i="90"/>
  <c r="N118" i="90"/>
  <c r="M118" i="90"/>
  <c r="L118" i="90"/>
  <c r="K118" i="90"/>
  <c r="J118" i="90"/>
  <c r="I118" i="90"/>
  <c r="H118" i="90"/>
  <c r="S117" i="90"/>
  <c r="R117" i="90"/>
  <c r="Q117" i="90"/>
  <c r="P117" i="90"/>
  <c r="O117" i="90"/>
  <c r="N117" i="90"/>
  <c r="M117" i="90"/>
  <c r="L117" i="90"/>
  <c r="K117" i="90"/>
  <c r="J117" i="90"/>
  <c r="I117" i="90"/>
  <c r="H117" i="90"/>
  <c r="S116" i="90"/>
  <c r="R116" i="90"/>
  <c r="R116" i="70" s="1"/>
  <c r="Q116" i="90"/>
  <c r="P116" i="90"/>
  <c r="O116" i="90"/>
  <c r="N116" i="90"/>
  <c r="M116" i="90"/>
  <c r="L116" i="90"/>
  <c r="K116" i="90"/>
  <c r="J116" i="90"/>
  <c r="I116" i="90"/>
  <c r="H116" i="90"/>
  <c r="S115" i="90"/>
  <c r="R115" i="90"/>
  <c r="Q115" i="90"/>
  <c r="P115" i="90"/>
  <c r="O115" i="90"/>
  <c r="N115" i="90"/>
  <c r="N115" i="70" s="1"/>
  <c r="M115" i="90"/>
  <c r="L115" i="90"/>
  <c r="K115" i="90"/>
  <c r="J115" i="90"/>
  <c r="I115" i="90"/>
  <c r="H115" i="90"/>
  <c r="S114" i="90"/>
  <c r="R114" i="90"/>
  <c r="Q114" i="90"/>
  <c r="P114" i="90"/>
  <c r="O114" i="90"/>
  <c r="N114" i="90"/>
  <c r="M114" i="90"/>
  <c r="L114" i="90"/>
  <c r="K114" i="90"/>
  <c r="J114" i="90"/>
  <c r="I114" i="90"/>
  <c r="H114" i="90"/>
  <c r="S113" i="90"/>
  <c r="R113" i="90"/>
  <c r="Q113" i="90"/>
  <c r="P113" i="90"/>
  <c r="O113" i="90"/>
  <c r="N113" i="90"/>
  <c r="M113" i="90"/>
  <c r="L113" i="90"/>
  <c r="K113" i="90"/>
  <c r="J113" i="90"/>
  <c r="I113" i="90"/>
  <c r="H113" i="90"/>
  <c r="S112" i="90"/>
  <c r="R112" i="90"/>
  <c r="R112" i="70" s="1"/>
  <c r="Q112" i="90"/>
  <c r="P112" i="90"/>
  <c r="O112" i="90"/>
  <c r="N112" i="90"/>
  <c r="M112" i="90"/>
  <c r="L112" i="90"/>
  <c r="K112" i="90"/>
  <c r="J112" i="90"/>
  <c r="I112" i="90"/>
  <c r="H112" i="90"/>
  <c r="S111" i="90"/>
  <c r="R111" i="90"/>
  <c r="Q111" i="90"/>
  <c r="P111" i="90"/>
  <c r="O111" i="90"/>
  <c r="N111" i="90"/>
  <c r="M111" i="90"/>
  <c r="L111" i="90"/>
  <c r="K111" i="90"/>
  <c r="J111" i="90"/>
  <c r="I111" i="90"/>
  <c r="H111" i="90"/>
  <c r="S110" i="90"/>
  <c r="R110" i="90"/>
  <c r="Q110" i="90"/>
  <c r="P110" i="90"/>
  <c r="O110" i="90"/>
  <c r="N110" i="90"/>
  <c r="M110" i="90"/>
  <c r="L110" i="90"/>
  <c r="K110" i="90"/>
  <c r="J110" i="90"/>
  <c r="I110" i="90"/>
  <c r="H110" i="90"/>
  <c r="S109" i="90"/>
  <c r="R109" i="90"/>
  <c r="Q109" i="90"/>
  <c r="P109" i="90"/>
  <c r="O109" i="90"/>
  <c r="N109" i="90"/>
  <c r="M109" i="90"/>
  <c r="L109" i="90"/>
  <c r="K109" i="90"/>
  <c r="J109" i="90"/>
  <c r="I109" i="90"/>
  <c r="H109" i="90"/>
  <c r="S108" i="90"/>
  <c r="R108" i="90"/>
  <c r="Q108" i="90"/>
  <c r="P108" i="90"/>
  <c r="O108" i="90"/>
  <c r="N108" i="90"/>
  <c r="M108" i="90"/>
  <c r="L108" i="90"/>
  <c r="K108" i="90"/>
  <c r="J108" i="90"/>
  <c r="I108" i="90"/>
  <c r="H108" i="90"/>
  <c r="S107" i="90"/>
  <c r="R107" i="90"/>
  <c r="Q107" i="90"/>
  <c r="P107" i="90"/>
  <c r="O107" i="90"/>
  <c r="N107" i="90"/>
  <c r="M107" i="90"/>
  <c r="L107" i="90"/>
  <c r="K107" i="90"/>
  <c r="J107" i="90"/>
  <c r="I107" i="90"/>
  <c r="H107" i="90"/>
  <c r="S106" i="90"/>
  <c r="R106" i="90"/>
  <c r="Q106" i="90"/>
  <c r="P106" i="90"/>
  <c r="O106" i="90"/>
  <c r="N106" i="90"/>
  <c r="M106" i="90"/>
  <c r="L106" i="90"/>
  <c r="K106" i="90"/>
  <c r="J106" i="90"/>
  <c r="I106" i="90"/>
  <c r="H106" i="90"/>
  <c r="S105" i="90"/>
  <c r="R105" i="90"/>
  <c r="Q105" i="90"/>
  <c r="P105" i="90"/>
  <c r="O105" i="90"/>
  <c r="N105" i="90"/>
  <c r="M105" i="90"/>
  <c r="L105" i="90"/>
  <c r="K105" i="90"/>
  <c r="J105" i="90"/>
  <c r="I105" i="90"/>
  <c r="H105" i="90"/>
  <c r="S104" i="90"/>
  <c r="R104" i="90"/>
  <c r="Q104" i="90"/>
  <c r="P104" i="90"/>
  <c r="O104" i="90"/>
  <c r="N104" i="90"/>
  <c r="M104" i="90"/>
  <c r="L104" i="90"/>
  <c r="K104" i="90"/>
  <c r="J104" i="90"/>
  <c r="I104" i="90"/>
  <c r="H104" i="90"/>
  <c r="S103" i="90"/>
  <c r="R103" i="90"/>
  <c r="Q103" i="90"/>
  <c r="P103" i="90"/>
  <c r="O103" i="90"/>
  <c r="N103" i="90"/>
  <c r="N103" i="70" s="1"/>
  <c r="M103" i="90"/>
  <c r="L103" i="90"/>
  <c r="K103" i="90"/>
  <c r="J103" i="90"/>
  <c r="I103" i="90"/>
  <c r="H103" i="90"/>
  <c r="S102" i="90"/>
  <c r="R102" i="90"/>
  <c r="Q102" i="90"/>
  <c r="P102" i="90"/>
  <c r="O102" i="90"/>
  <c r="N102" i="90"/>
  <c r="M102" i="90"/>
  <c r="L102" i="90"/>
  <c r="K102" i="90"/>
  <c r="J102" i="90"/>
  <c r="I102" i="90"/>
  <c r="H102" i="90"/>
  <c r="S101" i="90"/>
  <c r="R101" i="90"/>
  <c r="Q101" i="90"/>
  <c r="P101" i="90"/>
  <c r="O101" i="90"/>
  <c r="N101" i="90"/>
  <c r="M101" i="90"/>
  <c r="L101" i="90"/>
  <c r="K101" i="90"/>
  <c r="J101" i="90"/>
  <c r="I101" i="90"/>
  <c r="H101" i="90"/>
  <c r="S100" i="90"/>
  <c r="R100" i="90"/>
  <c r="Q100" i="90"/>
  <c r="P100" i="90"/>
  <c r="O100" i="90"/>
  <c r="N100" i="90"/>
  <c r="M100" i="90"/>
  <c r="L100" i="90"/>
  <c r="K100" i="90"/>
  <c r="J100" i="90"/>
  <c r="I100" i="90"/>
  <c r="H100" i="90"/>
  <c r="S99" i="90"/>
  <c r="R99" i="90"/>
  <c r="Q99" i="90"/>
  <c r="P99" i="90"/>
  <c r="O99" i="90"/>
  <c r="N99" i="90"/>
  <c r="N99" i="70" s="1"/>
  <c r="M99" i="90"/>
  <c r="L99" i="90"/>
  <c r="K99" i="90"/>
  <c r="J99" i="90"/>
  <c r="I99" i="90"/>
  <c r="H99" i="90"/>
  <c r="S98" i="90"/>
  <c r="R98" i="90"/>
  <c r="Q98" i="90"/>
  <c r="P98" i="90"/>
  <c r="O98" i="90"/>
  <c r="N98" i="90"/>
  <c r="M98" i="90"/>
  <c r="L98" i="90"/>
  <c r="K98" i="90"/>
  <c r="J98" i="90"/>
  <c r="I98" i="90"/>
  <c r="H98" i="90"/>
  <c r="S97" i="90"/>
  <c r="R97" i="90"/>
  <c r="Q97" i="90"/>
  <c r="P97" i="90"/>
  <c r="O97" i="90"/>
  <c r="N97" i="90"/>
  <c r="M97" i="90"/>
  <c r="L97" i="90"/>
  <c r="K97" i="90"/>
  <c r="J97" i="90"/>
  <c r="I97" i="90"/>
  <c r="H97" i="90"/>
  <c r="S96" i="90"/>
  <c r="R96" i="90"/>
  <c r="R96" i="70" s="1"/>
  <c r="Q96" i="90"/>
  <c r="P96" i="90"/>
  <c r="O96" i="90"/>
  <c r="N96" i="90"/>
  <c r="M96" i="90"/>
  <c r="L96" i="90"/>
  <c r="K96" i="90"/>
  <c r="J96" i="90"/>
  <c r="I96" i="90"/>
  <c r="H96" i="90"/>
  <c r="S95" i="90"/>
  <c r="R95" i="90"/>
  <c r="Q95" i="90"/>
  <c r="P95" i="90"/>
  <c r="O95" i="90"/>
  <c r="N95" i="90"/>
  <c r="N95" i="70" s="1"/>
  <c r="M95" i="90"/>
  <c r="L95" i="90"/>
  <c r="K95" i="90"/>
  <c r="J95" i="90"/>
  <c r="I95" i="90"/>
  <c r="H95" i="90"/>
  <c r="S94" i="90"/>
  <c r="R94" i="90"/>
  <c r="Q94" i="90"/>
  <c r="P94" i="90"/>
  <c r="O94" i="90"/>
  <c r="N94" i="90"/>
  <c r="M94" i="90"/>
  <c r="L94" i="90"/>
  <c r="K94" i="90"/>
  <c r="J94" i="90"/>
  <c r="I94" i="90"/>
  <c r="H94" i="90"/>
  <c r="S93" i="90"/>
  <c r="R93" i="90"/>
  <c r="Q93" i="90"/>
  <c r="P93" i="90"/>
  <c r="O93" i="90"/>
  <c r="N93" i="90"/>
  <c r="M93" i="90"/>
  <c r="L93" i="90"/>
  <c r="K93" i="90"/>
  <c r="J93" i="90"/>
  <c r="I93" i="90"/>
  <c r="H93" i="90"/>
  <c r="S92" i="90"/>
  <c r="R92" i="90"/>
  <c r="Q92" i="90"/>
  <c r="P92" i="90"/>
  <c r="O92" i="90"/>
  <c r="N92" i="90"/>
  <c r="M92" i="90"/>
  <c r="L92" i="90"/>
  <c r="K92" i="90"/>
  <c r="J92" i="90"/>
  <c r="I92" i="90"/>
  <c r="H92" i="90"/>
  <c r="S91" i="90"/>
  <c r="R91" i="90"/>
  <c r="Q91" i="90"/>
  <c r="P91" i="90"/>
  <c r="O91" i="90"/>
  <c r="N91" i="90"/>
  <c r="N91" i="70" s="1"/>
  <c r="M91" i="90"/>
  <c r="L91" i="90"/>
  <c r="K91" i="90"/>
  <c r="J91" i="90"/>
  <c r="I91" i="90"/>
  <c r="H91" i="90"/>
  <c r="S90" i="90"/>
  <c r="R90" i="90"/>
  <c r="Q90" i="90"/>
  <c r="P90" i="90"/>
  <c r="O90" i="90"/>
  <c r="N90" i="90"/>
  <c r="M90" i="90"/>
  <c r="L90" i="90"/>
  <c r="K90" i="90"/>
  <c r="J90" i="90"/>
  <c r="I90" i="90"/>
  <c r="H90" i="90"/>
  <c r="S87" i="90"/>
  <c r="R87" i="90"/>
  <c r="Q87" i="90"/>
  <c r="P87" i="90"/>
  <c r="O87" i="90"/>
  <c r="N87" i="90"/>
  <c r="M87" i="90"/>
  <c r="L87" i="90"/>
  <c r="K87" i="90"/>
  <c r="J87" i="90"/>
  <c r="I87" i="90"/>
  <c r="H87" i="90"/>
  <c r="S86" i="90"/>
  <c r="R86" i="90"/>
  <c r="Q86" i="90"/>
  <c r="P86" i="90"/>
  <c r="O86" i="90"/>
  <c r="N86" i="90"/>
  <c r="M86" i="90"/>
  <c r="L86" i="90"/>
  <c r="K86" i="90"/>
  <c r="J86" i="90"/>
  <c r="I86" i="90"/>
  <c r="H86" i="90"/>
  <c r="S85" i="90"/>
  <c r="R85" i="90"/>
  <c r="Q85" i="90"/>
  <c r="P85" i="90"/>
  <c r="O85" i="90"/>
  <c r="N85" i="90"/>
  <c r="M85" i="90"/>
  <c r="L85" i="90"/>
  <c r="K85" i="90"/>
  <c r="J85" i="90"/>
  <c r="I85" i="90"/>
  <c r="H85" i="90"/>
  <c r="S83" i="90"/>
  <c r="R83" i="90"/>
  <c r="Q83" i="90"/>
  <c r="P83" i="90"/>
  <c r="O83" i="90"/>
  <c r="N83" i="90"/>
  <c r="M83" i="90"/>
  <c r="L83" i="90"/>
  <c r="K83" i="90"/>
  <c r="J83" i="90"/>
  <c r="I83" i="90"/>
  <c r="H83" i="90"/>
  <c r="S82" i="90"/>
  <c r="R82" i="90"/>
  <c r="Q82" i="90"/>
  <c r="P82" i="90"/>
  <c r="O82" i="90"/>
  <c r="N82" i="90"/>
  <c r="M82" i="90"/>
  <c r="L82" i="90"/>
  <c r="K82" i="90"/>
  <c r="J82" i="90"/>
  <c r="I82" i="90"/>
  <c r="H82" i="90"/>
  <c r="S81" i="90"/>
  <c r="R81" i="90"/>
  <c r="R81" i="70" s="1"/>
  <c r="Q81" i="90"/>
  <c r="P81" i="90"/>
  <c r="O81" i="90"/>
  <c r="N81" i="90"/>
  <c r="M81" i="90"/>
  <c r="L81" i="90"/>
  <c r="K81" i="90"/>
  <c r="J81" i="90"/>
  <c r="I81" i="90"/>
  <c r="H81" i="90"/>
  <c r="S80" i="90"/>
  <c r="R80" i="90"/>
  <c r="Q80" i="90"/>
  <c r="P80" i="90"/>
  <c r="O80" i="90"/>
  <c r="N80" i="90"/>
  <c r="N80" i="70" s="1"/>
  <c r="M80" i="90"/>
  <c r="L80" i="90"/>
  <c r="K80" i="90"/>
  <c r="J80" i="90"/>
  <c r="I80" i="90"/>
  <c r="H80" i="90"/>
  <c r="S79" i="90"/>
  <c r="R79" i="90"/>
  <c r="Q79" i="90"/>
  <c r="P79" i="90"/>
  <c r="O79" i="90"/>
  <c r="N79" i="90"/>
  <c r="M79" i="90"/>
  <c r="L79" i="90"/>
  <c r="K79" i="90"/>
  <c r="J79" i="90"/>
  <c r="I79" i="90"/>
  <c r="H79" i="90"/>
  <c r="S78" i="90"/>
  <c r="R78" i="90"/>
  <c r="Q78" i="90"/>
  <c r="P78" i="90"/>
  <c r="O78" i="90"/>
  <c r="N78" i="90"/>
  <c r="M78" i="90"/>
  <c r="L78" i="90"/>
  <c r="K78" i="90"/>
  <c r="J78" i="90"/>
  <c r="I78" i="90"/>
  <c r="H78" i="90"/>
  <c r="S77" i="90"/>
  <c r="R77" i="90"/>
  <c r="Q77" i="90"/>
  <c r="P77" i="90"/>
  <c r="O77" i="90"/>
  <c r="N77" i="90"/>
  <c r="M77" i="90"/>
  <c r="L77" i="90"/>
  <c r="K77" i="90"/>
  <c r="J77" i="90"/>
  <c r="I77" i="90"/>
  <c r="H77" i="90"/>
  <c r="S76" i="90"/>
  <c r="R76" i="90"/>
  <c r="Q76" i="90"/>
  <c r="P76" i="90"/>
  <c r="O76" i="90"/>
  <c r="N76" i="90"/>
  <c r="N76" i="70" s="1"/>
  <c r="M76" i="90"/>
  <c r="L76" i="90"/>
  <c r="K76" i="90"/>
  <c r="J76" i="90"/>
  <c r="I76" i="90"/>
  <c r="H76" i="90"/>
  <c r="S75" i="90"/>
  <c r="R75" i="90"/>
  <c r="Q75" i="90"/>
  <c r="P75" i="90"/>
  <c r="O75" i="90"/>
  <c r="N75" i="90"/>
  <c r="M75" i="90"/>
  <c r="L75" i="90"/>
  <c r="K75" i="90"/>
  <c r="J75" i="90"/>
  <c r="I75" i="90"/>
  <c r="H75" i="90"/>
  <c r="S74" i="90"/>
  <c r="R74" i="90"/>
  <c r="Q74" i="90"/>
  <c r="P74" i="90"/>
  <c r="O74" i="90"/>
  <c r="N74" i="90"/>
  <c r="M74" i="90"/>
  <c r="L74" i="90"/>
  <c r="K74" i="90"/>
  <c r="J74" i="90"/>
  <c r="I74" i="90"/>
  <c r="H74" i="90"/>
  <c r="S73" i="90"/>
  <c r="R73" i="90"/>
  <c r="Q73" i="90"/>
  <c r="P73" i="90"/>
  <c r="O73" i="90"/>
  <c r="N73" i="90"/>
  <c r="M73" i="90"/>
  <c r="L73" i="90"/>
  <c r="K73" i="90"/>
  <c r="J73" i="90"/>
  <c r="I73" i="90"/>
  <c r="H73" i="90"/>
  <c r="S72" i="90"/>
  <c r="R72" i="90"/>
  <c r="Q72" i="90"/>
  <c r="P72" i="90"/>
  <c r="O72" i="90"/>
  <c r="N72" i="90"/>
  <c r="N72" i="70" s="1"/>
  <c r="O72" i="70" s="1"/>
  <c r="M72" i="90"/>
  <c r="L72" i="90"/>
  <c r="K72" i="90"/>
  <c r="J72" i="90"/>
  <c r="I72" i="90"/>
  <c r="H72" i="90"/>
  <c r="S71" i="90"/>
  <c r="R71" i="90"/>
  <c r="Q71" i="90"/>
  <c r="P71" i="90"/>
  <c r="O71" i="90"/>
  <c r="N71" i="90"/>
  <c r="M71" i="90"/>
  <c r="L71" i="90"/>
  <c r="K71" i="90"/>
  <c r="J71" i="90"/>
  <c r="I71" i="90"/>
  <c r="H71" i="90"/>
  <c r="S70" i="90"/>
  <c r="R70" i="90"/>
  <c r="Q70" i="90"/>
  <c r="P70" i="90"/>
  <c r="O70" i="90"/>
  <c r="N70" i="90"/>
  <c r="M70" i="90"/>
  <c r="L70" i="90"/>
  <c r="K70" i="90"/>
  <c r="J70" i="90"/>
  <c r="I70" i="90"/>
  <c r="H70" i="90"/>
  <c r="S69" i="90"/>
  <c r="R69" i="90"/>
  <c r="R69" i="70" s="1"/>
  <c r="Q69" i="90"/>
  <c r="P69" i="90"/>
  <c r="O69" i="90"/>
  <c r="N69" i="90"/>
  <c r="M69" i="90"/>
  <c r="L69" i="90"/>
  <c r="K69" i="90"/>
  <c r="J69" i="90"/>
  <c r="I69" i="90"/>
  <c r="H69" i="90"/>
  <c r="S66" i="90"/>
  <c r="R66" i="90"/>
  <c r="Q66" i="90"/>
  <c r="P66" i="90"/>
  <c r="O66" i="90"/>
  <c r="N66" i="90"/>
  <c r="M66" i="90"/>
  <c r="L66" i="90"/>
  <c r="K66" i="90"/>
  <c r="J66" i="90"/>
  <c r="I66" i="90"/>
  <c r="H66" i="90"/>
  <c r="S65" i="90"/>
  <c r="R65" i="90"/>
  <c r="Q65" i="90"/>
  <c r="P65" i="90"/>
  <c r="O65" i="90"/>
  <c r="N65" i="90"/>
  <c r="M65" i="90"/>
  <c r="L65" i="90"/>
  <c r="K65" i="90"/>
  <c r="J65" i="90"/>
  <c r="I65" i="90"/>
  <c r="H65" i="90"/>
  <c r="S64" i="90"/>
  <c r="R64" i="90"/>
  <c r="Q64" i="90"/>
  <c r="P64" i="90"/>
  <c r="O64" i="90"/>
  <c r="N64" i="90"/>
  <c r="M64" i="90"/>
  <c r="L64" i="90"/>
  <c r="K64" i="90"/>
  <c r="J64" i="90"/>
  <c r="I64" i="90"/>
  <c r="H64" i="90"/>
  <c r="S63" i="90"/>
  <c r="R63" i="90"/>
  <c r="R63" i="70" s="1"/>
  <c r="Q63" i="90"/>
  <c r="P63" i="90"/>
  <c r="O63" i="90"/>
  <c r="N63" i="90"/>
  <c r="M63" i="90"/>
  <c r="L63" i="90"/>
  <c r="K63" i="90"/>
  <c r="J63" i="90"/>
  <c r="I63" i="90"/>
  <c r="H63" i="90"/>
  <c r="S62" i="90"/>
  <c r="R62" i="90"/>
  <c r="Q62" i="90"/>
  <c r="P62" i="90"/>
  <c r="O62" i="90"/>
  <c r="N62" i="90"/>
  <c r="N62" i="70" s="1"/>
  <c r="M62" i="90"/>
  <c r="L62" i="90"/>
  <c r="K62" i="90"/>
  <c r="J62" i="90"/>
  <c r="I62" i="90"/>
  <c r="H62" i="90"/>
  <c r="S61" i="90"/>
  <c r="R61" i="90"/>
  <c r="Q61" i="90"/>
  <c r="P61" i="90"/>
  <c r="O61" i="90"/>
  <c r="N61" i="90"/>
  <c r="M61" i="90"/>
  <c r="L61" i="90"/>
  <c r="K61" i="90"/>
  <c r="J61" i="90"/>
  <c r="I61" i="90"/>
  <c r="H61" i="90"/>
  <c r="S60" i="90"/>
  <c r="R60" i="90"/>
  <c r="Q60" i="90"/>
  <c r="P60" i="90"/>
  <c r="O60" i="90"/>
  <c r="N60" i="90"/>
  <c r="M60" i="90"/>
  <c r="L60" i="90"/>
  <c r="K60" i="90"/>
  <c r="J60" i="90"/>
  <c r="I60" i="90"/>
  <c r="H60" i="90"/>
  <c r="S59" i="90"/>
  <c r="R59" i="90"/>
  <c r="Q59" i="90"/>
  <c r="P59" i="90"/>
  <c r="O59" i="90"/>
  <c r="N59" i="90"/>
  <c r="M59" i="90"/>
  <c r="L59" i="90"/>
  <c r="K59" i="90"/>
  <c r="J59" i="90"/>
  <c r="I59" i="90"/>
  <c r="H59" i="90"/>
  <c r="S58" i="90"/>
  <c r="R58" i="90"/>
  <c r="Q58" i="90"/>
  <c r="P58" i="90"/>
  <c r="O58" i="90"/>
  <c r="N58" i="90"/>
  <c r="M58" i="90"/>
  <c r="L58" i="90"/>
  <c r="K58" i="90"/>
  <c r="J58" i="90"/>
  <c r="I58" i="90"/>
  <c r="H58" i="90"/>
  <c r="S57" i="90"/>
  <c r="R57" i="90"/>
  <c r="Q57" i="90"/>
  <c r="P57" i="90"/>
  <c r="O57" i="90"/>
  <c r="N57" i="90"/>
  <c r="M57" i="90"/>
  <c r="L57" i="90"/>
  <c r="K57" i="90"/>
  <c r="J57" i="90"/>
  <c r="I57" i="90"/>
  <c r="H57" i="90"/>
  <c r="S56" i="90"/>
  <c r="R56" i="90"/>
  <c r="Q56" i="90"/>
  <c r="P56" i="90"/>
  <c r="O56" i="90"/>
  <c r="N56" i="90"/>
  <c r="M56" i="90"/>
  <c r="L56" i="90"/>
  <c r="K56" i="90"/>
  <c r="J56" i="90"/>
  <c r="I56" i="90"/>
  <c r="H56" i="90"/>
  <c r="S55" i="90"/>
  <c r="R55" i="90"/>
  <c r="R55" i="70" s="1"/>
  <c r="Q55" i="90"/>
  <c r="P55" i="90"/>
  <c r="O55" i="90"/>
  <c r="N55" i="90"/>
  <c r="M55" i="90"/>
  <c r="L55" i="90"/>
  <c r="K55" i="90"/>
  <c r="J55" i="90"/>
  <c r="I55" i="90"/>
  <c r="H55" i="90"/>
  <c r="S54" i="90"/>
  <c r="R54" i="90"/>
  <c r="Q54" i="90"/>
  <c r="P54" i="90"/>
  <c r="O54" i="90"/>
  <c r="N54" i="90"/>
  <c r="N54" i="70" s="1"/>
  <c r="AQ8" i="46" s="1"/>
  <c r="AW8" i="46" s="1"/>
  <c r="M54" i="90"/>
  <c r="L54" i="90"/>
  <c r="K54" i="90"/>
  <c r="J54" i="90"/>
  <c r="I54" i="90"/>
  <c r="H54" i="90"/>
  <c r="S53" i="90"/>
  <c r="R53" i="90"/>
  <c r="Q53" i="90"/>
  <c r="P53" i="90"/>
  <c r="O53" i="90"/>
  <c r="N53" i="90"/>
  <c r="M53" i="90"/>
  <c r="L53" i="90"/>
  <c r="K53" i="90"/>
  <c r="J53" i="90"/>
  <c r="I53" i="90"/>
  <c r="H53" i="90"/>
  <c r="S52" i="90"/>
  <c r="R52" i="90"/>
  <c r="Q52" i="90"/>
  <c r="P52" i="90"/>
  <c r="O52" i="90"/>
  <c r="N52" i="90"/>
  <c r="M52" i="90"/>
  <c r="L52" i="90"/>
  <c r="K52" i="90"/>
  <c r="J52" i="90"/>
  <c r="I52" i="90"/>
  <c r="H52" i="90"/>
  <c r="S49" i="90"/>
  <c r="R49" i="90"/>
  <c r="Q49" i="90"/>
  <c r="P49" i="90"/>
  <c r="O49" i="90"/>
  <c r="N49" i="90"/>
  <c r="M49" i="90"/>
  <c r="L49" i="90"/>
  <c r="K49" i="90"/>
  <c r="J49" i="90"/>
  <c r="I49" i="90"/>
  <c r="H49" i="90"/>
  <c r="S48" i="90"/>
  <c r="R48" i="90"/>
  <c r="Q48" i="90"/>
  <c r="P48" i="90"/>
  <c r="O48" i="90"/>
  <c r="N48" i="90"/>
  <c r="M48" i="90"/>
  <c r="L48" i="90"/>
  <c r="K48" i="90"/>
  <c r="J48" i="90"/>
  <c r="I48" i="90"/>
  <c r="H48" i="90"/>
  <c r="S47" i="90"/>
  <c r="R47" i="90"/>
  <c r="Q47" i="90"/>
  <c r="P47" i="90"/>
  <c r="O47" i="90"/>
  <c r="N47" i="90"/>
  <c r="M47" i="90"/>
  <c r="L47" i="90"/>
  <c r="K47" i="90"/>
  <c r="J47" i="90"/>
  <c r="I47" i="90"/>
  <c r="H47" i="90"/>
  <c r="S46" i="90"/>
  <c r="R46" i="90"/>
  <c r="Q46" i="90"/>
  <c r="P46" i="90"/>
  <c r="O46" i="90"/>
  <c r="N46" i="90"/>
  <c r="M46" i="90"/>
  <c r="L46" i="90"/>
  <c r="K46" i="90"/>
  <c r="J46" i="90"/>
  <c r="I46" i="90"/>
  <c r="H46" i="90"/>
  <c r="S45" i="90"/>
  <c r="R45" i="90"/>
  <c r="R45" i="70" s="1"/>
  <c r="Q45" i="90"/>
  <c r="P45" i="90"/>
  <c r="O45" i="90"/>
  <c r="N45" i="90"/>
  <c r="M45" i="90"/>
  <c r="L45" i="90"/>
  <c r="K45" i="90"/>
  <c r="J45" i="90"/>
  <c r="I45" i="90"/>
  <c r="H45" i="90"/>
  <c r="S44" i="90"/>
  <c r="R44" i="90"/>
  <c r="Q44" i="90"/>
  <c r="P44" i="90"/>
  <c r="O44" i="90"/>
  <c r="N44" i="90"/>
  <c r="N44" i="70" s="1"/>
  <c r="M44" i="90"/>
  <c r="L44" i="90"/>
  <c r="K44" i="90"/>
  <c r="J44" i="90"/>
  <c r="I44" i="90"/>
  <c r="H44" i="90"/>
  <c r="S43" i="90"/>
  <c r="R43" i="90"/>
  <c r="Q43" i="90"/>
  <c r="P43" i="90"/>
  <c r="O43" i="90"/>
  <c r="N43" i="90"/>
  <c r="M43" i="90"/>
  <c r="L43" i="90"/>
  <c r="K43" i="90"/>
  <c r="J43" i="90"/>
  <c r="I43" i="90"/>
  <c r="H43" i="90"/>
  <c r="S39" i="90"/>
  <c r="R39" i="90"/>
  <c r="Q39" i="90"/>
  <c r="P39" i="90"/>
  <c r="O39" i="90"/>
  <c r="N39" i="90"/>
  <c r="M39" i="90"/>
  <c r="L39" i="90"/>
  <c r="K39" i="90"/>
  <c r="J39" i="90"/>
  <c r="I39" i="90"/>
  <c r="H39" i="90"/>
  <c r="S38" i="90"/>
  <c r="R38" i="90"/>
  <c r="Q38" i="90"/>
  <c r="P38" i="90"/>
  <c r="O38" i="90"/>
  <c r="N38" i="90"/>
  <c r="M38" i="90"/>
  <c r="L38" i="90"/>
  <c r="K38" i="90"/>
  <c r="J38" i="90"/>
  <c r="I38" i="90"/>
  <c r="H38" i="90"/>
  <c r="S37" i="90"/>
  <c r="R37" i="90"/>
  <c r="Q37" i="90"/>
  <c r="P37" i="90"/>
  <c r="O37" i="90"/>
  <c r="N37" i="90"/>
  <c r="M37" i="90"/>
  <c r="L37" i="90"/>
  <c r="K37" i="90"/>
  <c r="J37" i="90"/>
  <c r="I37" i="90"/>
  <c r="H37" i="90"/>
  <c r="S36" i="90"/>
  <c r="R36" i="90"/>
  <c r="Q36" i="90"/>
  <c r="P36" i="90"/>
  <c r="O36" i="90"/>
  <c r="N36" i="90"/>
  <c r="M36" i="90"/>
  <c r="L36" i="90"/>
  <c r="K36" i="90"/>
  <c r="J36" i="90"/>
  <c r="I36" i="90"/>
  <c r="H36" i="90"/>
  <c r="S35" i="90"/>
  <c r="R35" i="90"/>
  <c r="Q35" i="90"/>
  <c r="P35" i="90"/>
  <c r="O35" i="90"/>
  <c r="N35" i="90"/>
  <c r="M35" i="90"/>
  <c r="L35" i="90"/>
  <c r="K35" i="90"/>
  <c r="J35" i="90"/>
  <c r="I35" i="90"/>
  <c r="H35" i="90"/>
  <c r="S34" i="90"/>
  <c r="R34" i="90"/>
  <c r="Q34" i="90"/>
  <c r="P34" i="90"/>
  <c r="O34" i="90"/>
  <c r="N34" i="90"/>
  <c r="M34" i="90"/>
  <c r="L34" i="90"/>
  <c r="K34" i="90"/>
  <c r="J34" i="90"/>
  <c r="I34" i="90"/>
  <c r="H34" i="90"/>
  <c r="S33" i="90"/>
  <c r="R33" i="90"/>
  <c r="Q33" i="90"/>
  <c r="P33" i="90"/>
  <c r="O33" i="90"/>
  <c r="N33" i="90"/>
  <c r="M33" i="90"/>
  <c r="L33" i="90"/>
  <c r="K33" i="90"/>
  <c r="J33" i="90"/>
  <c r="I33" i="90"/>
  <c r="H33" i="90"/>
  <c r="S32" i="90"/>
  <c r="R32" i="90"/>
  <c r="Q32" i="90"/>
  <c r="P32" i="90"/>
  <c r="O32" i="90"/>
  <c r="N32" i="90"/>
  <c r="M32" i="90"/>
  <c r="L32" i="90"/>
  <c r="K32" i="90"/>
  <c r="J32" i="90"/>
  <c r="I32" i="90"/>
  <c r="H32" i="90"/>
  <c r="S31" i="90"/>
  <c r="R31" i="90"/>
  <c r="Q31" i="90"/>
  <c r="P31" i="90"/>
  <c r="O31" i="90"/>
  <c r="N31" i="90"/>
  <c r="M31" i="90"/>
  <c r="L31" i="90"/>
  <c r="K31" i="90"/>
  <c r="J31" i="90"/>
  <c r="I31" i="90"/>
  <c r="H31" i="90"/>
  <c r="S29" i="90"/>
  <c r="R29" i="90"/>
  <c r="Q29" i="90"/>
  <c r="P29" i="90"/>
  <c r="O29" i="90"/>
  <c r="N29" i="90"/>
  <c r="M29" i="90"/>
  <c r="L29" i="90"/>
  <c r="K29" i="90"/>
  <c r="J29" i="90"/>
  <c r="I29" i="90"/>
  <c r="H29" i="90"/>
  <c r="S28" i="90"/>
  <c r="R28" i="90"/>
  <c r="Q28" i="90"/>
  <c r="P28" i="90"/>
  <c r="O28" i="90"/>
  <c r="N28" i="90"/>
  <c r="N28" i="70" s="1"/>
  <c r="M28" i="90"/>
  <c r="L28" i="90"/>
  <c r="K28" i="90"/>
  <c r="J28" i="90"/>
  <c r="I28" i="90"/>
  <c r="H28" i="90"/>
  <c r="S27" i="90"/>
  <c r="R27" i="90"/>
  <c r="Q27" i="90"/>
  <c r="P27" i="90"/>
  <c r="O27" i="90"/>
  <c r="N27" i="90"/>
  <c r="M27" i="90"/>
  <c r="L27" i="90"/>
  <c r="K27" i="90"/>
  <c r="J27" i="90"/>
  <c r="I27" i="90"/>
  <c r="H27" i="90"/>
  <c r="S26" i="90"/>
  <c r="R26" i="90"/>
  <c r="Q26" i="90"/>
  <c r="P26" i="90"/>
  <c r="O26" i="90"/>
  <c r="N26" i="90"/>
  <c r="M26" i="90"/>
  <c r="L26" i="90"/>
  <c r="K26" i="90"/>
  <c r="J26" i="90"/>
  <c r="I26" i="90"/>
  <c r="H26" i="90"/>
  <c r="S25" i="90"/>
  <c r="R25" i="90"/>
  <c r="Q25" i="90"/>
  <c r="P25" i="90"/>
  <c r="O25" i="90"/>
  <c r="N25" i="90"/>
  <c r="M25" i="90"/>
  <c r="L25" i="90"/>
  <c r="K25" i="90"/>
  <c r="J25" i="90"/>
  <c r="I25" i="90"/>
  <c r="H25" i="90"/>
  <c r="S24" i="90"/>
  <c r="R24" i="90"/>
  <c r="Q24" i="90"/>
  <c r="P24" i="90"/>
  <c r="O24" i="90"/>
  <c r="N24" i="90"/>
  <c r="M24" i="90"/>
  <c r="L24" i="90"/>
  <c r="K24" i="90"/>
  <c r="J24" i="90"/>
  <c r="I24" i="90"/>
  <c r="H24" i="90"/>
  <c r="S23" i="90"/>
  <c r="R23" i="90"/>
  <c r="Q23" i="90"/>
  <c r="P23" i="90"/>
  <c r="O23" i="90"/>
  <c r="N23" i="90"/>
  <c r="M23" i="90"/>
  <c r="L23" i="90"/>
  <c r="K23" i="90"/>
  <c r="J23" i="90"/>
  <c r="I23" i="90"/>
  <c r="H23" i="90"/>
  <c r="S22" i="90"/>
  <c r="R22" i="90"/>
  <c r="Q22" i="90"/>
  <c r="P22" i="90"/>
  <c r="O22" i="90"/>
  <c r="N22" i="90"/>
  <c r="M22" i="90"/>
  <c r="L22" i="90"/>
  <c r="K22" i="90"/>
  <c r="J22" i="90"/>
  <c r="I22" i="90"/>
  <c r="H22" i="90"/>
  <c r="S21" i="90"/>
  <c r="R21" i="90"/>
  <c r="Q21" i="90"/>
  <c r="P21" i="90"/>
  <c r="O21" i="90"/>
  <c r="N21" i="90"/>
  <c r="M21" i="90"/>
  <c r="L21" i="90"/>
  <c r="K21" i="90"/>
  <c r="J21" i="90"/>
  <c r="I21" i="90"/>
  <c r="H21" i="90"/>
  <c r="S20" i="90"/>
  <c r="R20" i="90"/>
  <c r="Q20" i="90"/>
  <c r="P20" i="90"/>
  <c r="O20" i="90"/>
  <c r="N20" i="90"/>
  <c r="M20" i="90"/>
  <c r="L20" i="90"/>
  <c r="K20" i="90"/>
  <c r="J20" i="90"/>
  <c r="I20" i="90"/>
  <c r="H20" i="90"/>
  <c r="S19" i="90"/>
  <c r="R19" i="90"/>
  <c r="Q19" i="90"/>
  <c r="P19" i="90"/>
  <c r="O19" i="90"/>
  <c r="N19" i="90"/>
  <c r="M19" i="90"/>
  <c r="L19" i="90"/>
  <c r="K19" i="90"/>
  <c r="J19" i="90"/>
  <c r="I19" i="90"/>
  <c r="H19" i="90"/>
  <c r="S18" i="90"/>
  <c r="R18" i="90"/>
  <c r="Q18" i="90"/>
  <c r="P18" i="90"/>
  <c r="O18" i="90"/>
  <c r="N18" i="90"/>
  <c r="M18" i="90"/>
  <c r="L18" i="90"/>
  <c r="K18" i="90"/>
  <c r="J18" i="90"/>
  <c r="I18" i="90"/>
  <c r="H18" i="90"/>
  <c r="S17" i="90"/>
  <c r="R17" i="90"/>
  <c r="R17" i="70" s="1"/>
  <c r="Q17" i="90"/>
  <c r="P17" i="90"/>
  <c r="O17" i="90"/>
  <c r="N17" i="90"/>
  <c r="M17" i="90"/>
  <c r="L17" i="90"/>
  <c r="K17" i="90"/>
  <c r="J17" i="90"/>
  <c r="I17" i="90"/>
  <c r="H17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S13" i="90"/>
  <c r="R13" i="90"/>
  <c r="Q13" i="90"/>
  <c r="P13" i="90"/>
  <c r="O13" i="90"/>
  <c r="N13" i="90"/>
  <c r="M13" i="90"/>
  <c r="L13" i="90"/>
  <c r="K13" i="90"/>
  <c r="J13" i="90"/>
  <c r="I13" i="90"/>
  <c r="H13" i="90"/>
  <c r="S12" i="90"/>
  <c r="R12" i="90"/>
  <c r="Q12" i="90"/>
  <c r="P12" i="90"/>
  <c r="O12" i="90"/>
  <c r="N12" i="90"/>
  <c r="M12" i="90"/>
  <c r="L12" i="90"/>
  <c r="K12" i="90"/>
  <c r="J12" i="90"/>
  <c r="I12" i="90"/>
  <c r="H12" i="90"/>
  <c r="S11" i="90"/>
  <c r="R11" i="90"/>
  <c r="Q11" i="90"/>
  <c r="P11" i="90"/>
  <c r="O11" i="90"/>
  <c r="N11" i="90"/>
  <c r="M11" i="90"/>
  <c r="L11" i="90"/>
  <c r="K11" i="90"/>
  <c r="J11" i="90"/>
  <c r="I11" i="90"/>
  <c r="H11" i="90"/>
  <c r="S10" i="90"/>
  <c r="R10" i="90"/>
  <c r="Q10" i="90"/>
  <c r="P10" i="90"/>
  <c r="O10" i="90"/>
  <c r="N10" i="90"/>
  <c r="M10" i="90"/>
  <c r="L10" i="90"/>
  <c r="K10" i="90"/>
  <c r="J10" i="90"/>
  <c r="I10" i="90"/>
  <c r="H10" i="90"/>
  <c r="S9" i="90"/>
  <c r="R9" i="90"/>
  <c r="Q9" i="90"/>
  <c r="P9" i="90"/>
  <c r="O9" i="90"/>
  <c r="N9" i="90"/>
  <c r="M9" i="90"/>
  <c r="L9" i="90"/>
  <c r="K9" i="90"/>
  <c r="J9" i="90"/>
  <c r="I9" i="90"/>
  <c r="H9" i="90"/>
  <c r="S8" i="90"/>
  <c r="R8" i="90"/>
  <c r="Q8" i="90"/>
  <c r="P8" i="90"/>
  <c r="O8" i="90"/>
  <c r="N8" i="90"/>
  <c r="M8" i="90"/>
  <c r="L8" i="90"/>
  <c r="K8" i="90"/>
  <c r="J8" i="90"/>
  <c r="I8" i="90"/>
  <c r="H8" i="90"/>
  <c r="S7" i="90"/>
  <c r="R7" i="90"/>
  <c r="R7" i="70" s="1"/>
  <c r="Q7" i="90"/>
  <c r="P7" i="90"/>
  <c r="O7" i="90"/>
  <c r="N7" i="90"/>
  <c r="M7" i="90"/>
  <c r="L7" i="90"/>
  <c r="K7" i="90"/>
  <c r="J7" i="90"/>
  <c r="I7" i="90"/>
  <c r="H7" i="90"/>
  <c r="S6" i="90"/>
  <c r="R6" i="90"/>
  <c r="Q6" i="90"/>
  <c r="P6" i="90"/>
  <c r="O6" i="90"/>
  <c r="N6" i="90"/>
  <c r="N6" i="70" s="1"/>
  <c r="M6" i="90"/>
  <c r="L6" i="90"/>
  <c r="K6" i="90"/>
  <c r="J6" i="90"/>
  <c r="I6" i="90"/>
  <c r="H6" i="90"/>
  <c r="S5" i="90"/>
  <c r="R5" i="90"/>
  <c r="Q5" i="90"/>
  <c r="P5" i="90"/>
  <c r="O5" i="90"/>
  <c r="N5" i="90"/>
  <c r="M5" i="90"/>
  <c r="L5" i="90"/>
  <c r="K5" i="90"/>
  <c r="J5" i="90"/>
  <c r="I5" i="90"/>
  <c r="H5" i="90"/>
  <c r="H2" i="90"/>
  <c r="G158" i="90" s="1"/>
  <c r="G2" i="90"/>
  <c r="AK159" i="99"/>
  <c r="AJ159" i="99"/>
  <c r="AI159" i="99"/>
  <c r="AH159" i="99"/>
  <c r="AG159" i="99"/>
  <c r="AF159" i="99"/>
  <c r="AE159" i="99"/>
  <c r="AD159" i="99"/>
  <c r="AC159" i="99"/>
  <c r="AB159" i="99"/>
  <c r="AA159" i="99"/>
  <c r="Z159" i="99"/>
  <c r="Y159" i="99"/>
  <c r="X159" i="99"/>
  <c r="W159" i="99"/>
  <c r="V159" i="99"/>
  <c r="U159" i="99"/>
  <c r="T159" i="99"/>
  <c r="S159" i="99"/>
  <c r="R159" i="99"/>
  <c r="Q159" i="99"/>
  <c r="P159" i="99"/>
  <c r="O159" i="99"/>
  <c r="N159" i="99"/>
  <c r="M159" i="99"/>
  <c r="L159" i="99"/>
  <c r="K159" i="99"/>
  <c r="J159" i="99"/>
  <c r="I159" i="99"/>
  <c r="H159" i="99"/>
  <c r="AK158" i="99"/>
  <c r="AJ158" i="99"/>
  <c r="AI158" i="99"/>
  <c r="AH158" i="99"/>
  <c r="AG158" i="99"/>
  <c r="AF158" i="99"/>
  <c r="AE158" i="99"/>
  <c r="AD158" i="99"/>
  <c r="AC158" i="99"/>
  <c r="AB158" i="99"/>
  <c r="AA158" i="99"/>
  <c r="Z158" i="99"/>
  <c r="Y158" i="99"/>
  <c r="X158" i="99"/>
  <c r="W158" i="99"/>
  <c r="V158" i="99"/>
  <c r="U158" i="99"/>
  <c r="T158" i="99"/>
  <c r="S158" i="99"/>
  <c r="R158" i="99"/>
  <c r="Q158" i="99"/>
  <c r="P158" i="99"/>
  <c r="O158" i="99"/>
  <c r="N158" i="99"/>
  <c r="M158" i="99"/>
  <c r="L158" i="99"/>
  <c r="K158" i="99"/>
  <c r="J158" i="99"/>
  <c r="I158" i="99"/>
  <c r="H158" i="99"/>
  <c r="G158" i="99"/>
  <c r="M153" i="99"/>
  <c r="L153" i="99"/>
  <c r="K153" i="99"/>
  <c r="J153" i="99"/>
  <c r="I153" i="99"/>
  <c r="H153" i="99"/>
  <c r="S148" i="99"/>
  <c r="R148" i="99"/>
  <c r="Q148" i="99"/>
  <c r="P148" i="99"/>
  <c r="O148" i="99"/>
  <c r="N148" i="99"/>
  <c r="M148" i="99"/>
  <c r="L148" i="99"/>
  <c r="K148" i="99"/>
  <c r="J148" i="99"/>
  <c r="I148" i="99"/>
  <c r="H148" i="99"/>
  <c r="S147" i="99"/>
  <c r="R147" i="99"/>
  <c r="Q147" i="99"/>
  <c r="P147" i="99"/>
  <c r="O147" i="99"/>
  <c r="N147" i="99"/>
  <c r="M147" i="99"/>
  <c r="L147" i="99"/>
  <c r="K147" i="99"/>
  <c r="J147" i="99"/>
  <c r="I147" i="99"/>
  <c r="H147" i="99"/>
  <c r="S146" i="99"/>
  <c r="R146" i="99"/>
  <c r="Q146" i="99"/>
  <c r="P146" i="99"/>
  <c r="O146" i="99"/>
  <c r="N146" i="99"/>
  <c r="M146" i="99"/>
  <c r="L146" i="99"/>
  <c r="K146" i="99"/>
  <c r="J146" i="99"/>
  <c r="I146" i="99"/>
  <c r="H146" i="99"/>
  <c r="S145" i="99"/>
  <c r="R145" i="99"/>
  <c r="R145" i="70" s="1"/>
  <c r="Q145" i="99"/>
  <c r="P145" i="99"/>
  <c r="O145" i="99"/>
  <c r="N145" i="99"/>
  <c r="M145" i="99"/>
  <c r="L145" i="99"/>
  <c r="K145" i="99"/>
  <c r="J145" i="99"/>
  <c r="I145" i="99"/>
  <c r="H145" i="99"/>
  <c r="S144" i="99"/>
  <c r="R144" i="99"/>
  <c r="Q144" i="99"/>
  <c r="P144" i="99"/>
  <c r="O144" i="99"/>
  <c r="N144" i="99"/>
  <c r="M144" i="99"/>
  <c r="L144" i="99"/>
  <c r="K144" i="99"/>
  <c r="J144" i="99"/>
  <c r="I144" i="99"/>
  <c r="H144" i="99"/>
  <c r="S143" i="99"/>
  <c r="R143" i="99"/>
  <c r="Q143" i="99"/>
  <c r="P143" i="99"/>
  <c r="O143" i="99"/>
  <c r="N143" i="99"/>
  <c r="M143" i="99"/>
  <c r="L143" i="99"/>
  <c r="K143" i="99"/>
  <c r="J143" i="99"/>
  <c r="I143" i="99"/>
  <c r="H143" i="99"/>
  <c r="S142" i="99"/>
  <c r="R142" i="99"/>
  <c r="Q142" i="99"/>
  <c r="P142" i="99"/>
  <c r="O142" i="99"/>
  <c r="N142" i="99"/>
  <c r="M142" i="99"/>
  <c r="L142" i="99"/>
  <c r="K142" i="99"/>
  <c r="J142" i="99"/>
  <c r="I142" i="99"/>
  <c r="H142" i="99"/>
  <c r="H142" i="70" s="1"/>
  <c r="S141" i="99"/>
  <c r="R141" i="99"/>
  <c r="Q141" i="99"/>
  <c r="P141" i="99"/>
  <c r="O141" i="99"/>
  <c r="N141" i="99"/>
  <c r="M141" i="99"/>
  <c r="L141" i="99"/>
  <c r="K141" i="99"/>
  <c r="J141" i="99"/>
  <c r="I141" i="99"/>
  <c r="H141" i="99"/>
  <c r="S140" i="99"/>
  <c r="R140" i="99"/>
  <c r="Q140" i="99"/>
  <c r="P140" i="99"/>
  <c r="O140" i="99"/>
  <c r="N140" i="99"/>
  <c r="M140" i="99"/>
  <c r="L140" i="99"/>
  <c r="K140" i="99"/>
  <c r="J140" i="99"/>
  <c r="I140" i="99"/>
  <c r="H140" i="99"/>
  <c r="S135" i="99"/>
  <c r="R135" i="99"/>
  <c r="Q135" i="99"/>
  <c r="P135" i="99"/>
  <c r="O135" i="99"/>
  <c r="N135" i="99"/>
  <c r="M135" i="99"/>
  <c r="L135" i="99"/>
  <c r="K135" i="99"/>
  <c r="J135" i="99"/>
  <c r="I135" i="99"/>
  <c r="H135" i="99"/>
  <c r="S134" i="99"/>
  <c r="R134" i="99"/>
  <c r="Q134" i="99"/>
  <c r="P134" i="99"/>
  <c r="O134" i="99"/>
  <c r="N134" i="99"/>
  <c r="M134" i="99"/>
  <c r="L134" i="99"/>
  <c r="K134" i="99"/>
  <c r="J134" i="99"/>
  <c r="I134" i="99"/>
  <c r="H134" i="99"/>
  <c r="S133" i="99"/>
  <c r="R133" i="99"/>
  <c r="Q133" i="99"/>
  <c r="P133" i="99"/>
  <c r="O133" i="99"/>
  <c r="N133" i="99"/>
  <c r="M133" i="99"/>
  <c r="L133" i="99"/>
  <c r="K133" i="99"/>
  <c r="J133" i="99"/>
  <c r="I133" i="99"/>
  <c r="H133" i="99"/>
  <c r="S132" i="99"/>
  <c r="R132" i="99"/>
  <c r="Q132" i="99"/>
  <c r="P132" i="99"/>
  <c r="O132" i="99"/>
  <c r="N132" i="99"/>
  <c r="M132" i="99"/>
  <c r="L132" i="99"/>
  <c r="K132" i="99"/>
  <c r="J132" i="99"/>
  <c r="I132" i="99"/>
  <c r="H132" i="99"/>
  <c r="S131" i="99"/>
  <c r="R131" i="99"/>
  <c r="Q131" i="99"/>
  <c r="P131" i="99"/>
  <c r="O131" i="99"/>
  <c r="N131" i="99"/>
  <c r="M131" i="99"/>
  <c r="L131" i="99"/>
  <c r="K131" i="99"/>
  <c r="J131" i="99"/>
  <c r="I131" i="99"/>
  <c r="H131" i="99"/>
  <c r="S130" i="99"/>
  <c r="R130" i="99"/>
  <c r="Q130" i="99"/>
  <c r="P130" i="99"/>
  <c r="O130" i="99"/>
  <c r="N130" i="99"/>
  <c r="M130" i="99"/>
  <c r="L130" i="99"/>
  <c r="K130" i="99"/>
  <c r="J130" i="99"/>
  <c r="I130" i="99"/>
  <c r="H130" i="99"/>
  <c r="S129" i="99"/>
  <c r="R129" i="99"/>
  <c r="Q129" i="99"/>
  <c r="P129" i="99"/>
  <c r="P129" i="70" s="1"/>
  <c r="O129" i="99"/>
  <c r="N129" i="99"/>
  <c r="M129" i="99"/>
  <c r="L129" i="99"/>
  <c r="K129" i="99"/>
  <c r="J129" i="99"/>
  <c r="I129" i="99"/>
  <c r="H129" i="99"/>
  <c r="S128" i="99"/>
  <c r="R128" i="99"/>
  <c r="Q128" i="99"/>
  <c r="P128" i="99"/>
  <c r="O128" i="99"/>
  <c r="N128" i="99"/>
  <c r="M128" i="99"/>
  <c r="L128" i="99"/>
  <c r="K128" i="99"/>
  <c r="J128" i="99"/>
  <c r="I128" i="99"/>
  <c r="H128" i="99"/>
  <c r="S127" i="99"/>
  <c r="R127" i="99"/>
  <c r="Q127" i="99"/>
  <c r="P127" i="99"/>
  <c r="O127" i="99"/>
  <c r="N127" i="99"/>
  <c r="M127" i="99"/>
  <c r="L127" i="99"/>
  <c r="K127" i="99"/>
  <c r="J127" i="99"/>
  <c r="I127" i="99"/>
  <c r="H127" i="99"/>
  <c r="S126" i="99"/>
  <c r="R126" i="99"/>
  <c r="Q126" i="99"/>
  <c r="P126" i="99"/>
  <c r="O126" i="99"/>
  <c r="N126" i="99"/>
  <c r="M126" i="99"/>
  <c r="L126" i="99"/>
  <c r="K126" i="99"/>
  <c r="J126" i="99"/>
  <c r="I126" i="99"/>
  <c r="H126" i="99"/>
  <c r="S125" i="99"/>
  <c r="R125" i="99"/>
  <c r="Q125" i="99"/>
  <c r="P125" i="99"/>
  <c r="O125" i="99"/>
  <c r="N125" i="99"/>
  <c r="M125" i="99"/>
  <c r="L125" i="99"/>
  <c r="K125" i="99"/>
  <c r="J125" i="99"/>
  <c r="I125" i="99"/>
  <c r="H125" i="99"/>
  <c r="S124" i="99"/>
  <c r="R124" i="99"/>
  <c r="Q124" i="99"/>
  <c r="P124" i="99"/>
  <c r="O124" i="99"/>
  <c r="N124" i="99"/>
  <c r="M124" i="99"/>
  <c r="L124" i="99"/>
  <c r="K124" i="99"/>
  <c r="J124" i="99"/>
  <c r="I124" i="99"/>
  <c r="H124" i="99"/>
  <c r="S123" i="99"/>
  <c r="R123" i="99"/>
  <c r="Q123" i="99"/>
  <c r="P123" i="99"/>
  <c r="O123" i="99"/>
  <c r="N123" i="99"/>
  <c r="M123" i="99"/>
  <c r="L123" i="99"/>
  <c r="K123" i="99"/>
  <c r="J123" i="99"/>
  <c r="I123" i="99"/>
  <c r="H123" i="99"/>
  <c r="S122" i="99"/>
  <c r="R122" i="99"/>
  <c r="Q122" i="99"/>
  <c r="P122" i="99"/>
  <c r="O122" i="99"/>
  <c r="N122" i="99"/>
  <c r="M122" i="99"/>
  <c r="L122" i="99"/>
  <c r="K122" i="99"/>
  <c r="J122" i="99"/>
  <c r="I122" i="99"/>
  <c r="H122" i="99"/>
  <c r="S121" i="99"/>
  <c r="R121" i="99"/>
  <c r="Q121" i="99"/>
  <c r="P121" i="99"/>
  <c r="O121" i="99"/>
  <c r="N121" i="99"/>
  <c r="M121" i="99"/>
  <c r="L121" i="99"/>
  <c r="K121" i="99"/>
  <c r="J121" i="99"/>
  <c r="I121" i="99"/>
  <c r="H121" i="99"/>
  <c r="S120" i="99"/>
  <c r="R120" i="99"/>
  <c r="Q120" i="99"/>
  <c r="P120" i="99"/>
  <c r="O120" i="99"/>
  <c r="N120" i="99"/>
  <c r="M120" i="99"/>
  <c r="L120" i="99"/>
  <c r="K120" i="99"/>
  <c r="K120" i="70" s="1"/>
  <c r="J120" i="99"/>
  <c r="I120" i="99"/>
  <c r="H120" i="99"/>
  <c r="S119" i="99"/>
  <c r="R119" i="99"/>
  <c r="Q119" i="99"/>
  <c r="P119" i="99"/>
  <c r="O119" i="99"/>
  <c r="N119" i="99"/>
  <c r="M119" i="99"/>
  <c r="L119" i="99"/>
  <c r="K119" i="99"/>
  <c r="J119" i="99"/>
  <c r="I119" i="99"/>
  <c r="H119" i="99"/>
  <c r="S118" i="99"/>
  <c r="R118" i="99"/>
  <c r="Q118" i="99"/>
  <c r="P118" i="99"/>
  <c r="O118" i="99"/>
  <c r="N118" i="99"/>
  <c r="M118" i="99"/>
  <c r="L118" i="99"/>
  <c r="K118" i="99"/>
  <c r="J118" i="99"/>
  <c r="I118" i="99"/>
  <c r="H118" i="99"/>
  <c r="S117" i="99"/>
  <c r="R117" i="99"/>
  <c r="Q117" i="99"/>
  <c r="P117" i="99"/>
  <c r="O117" i="99"/>
  <c r="N117" i="99"/>
  <c r="M117" i="99"/>
  <c r="L117" i="99"/>
  <c r="K117" i="99"/>
  <c r="J117" i="99"/>
  <c r="I117" i="99"/>
  <c r="H117" i="99"/>
  <c r="S116" i="99"/>
  <c r="R116" i="99"/>
  <c r="Q116" i="99"/>
  <c r="P116" i="99"/>
  <c r="O116" i="99"/>
  <c r="N116" i="99"/>
  <c r="M116" i="99"/>
  <c r="L116" i="99"/>
  <c r="K116" i="99"/>
  <c r="J116" i="99"/>
  <c r="I116" i="99"/>
  <c r="H116" i="99"/>
  <c r="S115" i="99"/>
  <c r="R115" i="99"/>
  <c r="Q115" i="99"/>
  <c r="P115" i="99"/>
  <c r="O115" i="99"/>
  <c r="N115" i="99"/>
  <c r="M115" i="99"/>
  <c r="L115" i="99"/>
  <c r="K115" i="99"/>
  <c r="J115" i="99"/>
  <c r="I115" i="99"/>
  <c r="H115" i="99"/>
  <c r="S114" i="99"/>
  <c r="R114" i="99"/>
  <c r="Q114" i="99"/>
  <c r="P114" i="99"/>
  <c r="O114" i="99"/>
  <c r="N114" i="99"/>
  <c r="M114" i="99"/>
  <c r="L114" i="99"/>
  <c r="K114" i="99"/>
  <c r="J114" i="99"/>
  <c r="I114" i="99"/>
  <c r="H114" i="99"/>
  <c r="S113" i="99"/>
  <c r="R113" i="99"/>
  <c r="Q113" i="99"/>
  <c r="P113" i="99"/>
  <c r="O113" i="99"/>
  <c r="N113" i="99"/>
  <c r="M113" i="99"/>
  <c r="L113" i="99"/>
  <c r="K113" i="99"/>
  <c r="J113" i="99"/>
  <c r="I113" i="99"/>
  <c r="H113" i="99"/>
  <c r="S112" i="99"/>
  <c r="R112" i="99"/>
  <c r="Q112" i="99"/>
  <c r="P112" i="99"/>
  <c r="O112" i="99"/>
  <c r="N112" i="99"/>
  <c r="M112" i="99"/>
  <c r="L112" i="99"/>
  <c r="K112" i="99"/>
  <c r="J112" i="99"/>
  <c r="I112" i="99"/>
  <c r="H112" i="99"/>
  <c r="S111" i="99"/>
  <c r="R111" i="99"/>
  <c r="Q111" i="99"/>
  <c r="P111" i="99"/>
  <c r="O111" i="99"/>
  <c r="N111" i="99"/>
  <c r="M111" i="99"/>
  <c r="L111" i="99"/>
  <c r="K111" i="99"/>
  <c r="J111" i="99"/>
  <c r="I111" i="99"/>
  <c r="H111" i="99"/>
  <c r="S110" i="99"/>
  <c r="R110" i="99"/>
  <c r="Q110" i="99"/>
  <c r="P110" i="99"/>
  <c r="O110" i="99"/>
  <c r="N110" i="99"/>
  <c r="M110" i="99"/>
  <c r="L110" i="99"/>
  <c r="K110" i="99"/>
  <c r="J110" i="99"/>
  <c r="I110" i="99"/>
  <c r="H110" i="99"/>
  <c r="S109" i="99"/>
  <c r="R109" i="99"/>
  <c r="Q109" i="99"/>
  <c r="P109" i="99"/>
  <c r="O109" i="99"/>
  <c r="N109" i="99"/>
  <c r="M109" i="99"/>
  <c r="L109" i="99"/>
  <c r="K109" i="99"/>
  <c r="J109" i="99"/>
  <c r="I109" i="99"/>
  <c r="H109" i="99"/>
  <c r="S108" i="99"/>
  <c r="R108" i="99"/>
  <c r="Q108" i="99"/>
  <c r="P108" i="99"/>
  <c r="O108" i="99"/>
  <c r="N108" i="99"/>
  <c r="M108" i="99"/>
  <c r="L108" i="99"/>
  <c r="K108" i="99"/>
  <c r="J108" i="99"/>
  <c r="I108" i="99"/>
  <c r="H108" i="99"/>
  <c r="S107" i="99"/>
  <c r="R107" i="99"/>
  <c r="Q107" i="99"/>
  <c r="P107" i="99"/>
  <c r="O107" i="99"/>
  <c r="N107" i="99"/>
  <c r="M107" i="99"/>
  <c r="L107" i="99"/>
  <c r="K107" i="99"/>
  <c r="J107" i="99"/>
  <c r="I107" i="99"/>
  <c r="H107" i="99"/>
  <c r="S106" i="99"/>
  <c r="R106" i="99"/>
  <c r="Q106" i="99"/>
  <c r="P106" i="99"/>
  <c r="O106" i="99"/>
  <c r="N106" i="99"/>
  <c r="M106" i="99"/>
  <c r="L106" i="99"/>
  <c r="K106" i="99"/>
  <c r="J106" i="99"/>
  <c r="I106" i="99"/>
  <c r="H106" i="99"/>
  <c r="S105" i="99"/>
  <c r="R105" i="99"/>
  <c r="Q105" i="99"/>
  <c r="P105" i="99"/>
  <c r="O105" i="99"/>
  <c r="N105" i="99"/>
  <c r="M105" i="99"/>
  <c r="L105" i="99"/>
  <c r="K105" i="99"/>
  <c r="J105" i="99"/>
  <c r="I105" i="99"/>
  <c r="I105" i="70" s="1"/>
  <c r="H105" i="99"/>
  <c r="S104" i="99"/>
  <c r="R104" i="99"/>
  <c r="Q104" i="99"/>
  <c r="P104" i="99"/>
  <c r="O104" i="99"/>
  <c r="N104" i="99"/>
  <c r="M104" i="99"/>
  <c r="L104" i="99"/>
  <c r="K104" i="99"/>
  <c r="K104" i="70" s="1"/>
  <c r="L104" i="70" s="1"/>
  <c r="J104" i="99"/>
  <c r="I104" i="99"/>
  <c r="H104" i="99"/>
  <c r="S103" i="99"/>
  <c r="R103" i="99"/>
  <c r="Q103" i="99"/>
  <c r="P103" i="99"/>
  <c r="O103" i="99"/>
  <c r="N103" i="99"/>
  <c r="M103" i="99"/>
  <c r="L103" i="99"/>
  <c r="K103" i="99"/>
  <c r="J103" i="99"/>
  <c r="I103" i="99"/>
  <c r="H103" i="99"/>
  <c r="S102" i="99"/>
  <c r="R102" i="99"/>
  <c r="Q102" i="99"/>
  <c r="P102" i="99"/>
  <c r="O102" i="99"/>
  <c r="N102" i="99"/>
  <c r="M102" i="99"/>
  <c r="L102" i="99"/>
  <c r="K102" i="99"/>
  <c r="J102" i="99"/>
  <c r="I102" i="99"/>
  <c r="H102" i="99"/>
  <c r="S101" i="99"/>
  <c r="R101" i="99"/>
  <c r="Q101" i="99"/>
  <c r="P101" i="99"/>
  <c r="O101" i="99"/>
  <c r="N101" i="99"/>
  <c r="M101" i="99"/>
  <c r="L101" i="99"/>
  <c r="K101" i="99"/>
  <c r="J101" i="99"/>
  <c r="I101" i="99"/>
  <c r="H101" i="99"/>
  <c r="S100" i="99"/>
  <c r="R100" i="99"/>
  <c r="Q100" i="99"/>
  <c r="P100" i="99"/>
  <c r="O100" i="99"/>
  <c r="N100" i="99"/>
  <c r="M100" i="99"/>
  <c r="L100" i="99"/>
  <c r="K100" i="99"/>
  <c r="K100" i="70" s="1"/>
  <c r="J100" i="99"/>
  <c r="I100" i="99"/>
  <c r="H100" i="99"/>
  <c r="S99" i="99"/>
  <c r="R99" i="99"/>
  <c r="Q99" i="99"/>
  <c r="P99" i="99"/>
  <c r="O99" i="99"/>
  <c r="N99" i="99"/>
  <c r="M99" i="99"/>
  <c r="L99" i="99"/>
  <c r="K99" i="99"/>
  <c r="J99" i="99"/>
  <c r="I99" i="99"/>
  <c r="H99" i="99"/>
  <c r="S98" i="99"/>
  <c r="R98" i="99"/>
  <c r="Q98" i="99"/>
  <c r="P98" i="99"/>
  <c r="O98" i="99"/>
  <c r="N98" i="99"/>
  <c r="M98" i="99"/>
  <c r="L98" i="99"/>
  <c r="K98" i="99"/>
  <c r="J98" i="99"/>
  <c r="I98" i="99"/>
  <c r="H98" i="99"/>
  <c r="S97" i="99"/>
  <c r="R97" i="99"/>
  <c r="Q97" i="99"/>
  <c r="P97" i="99"/>
  <c r="O97" i="99"/>
  <c r="N97" i="99"/>
  <c r="M97" i="99"/>
  <c r="L97" i="99"/>
  <c r="K97" i="99"/>
  <c r="J97" i="99"/>
  <c r="I97" i="99"/>
  <c r="H97" i="99"/>
  <c r="S96" i="99"/>
  <c r="R96" i="99"/>
  <c r="Q96" i="99"/>
  <c r="P96" i="99"/>
  <c r="O96" i="99"/>
  <c r="N96" i="99"/>
  <c r="M96" i="99"/>
  <c r="L96" i="99"/>
  <c r="K96" i="99"/>
  <c r="K96" i="70" s="1"/>
  <c r="J96" i="99"/>
  <c r="I96" i="99"/>
  <c r="H96" i="99"/>
  <c r="S95" i="99"/>
  <c r="R95" i="99"/>
  <c r="Q95" i="99"/>
  <c r="P95" i="99"/>
  <c r="O95" i="99"/>
  <c r="N95" i="99"/>
  <c r="M95" i="99"/>
  <c r="L95" i="99"/>
  <c r="K95" i="99"/>
  <c r="J95" i="99"/>
  <c r="I95" i="99"/>
  <c r="H95" i="99"/>
  <c r="S94" i="99"/>
  <c r="R94" i="99"/>
  <c r="Q94" i="99"/>
  <c r="P94" i="99"/>
  <c r="O94" i="99"/>
  <c r="N94" i="99"/>
  <c r="M94" i="99"/>
  <c r="L94" i="99"/>
  <c r="K94" i="99"/>
  <c r="J94" i="99"/>
  <c r="I94" i="99"/>
  <c r="H94" i="99"/>
  <c r="S93" i="99"/>
  <c r="R93" i="99"/>
  <c r="Q93" i="99"/>
  <c r="P93" i="99"/>
  <c r="O93" i="99"/>
  <c r="N93" i="99"/>
  <c r="M93" i="99"/>
  <c r="L93" i="99"/>
  <c r="K93" i="99"/>
  <c r="J93" i="99"/>
  <c r="I93" i="99"/>
  <c r="H93" i="99"/>
  <c r="S92" i="99"/>
  <c r="R92" i="99"/>
  <c r="Q92" i="99"/>
  <c r="P92" i="99"/>
  <c r="O92" i="99"/>
  <c r="N92" i="99"/>
  <c r="M92" i="99"/>
  <c r="L92" i="99"/>
  <c r="K92" i="99"/>
  <c r="K92" i="70" s="1"/>
  <c r="L92" i="70" s="1"/>
  <c r="J92" i="99"/>
  <c r="I92" i="99"/>
  <c r="H92" i="99"/>
  <c r="S91" i="99"/>
  <c r="R91" i="99"/>
  <c r="Q91" i="99"/>
  <c r="P91" i="99"/>
  <c r="O91" i="99"/>
  <c r="N91" i="99"/>
  <c r="M91" i="99"/>
  <c r="L91" i="99"/>
  <c r="K91" i="99"/>
  <c r="J91" i="99"/>
  <c r="I91" i="99"/>
  <c r="H91" i="99"/>
  <c r="S90" i="99"/>
  <c r="R90" i="99"/>
  <c r="Q90" i="99"/>
  <c r="P90" i="99"/>
  <c r="O90" i="99"/>
  <c r="N90" i="99"/>
  <c r="M90" i="99"/>
  <c r="L90" i="99"/>
  <c r="K90" i="99"/>
  <c r="J90" i="99"/>
  <c r="I90" i="99"/>
  <c r="H90" i="99"/>
  <c r="S87" i="99"/>
  <c r="R87" i="99"/>
  <c r="Q87" i="99"/>
  <c r="P87" i="99"/>
  <c r="O87" i="99"/>
  <c r="N87" i="99"/>
  <c r="M87" i="99"/>
  <c r="L87" i="99"/>
  <c r="K87" i="99"/>
  <c r="J87" i="99"/>
  <c r="I87" i="99"/>
  <c r="H87" i="99"/>
  <c r="S86" i="99"/>
  <c r="R86" i="99"/>
  <c r="Q86" i="99"/>
  <c r="P86" i="99"/>
  <c r="O86" i="99"/>
  <c r="N86" i="99"/>
  <c r="M86" i="99"/>
  <c r="L86" i="99"/>
  <c r="K86" i="99"/>
  <c r="J86" i="99"/>
  <c r="I86" i="99"/>
  <c r="H86" i="99"/>
  <c r="S85" i="99"/>
  <c r="R85" i="99"/>
  <c r="Q85" i="99"/>
  <c r="P85" i="99"/>
  <c r="O85" i="99"/>
  <c r="N85" i="99"/>
  <c r="M85" i="99"/>
  <c r="L85" i="99"/>
  <c r="K85" i="99"/>
  <c r="J85" i="99"/>
  <c r="I85" i="99"/>
  <c r="H85" i="99"/>
  <c r="S83" i="99"/>
  <c r="R83" i="99"/>
  <c r="Q83" i="99"/>
  <c r="P83" i="99"/>
  <c r="O83" i="99"/>
  <c r="N83" i="99"/>
  <c r="M83" i="99"/>
  <c r="L83" i="99"/>
  <c r="K83" i="99"/>
  <c r="J83" i="99"/>
  <c r="I83" i="99"/>
  <c r="H83" i="99"/>
  <c r="S82" i="99"/>
  <c r="R82" i="99"/>
  <c r="Q82" i="99"/>
  <c r="P82" i="99"/>
  <c r="O82" i="99"/>
  <c r="N82" i="99"/>
  <c r="M82" i="99"/>
  <c r="L82" i="99"/>
  <c r="K82" i="99"/>
  <c r="J82" i="99"/>
  <c r="I82" i="99"/>
  <c r="H82" i="99"/>
  <c r="S81" i="99"/>
  <c r="R81" i="99"/>
  <c r="Q81" i="99"/>
  <c r="P81" i="99"/>
  <c r="O81" i="99"/>
  <c r="N81" i="99"/>
  <c r="M81" i="99"/>
  <c r="L81" i="99"/>
  <c r="K81" i="99"/>
  <c r="K81" i="70" s="1"/>
  <c r="L81" i="70" s="1"/>
  <c r="J81" i="99"/>
  <c r="I81" i="99"/>
  <c r="H81" i="99"/>
  <c r="S80" i="99"/>
  <c r="R80" i="99"/>
  <c r="Q80" i="99"/>
  <c r="P80" i="99"/>
  <c r="O80" i="99"/>
  <c r="N80" i="99"/>
  <c r="M80" i="99"/>
  <c r="L80" i="99"/>
  <c r="K80" i="99"/>
  <c r="J80" i="99"/>
  <c r="I80" i="99"/>
  <c r="H80" i="99"/>
  <c r="S79" i="99"/>
  <c r="R79" i="99"/>
  <c r="Q79" i="99"/>
  <c r="P79" i="99"/>
  <c r="O79" i="99"/>
  <c r="N79" i="99"/>
  <c r="M79" i="99"/>
  <c r="L79" i="99"/>
  <c r="K79" i="99"/>
  <c r="J79" i="99"/>
  <c r="I79" i="99"/>
  <c r="H79" i="99"/>
  <c r="S78" i="99"/>
  <c r="R78" i="99"/>
  <c r="Q78" i="99"/>
  <c r="P78" i="99"/>
  <c r="P78" i="70" s="1"/>
  <c r="O78" i="99"/>
  <c r="N78" i="99"/>
  <c r="M78" i="99"/>
  <c r="L78" i="99"/>
  <c r="K78" i="99"/>
  <c r="J78" i="99"/>
  <c r="I78" i="99"/>
  <c r="H78" i="99"/>
  <c r="S77" i="99"/>
  <c r="R77" i="99"/>
  <c r="Q77" i="99"/>
  <c r="P77" i="99"/>
  <c r="O77" i="99"/>
  <c r="N77" i="99"/>
  <c r="M77" i="99"/>
  <c r="L77" i="99"/>
  <c r="K77" i="99"/>
  <c r="J77" i="99"/>
  <c r="I77" i="99"/>
  <c r="H77" i="99"/>
  <c r="S76" i="99"/>
  <c r="R76" i="99"/>
  <c r="Q76" i="99"/>
  <c r="P76" i="99"/>
  <c r="O76" i="99"/>
  <c r="N76" i="99"/>
  <c r="M76" i="99"/>
  <c r="L76" i="99"/>
  <c r="K76" i="99"/>
  <c r="J76" i="99"/>
  <c r="I76" i="99"/>
  <c r="H76" i="99"/>
  <c r="S75" i="99"/>
  <c r="R75" i="99"/>
  <c r="Q75" i="99"/>
  <c r="P75" i="99"/>
  <c r="O75" i="99"/>
  <c r="N75" i="99"/>
  <c r="M75" i="99"/>
  <c r="L75" i="99"/>
  <c r="K75" i="99"/>
  <c r="J75" i="99"/>
  <c r="I75" i="99"/>
  <c r="H75" i="99"/>
  <c r="S74" i="99"/>
  <c r="R74" i="99"/>
  <c r="Q74" i="99"/>
  <c r="P74" i="99"/>
  <c r="P74" i="70" s="1"/>
  <c r="O74" i="99"/>
  <c r="N74" i="99"/>
  <c r="M74" i="99"/>
  <c r="L74" i="99"/>
  <c r="K74" i="99"/>
  <c r="J74" i="99"/>
  <c r="I74" i="99"/>
  <c r="H74" i="99"/>
  <c r="S73" i="99"/>
  <c r="R73" i="99"/>
  <c r="Q73" i="99"/>
  <c r="P73" i="99"/>
  <c r="O73" i="99"/>
  <c r="N73" i="99"/>
  <c r="M73" i="99"/>
  <c r="L73" i="99"/>
  <c r="K73" i="99"/>
  <c r="K73" i="70" s="1"/>
  <c r="L73" i="70" s="1"/>
  <c r="J73" i="99"/>
  <c r="I73" i="99"/>
  <c r="H73" i="99"/>
  <c r="S72" i="99"/>
  <c r="R72" i="99"/>
  <c r="Q72" i="99"/>
  <c r="P72" i="99"/>
  <c r="O72" i="99"/>
  <c r="N72" i="99"/>
  <c r="M72" i="99"/>
  <c r="L72" i="99"/>
  <c r="K72" i="99"/>
  <c r="J72" i="99"/>
  <c r="I72" i="99"/>
  <c r="H72" i="99"/>
  <c r="S71" i="99"/>
  <c r="R71" i="99"/>
  <c r="Q71" i="99"/>
  <c r="P71" i="99"/>
  <c r="O71" i="99"/>
  <c r="N71" i="99"/>
  <c r="M71" i="99"/>
  <c r="L71" i="99"/>
  <c r="K71" i="99"/>
  <c r="J71" i="99"/>
  <c r="I71" i="99"/>
  <c r="H71" i="99"/>
  <c r="S70" i="99"/>
  <c r="R70" i="99"/>
  <c r="Q70" i="99"/>
  <c r="P70" i="99"/>
  <c r="P70" i="70" s="1"/>
  <c r="O70" i="99"/>
  <c r="N70" i="99"/>
  <c r="M70" i="99"/>
  <c r="L70" i="99"/>
  <c r="K70" i="99"/>
  <c r="J70" i="99"/>
  <c r="I70" i="99"/>
  <c r="H70" i="99"/>
  <c r="S69" i="99"/>
  <c r="R69" i="99"/>
  <c r="Q69" i="99"/>
  <c r="P69" i="99"/>
  <c r="O69" i="99"/>
  <c r="N69" i="99"/>
  <c r="M69" i="99"/>
  <c r="L69" i="99"/>
  <c r="K69" i="99"/>
  <c r="J69" i="99"/>
  <c r="I69" i="99"/>
  <c r="H69" i="99"/>
  <c r="S66" i="99"/>
  <c r="R66" i="99"/>
  <c r="Q66" i="99"/>
  <c r="P66" i="99"/>
  <c r="O66" i="99"/>
  <c r="N66" i="99"/>
  <c r="M66" i="99"/>
  <c r="L66" i="99"/>
  <c r="K66" i="99"/>
  <c r="J66" i="99"/>
  <c r="I66" i="99"/>
  <c r="H66" i="99"/>
  <c r="S65" i="99"/>
  <c r="R65" i="99"/>
  <c r="Q65" i="99"/>
  <c r="P65" i="99"/>
  <c r="O65" i="99"/>
  <c r="N65" i="99"/>
  <c r="M65" i="99"/>
  <c r="L65" i="99"/>
  <c r="K65" i="99"/>
  <c r="J65" i="99"/>
  <c r="I65" i="99"/>
  <c r="H65" i="99"/>
  <c r="S64" i="99"/>
  <c r="R64" i="99"/>
  <c r="Q64" i="99"/>
  <c r="P64" i="99"/>
  <c r="O64" i="99"/>
  <c r="N64" i="99"/>
  <c r="M64" i="99"/>
  <c r="L64" i="99"/>
  <c r="K64" i="99"/>
  <c r="J64" i="99"/>
  <c r="I64" i="99"/>
  <c r="H64" i="99"/>
  <c r="S63" i="99"/>
  <c r="R63" i="99"/>
  <c r="Q63" i="99"/>
  <c r="P63" i="99"/>
  <c r="O63" i="99"/>
  <c r="N63" i="99"/>
  <c r="M63" i="99"/>
  <c r="L63" i="99"/>
  <c r="K63" i="99"/>
  <c r="K63" i="70" s="1"/>
  <c r="J63" i="99"/>
  <c r="I63" i="99"/>
  <c r="H63" i="99"/>
  <c r="S62" i="99"/>
  <c r="R62" i="99"/>
  <c r="Q62" i="99"/>
  <c r="P62" i="99"/>
  <c r="O62" i="99"/>
  <c r="N62" i="99"/>
  <c r="M62" i="99"/>
  <c r="L62" i="99"/>
  <c r="K62" i="99"/>
  <c r="J62" i="99"/>
  <c r="I62" i="99"/>
  <c r="H62" i="99"/>
  <c r="S61" i="99"/>
  <c r="R61" i="99"/>
  <c r="Q61" i="99"/>
  <c r="P61" i="99"/>
  <c r="O61" i="99"/>
  <c r="N61" i="99"/>
  <c r="M61" i="99"/>
  <c r="L61" i="99"/>
  <c r="K61" i="99"/>
  <c r="J61" i="99"/>
  <c r="I61" i="99"/>
  <c r="H61" i="99"/>
  <c r="S60" i="99"/>
  <c r="R60" i="99"/>
  <c r="Q60" i="99"/>
  <c r="P60" i="99"/>
  <c r="O60" i="99"/>
  <c r="N60" i="99"/>
  <c r="M60" i="99"/>
  <c r="L60" i="99"/>
  <c r="K60" i="99"/>
  <c r="J60" i="99"/>
  <c r="I60" i="99"/>
  <c r="H60" i="99"/>
  <c r="S59" i="99"/>
  <c r="R59" i="99"/>
  <c r="Q59" i="99"/>
  <c r="P59" i="99"/>
  <c r="O59" i="99"/>
  <c r="N59" i="99"/>
  <c r="M59" i="99"/>
  <c r="L59" i="99"/>
  <c r="K59" i="99"/>
  <c r="J59" i="99"/>
  <c r="I59" i="99"/>
  <c r="H59" i="99"/>
  <c r="S58" i="99"/>
  <c r="R58" i="99"/>
  <c r="Q58" i="99"/>
  <c r="P58" i="99"/>
  <c r="O58" i="99"/>
  <c r="N58" i="99"/>
  <c r="M58" i="99"/>
  <c r="L58" i="99"/>
  <c r="K58" i="99"/>
  <c r="J58" i="99"/>
  <c r="I58" i="99"/>
  <c r="H58" i="99"/>
  <c r="S57" i="99"/>
  <c r="R57" i="99"/>
  <c r="Q57" i="99"/>
  <c r="P57" i="99"/>
  <c r="P57" i="70" s="1"/>
  <c r="O57" i="99"/>
  <c r="N57" i="99"/>
  <c r="M57" i="99"/>
  <c r="L57" i="99"/>
  <c r="K57" i="99"/>
  <c r="J57" i="99"/>
  <c r="I57" i="99"/>
  <c r="H57" i="99"/>
  <c r="S56" i="99"/>
  <c r="R56" i="99"/>
  <c r="Q56" i="99"/>
  <c r="P56" i="99"/>
  <c r="O56" i="99"/>
  <c r="N56" i="99"/>
  <c r="M56" i="99"/>
  <c r="L56" i="99"/>
  <c r="K56" i="99"/>
  <c r="J56" i="99"/>
  <c r="I56" i="99"/>
  <c r="H56" i="99"/>
  <c r="S55" i="99"/>
  <c r="R55" i="99"/>
  <c r="Q55" i="99"/>
  <c r="P55" i="99"/>
  <c r="O55" i="99"/>
  <c r="N55" i="99"/>
  <c r="M55" i="99"/>
  <c r="L55" i="99"/>
  <c r="K55" i="99"/>
  <c r="K55" i="70" s="1"/>
  <c r="J55" i="99"/>
  <c r="I55" i="99"/>
  <c r="H55" i="99"/>
  <c r="S54" i="99"/>
  <c r="R54" i="99"/>
  <c r="Q54" i="99"/>
  <c r="P54" i="99"/>
  <c r="O54" i="99"/>
  <c r="N54" i="99"/>
  <c r="M54" i="99"/>
  <c r="L54" i="99"/>
  <c r="K54" i="99"/>
  <c r="J54" i="99"/>
  <c r="I54" i="99"/>
  <c r="H54" i="99"/>
  <c r="S53" i="99"/>
  <c r="R53" i="99"/>
  <c r="Q53" i="99"/>
  <c r="P53" i="99"/>
  <c r="O53" i="99"/>
  <c r="N53" i="99"/>
  <c r="M53" i="99"/>
  <c r="L53" i="99"/>
  <c r="K53" i="99"/>
  <c r="J53" i="99"/>
  <c r="I53" i="99"/>
  <c r="H53" i="99"/>
  <c r="S52" i="99"/>
  <c r="R52" i="99"/>
  <c r="Q52" i="99"/>
  <c r="P52" i="99"/>
  <c r="P52" i="70" s="1"/>
  <c r="O52" i="99"/>
  <c r="N52" i="99"/>
  <c r="M52" i="99"/>
  <c r="L52" i="99"/>
  <c r="K52" i="99"/>
  <c r="J52" i="99"/>
  <c r="I52" i="99"/>
  <c r="H52" i="99"/>
  <c r="S49" i="99"/>
  <c r="R49" i="99"/>
  <c r="Q49" i="99"/>
  <c r="P49" i="99"/>
  <c r="O49" i="99"/>
  <c r="N49" i="99"/>
  <c r="M49" i="99"/>
  <c r="L49" i="99"/>
  <c r="K49" i="99"/>
  <c r="J49" i="99"/>
  <c r="I49" i="99"/>
  <c r="H49" i="99"/>
  <c r="S48" i="99"/>
  <c r="R48" i="99"/>
  <c r="Q48" i="99"/>
  <c r="P48" i="99"/>
  <c r="O48" i="99"/>
  <c r="N48" i="99"/>
  <c r="M48" i="99"/>
  <c r="L48" i="99"/>
  <c r="K48" i="99"/>
  <c r="J48" i="99"/>
  <c r="I48" i="99"/>
  <c r="H48" i="99"/>
  <c r="S47" i="99"/>
  <c r="R47" i="99"/>
  <c r="Q47" i="99"/>
  <c r="P47" i="99"/>
  <c r="O47" i="99"/>
  <c r="N47" i="99"/>
  <c r="M47" i="99"/>
  <c r="L47" i="99"/>
  <c r="K47" i="99"/>
  <c r="J47" i="99"/>
  <c r="I47" i="99"/>
  <c r="H47" i="99"/>
  <c r="S46" i="99"/>
  <c r="R46" i="99"/>
  <c r="Q46" i="99"/>
  <c r="P46" i="99"/>
  <c r="P46" i="70" s="1"/>
  <c r="O46" i="99"/>
  <c r="N46" i="99"/>
  <c r="M46" i="99"/>
  <c r="L46" i="99"/>
  <c r="K46" i="99"/>
  <c r="J46" i="99"/>
  <c r="I46" i="99"/>
  <c r="H46" i="99"/>
  <c r="S45" i="99"/>
  <c r="R45" i="99"/>
  <c r="Q45" i="99"/>
  <c r="P45" i="99"/>
  <c r="O45" i="99"/>
  <c r="N45" i="99"/>
  <c r="M45" i="99"/>
  <c r="L45" i="99"/>
  <c r="K45" i="99"/>
  <c r="K45" i="70" s="1"/>
  <c r="J45" i="99"/>
  <c r="I45" i="99"/>
  <c r="H45" i="99"/>
  <c r="S44" i="99"/>
  <c r="R44" i="99"/>
  <c r="Q44" i="99"/>
  <c r="P44" i="99"/>
  <c r="O44" i="99"/>
  <c r="N44" i="99"/>
  <c r="M44" i="99"/>
  <c r="L44" i="99"/>
  <c r="K44" i="99"/>
  <c r="J44" i="99"/>
  <c r="I44" i="99"/>
  <c r="H44" i="99"/>
  <c r="S43" i="99"/>
  <c r="R43" i="99"/>
  <c r="Q43" i="99"/>
  <c r="P43" i="99"/>
  <c r="O43" i="99"/>
  <c r="N43" i="99"/>
  <c r="M43" i="99"/>
  <c r="L43" i="99"/>
  <c r="K43" i="99"/>
  <c r="J43" i="99"/>
  <c r="I43" i="99"/>
  <c r="H43" i="99"/>
  <c r="S39" i="99"/>
  <c r="R39" i="99"/>
  <c r="Q39" i="99"/>
  <c r="P39" i="99"/>
  <c r="O39" i="99"/>
  <c r="N39" i="99"/>
  <c r="M39" i="99"/>
  <c r="L39" i="99"/>
  <c r="K39" i="99"/>
  <c r="J39" i="99"/>
  <c r="I39" i="99"/>
  <c r="H39" i="99"/>
  <c r="S38" i="99"/>
  <c r="R38" i="99"/>
  <c r="Q38" i="99"/>
  <c r="P38" i="99"/>
  <c r="O38" i="99"/>
  <c r="N38" i="99"/>
  <c r="M38" i="99"/>
  <c r="L38" i="99"/>
  <c r="K38" i="99"/>
  <c r="K38" i="70" s="1"/>
  <c r="J38" i="99"/>
  <c r="I38" i="99"/>
  <c r="H38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S35" i="99"/>
  <c r="R35" i="99"/>
  <c r="Q35" i="99"/>
  <c r="P35" i="99"/>
  <c r="O35" i="99"/>
  <c r="N35" i="99"/>
  <c r="M35" i="99"/>
  <c r="L35" i="99"/>
  <c r="K35" i="99"/>
  <c r="J35" i="99"/>
  <c r="I35" i="99"/>
  <c r="H35" i="99"/>
  <c r="S34" i="99"/>
  <c r="R34" i="99"/>
  <c r="Q34" i="99"/>
  <c r="P34" i="99"/>
  <c r="O34" i="99"/>
  <c r="N34" i="99"/>
  <c r="M34" i="99"/>
  <c r="L34" i="99"/>
  <c r="K34" i="99"/>
  <c r="J34" i="99"/>
  <c r="I34" i="99"/>
  <c r="H34" i="99"/>
  <c r="S33" i="99"/>
  <c r="R33" i="99"/>
  <c r="Q33" i="99"/>
  <c r="P33" i="99"/>
  <c r="O33" i="99"/>
  <c r="N33" i="99"/>
  <c r="M33" i="99"/>
  <c r="L33" i="99"/>
  <c r="K33" i="99"/>
  <c r="J33" i="99"/>
  <c r="I33" i="99"/>
  <c r="H33" i="99"/>
  <c r="S32" i="99"/>
  <c r="R32" i="99"/>
  <c r="Q32" i="99"/>
  <c r="P32" i="99"/>
  <c r="P32" i="70" s="1"/>
  <c r="O32" i="99"/>
  <c r="N32" i="99"/>
  <c r="M32" i="99"/>
  <c r="L32" i="99"/>
  <c r="K32" i="99"/>
  <c r="J32" i="99"/>
  <c r="I32" i="99"/>
  <c r="H32" i="99"/>
  <c r="S31" i="99"/>
  <c r="R31" i="99"/>
  <c r="Q31" i="99"/>
  <c r="P31" i="99"/>
  <c r="O31" i="99"/>
  <c r="N31" i="99"/>
  <c r="M31" i="99"/>
  <c r="L31" i="99"/>
  <c r="K31" i="99"/>
  <c r="J31" i="99"/>
  <c r="I31" i="99"/>
  <c r="H31" i="99"/>
  <c r="S29" i="99"/>
  <c r="R29" i="99"/>
  <c r="Q29" i="99"/>
  <c r="P29" i="99"/>
  <c r="O29" i="99"/>
  <c r="N29" i="99"/>
  <c r="M29" i="99"/>
  <c r="L29" i="99"/>
  <c r="K29" i="99"/>
  <c r="J29" i="99"/>
  <c r="I29" i="99"/>
  <c r="H29" i="99"/>
  <c r="S28" i="99"/>
  <c r="R28" i="99"/>
  <c r="Q28" i="99"/>
  <c r="P28" i="99"/>
  <c r="O28" i="99"/>
  <c r="N28" i="99"/>
  <c r="M28" i="99"/>
  <c r="L28" i="99"/>
  <c r="K28" i="99"/>
  <c r="J28" i="99"/>
  <c r="I28" i="99"/>
  <c r="H28" i="99"/>
  <c r="S27" i="99"/>
  <c r="R27" i="99"/>
  <c r="Q27" i="99"/>
  <c r="P27" i="99"/>
  <c r="O27" i="99"/>
  <c r="N27" i="99"/>
  <c r="M27" i="99"/>
  <c r="L27" i="99"/>
  <c r="K27" i="99"/>
  <c r="J27" i="99"/>
  <c r="I27" i="99"/>
  <c r="H27" i="99"/>
  <c r="S26" i="99"/>
  <c r="R26" i="99"/>
  <c r="Q26" i="99"/>
  <c r="P26" i="99"/>
  <c r="O26" i="99"/>
  <c r="N26" i="99"/>
  <c r="M26" i="99"/>
  <c r="L26" i="99"/>
  <c r="K26" i="99"/>
  <c r="J26" i="99"/>
  <c r="I26" i="99"/>
  <c r="H26" i="99"/>
  <c r="S25" i="99"/>
  <c r="R25" i="99"/>
  <c r="Q25" i="99"/>
  <c r="P25" i="99"/>
  <c r="O25" i="99"/>
  <c r="N25" i="99"/>
  <c r="N25" i="70" s="1"/>
  <c r="M25" i="99"/>
  <c r="L25" i="99"/>
  <c r="K25" i="99"/>
  <c r="J25" i="99"/>
  <c r="I25" i="99"/>
  <c r="H25" i="99"/>
  <c r="S24" i="99"/>
  <c r="R24" i="99"/>
  <c r="Q24" i="99"/>
  <c r="P24" i="99"/>
  <c r="O24" i="99"/>
  <c r="N24" i="99"/>
  <c r="M24" i="99"/>
  <c r="L24" i="99"/>
  <c r="K24" i="99"/>
  <c r="J24" i="99"/>
  <c r="I24" i="99"/>
  <c r="H24" i="99"/>
  <c r="S23" i="99"/>
  <c r="R23" i="99"/>
  <c r="Q23" i="99"/>
  <c r="P23" i="99"/>
  <c r="O23" i="99"/>
  <c r="N23" i="99"/>
  <c r="M23" i="99"/>
  <c r="L23" i="99"/>
  <c r="K23" i="99"/>
  <c r="J23" i="99"/>
  <c r="I23" i="99"/>
  <c r="H23" i="99"/>
  <c r="S22" i="99"/>
  <c r="R22" i="99"/>
  <c r="Q22" i="99"/>
  <c r="P22" i="99"/>
  <c r="O22" i="99"/>
  <c r="N22" i="99"/>
  <c r="M22" i="99"/>
  <c r="L22" i="99"/>
  <c r="K22" i="99"/>
  <c r="J22" i="99"/>
  <c r="I22" i="99"/>
  <c r="H22" i="99"/>
  <c r="S21" i="99"/>
  <c r="R21" i="99"/>
  <c r="Q21" i="99"/>
  <c r="P21" i="99"/>
  <c r="O21" i="99"/>
  <c r="N21" i="99"/>
  <c r="M21" i="99"/>
  <c r="L21" i="99"/>
  <c r="K21" i="99"/>
  <c r="J21" i="99"/>
  <c r="I21" i="99"/>
  <c r="H21" i="99"/>
  <c r="S20" i="99"/>
  <c r="R20" i="99"/>
  <c r="Q20" i="99"/>
  <c r="P20" i="99"/>
  <c r="O20" i="99"/>
  <c r="N20" i="99"/>
  <c r="M20" i="99"/>
  <c r="L20" i="99"/>
  <c r="K20" i="99"/>
  <c r="J20" i="99"/>
  <c r="I20" i="99"/>
  <c r="H20" i="99"/>
  <c r="S19" i="99"/>
  <c r="R19" i="99"/>
  <c r="Q19" i="99"/>
  <c r="P19" i="99"/>
  <c r="O19" i="99"/>
  <c r="N19" i="99"/>
  <c r="M19" i="99"/>
  <c r="L19" i="99"/>
  <c r="K19" i="99"/>
  <c r="J19" i="99"/>
  <c r="I19" i="99"/>
  <c r="H19" i="99"/>
  <c r="S18" i="99"/>
  <c r="R18" i="99"/>
  <c r="Q18" i="99"/>
  <c r="P18" i="99"/>
  <c r="O18" i="99"/>
  <c r="N18" i="99"/>
  <c r="M18" i="99"/>
  <c r="L18" i="99"/>
  <c r="K18" i="99"/>
  <c r="J18" i="99"/>
  <c r="I18" i="99"/>
  <c r="H18" i="99"/>
  <c r="S17" i="99"/>
  <c r="R17" i="99"/>
  <c r="Q17" i="99"/>
  <c r="P17" i="99"/>
  <c r="O17" i="99"/>
  <c r="N17" i="99"/>
  <c r="M17" i="99"/>
  <c r="L17" i="99"/>
  <c r="K17" i="99"/>
  <c r="J17" i="99"/>
  <c r="I17" i="99"/>
  <c r="H17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S13" i="99"/>
  <c r="R13" i="99"/>
  <c r="Q13" i="99"/>
  <c r="P13" i="99"/>
  <c r="O13" i="99"/>
  <c r="N13" i="99"/>
  <c r="M13" i="99"/>
  <c r="L13" i="99"/>
  <c r="K13" i="99"/>
  <c r="J13" i="99"/>
  <c r="I13" i="99"/>
  <c r="H13" i="99"/>
  <c r="S12" i="99"/>
  <c r="R12" i="99"/>
  <c r="Q12" i="99"/>
  <c r="P12" i="99"/>
  <c r="O12" i="99"/>
  <c r="N12" i="99"/>
  <c r="M12" i="99"/>
  <c r="L12" i="99"/>
  <c r="K12" i="99"/>
  <c r="J12" i="99"/>
  <c r="I12" i="99"/>
  <c r="H12" i="99"/>
  <c r="S11" i="99"/>
  <c r="R11" i="99"/>
  <c r="Q11" i="99"/>
  <c r="P11" i="99"/>
  <c r="O11" i="99"/>
  <c r="N11" i="99"/>
  <c r="M11" i="99"/>
  <c r="L11" i="99"/>
  <c r="K11" i="99"/>
  <c r="J11" i="99"/>
  <c r="I11" i="99"/>
  <c r="H11" i="99"/>
  <c r="S10" i="99"/>
  <c r="R10" i="99"/>
  <c r="Q10" i="99"/>
  <c r="P10" i="99"/>
  <c r="O10" i="99"/>
  <c r="N10" i="99"/>
  <c r="M10" i="99"/>
  <c r="L10" i="99"/>
  <c r="K10" i="99"/>
  <c r="J10" i="99"/>
  <c r="I10" i="99"/>
  <c r="H10" i="99"/>
  <c r="S9" i="99"/>
  <c r="R9" i="99"/>
  <c r="Q9" i="99"/>
  <c r="P9" i="99"/>
  <c r="O9" i="99"/>
  <c r="N9" i="99"/>
  <c r="M9" i="99"/>
  <c r="L9" i="99"/>
  <c r="K9" i="99"/>
  <c r="J9" i="99"/>
  <c r="I9" i="99"/>
  <c r="H9" i="99"/>
  <c r="S8" i="99"/>
  <c r="R8" i="99"/>
  <c r="Q8" i="99"/>
  <c r="P8" i="99"/>
  <c r="O8" i="99"/>
  <c r="N8" i="99"/>
  <c r="M8" i="99"/>
  <c r="L8" i="99"/>
  <c r="K8" i="99"/>
  <c r="J8" i="99"/>
  <c r="I8" i="99"/>
  <c r="H8" i="99"/>
  <c r="S7" i="99"/>
  <c r="R7" i="99"/>
  <c r="Q7" i="99"/>
  <c r="P7" i="99"/>
  <c r="O7" i="99"/>
  <c r="N7" i="99"/>
  <c r="M7" i="99"/>
  <c r="L7" i="99"/>
  <c r="K7" i="99"/>
  <c r="K7" i="70" s="1"/>
  <c r="J7" i="99"/>
  <c r="I7" i="99"/>
  <c r="H7" i="99"/>
  <c r="S6" i="99"/>
  <c r="R6" i="99"/>
  <c r="Q6" i="99"/>
  <c r="P6" i="99"/>
  <c r="O6" i="99"/>
  <c r="N6" i="99"/>
  <c r="M6" i="99"/>
  <c r="L6" i="99"/>
  <c r="K6" i="99"/>
  <c r="J6" i="99"/>
  <c r="I6" i="99"/>
  <c r="H6" i="99"/>
  <c r="S5" i="99"/>
  <c r="R5" i="99"/>
  <c r="Q5" i="99"/>
  <c r="P5" i="99"/>
  <c r="O5" i="99"/>
  <c r="N5" i="99"/>
  <c r="M5" i="99"/>
  <c r="L5" i="99"/>
  <c r="K5" i="99"/>
  <c r="J5" i="99"/>
  <c r="I5" i="99"/>
  <c r="H5" i="99"/>
  <c r="H2" i="99"/>
  <c r="G2" i="99"/>
  <c r="AK159" i="70"/>
  <c r="AJ159" i="70"/>
  <c r="AI159" i="70"/>
  <c r="AH159" i="70"/>
  <c r="AG159" i="70"/>
  <c r="AF159" i="70"/>
  <c r="AE159" i="70"/>
  <c r="AD159" i="70"/>
  <c r="AC159" i="70"/>
  <c r="AB159" i="70"/>
  <c r="AA159" i="70"/>
  <c r="Z159" i="70"/>
  <c r="Y159" i="70"/>
  <c r="X159" i="70"/>
  <c r="W159" i="70"/>
  <c r="V159" i="70"/>
  <c r="T159" i="70"/>
  <c r="Q159" i="70"/>
  <c r="AK158" i="70"/>
  <c r="AJ158" i="70"/>
  <c r="AI158" i="70"/>
  <c r="AH158" i="70"/>
  <c r="AG158" i="70"/>
  <c r="AF158" i="70"/>
  <c r="AE158" i="70"/>
  <c r="AD158" i="70"/>
  <c r="AC158" i="70"/>
  <c r="AB158" i="70"/>
  <c r="AA158" i="70"/>
  <c r="Z158" i="70"/>
  <c r="Y158" i="70"/>
  <c r="X158" i="70"/>
  <c r="W158" i="70"/>
  <c r="V158" i="70"/>
  <c r="T158" i="70"/>
  <c r="Q158" i="70"/>
  <c r="G158" i="70"/>
  <c r="M153" i="70"/>
  <c r="L153" i="70"/>
  <c r="K153" i="70"/>
  <c r="J153" i="70"/>
  <c r="I153" i="70"/>
  <c r="H153" i="70"/>
  <c r="P133" i="70"/>
  <c r="M133" i="70"/>
  <c r="K133" i="70"/>
  <c r="H133" i="70"/>
  <c r="K131" i="70"/>
  <c r="L131" i="70" s="1"/>
  <c r="K129" i="70"/>
  <c r="P126" i="70"/>
  <c r="Q126" i="70" s="1"/>
  <c r="N123" i="70"/>
  <c r="P118" i="70"/>
  <c r="Q118" i="70" s="1"/>
  <c r="N114" i="70"/>
  <c r="K112" i="70"/>
  <c r="H104" i="70"/>
  <c r="P101" i="70"/>
  <c r="AO24" i="46" s="1"/>
  <c r="AU24" i="46" s="1"/>
  <c r="AX24" i="46" s="1"/>
  <c r="P98" i="70"/>
  <c r="H96" i="70"/>
  <c r="I94" i="70"/>
  <c r="K93" i="70"/>
  <c r="I93" i="70"/>
  <c r="K91" i="70"/>
  <c r="K78" i="70"/>
  <c r="I78" i="70"/>
  <c r="K74" i="70"/>
  <c r="K72" i="70"/>
  <c r="P71" i="70"/>
  <c r="H63" i="70"/>
  <c r="I61" i="70"/>
  <c r="R59" i="70"/>
  <c r="N59" i="70"/>
  <c r="K59" i="70"/>
  <c r="I57" i="70"/>
  <c r="I53" i="70"/>
  <c r="K52" i="70"/>
  <c r="J12" i="70"/>
  <c r="J11" i="70"/>
  <c r="H2" i="70"/>
  <c r="L47" i="46"/>
  <c r="I47" i="46"/>
  <c r="F47" i="46"/>
  <c r="C47" i="46"/>
  <c r="L45" i="46"/>
  <c r="I45" i="46"/>
  <c r="F45" i="46"/>
  <c r="C45" i="46"/>
  <c r="I44" i="46"/>
  <c r="C44" i="46"/>
  <c r="AI39" i="46"/>
  <c r="AH39" i="46"/>
  <c r="AJ38" i="46"/>
  <c r="AJ39" i="46" s="1"/>
  <c r="AI38" i="46"/>
  <c r="AH38" i="46"/>
  <c r="AA38" i="46"/>
  <c r="AA39" i="46" s="1"/>
  <c r="Z38" i="46"/>
  <c r="Z39" i="46" s="1"/>
  <c r="Y38" i="46"/>
  <c r="Y39" i="46" s="1"/>
  <c r="X38" i="46"/>
  <c r="X39" i="46" s="1"/>
  <c r="J38" i="46"/>
  <c r="J39" i="46" s="1"/>
  <c r="I38" i="46"/>
  <c r="I39" i="46" s="1"/>
  <c r="H38" i="46"/>
  <c r="H39" i="46" s="1"/>
  <c r="D38" i="46"/>
  <c r="D39" i="46" s="1"/>
  <c r="AN37" i="46"/>
  <c r="AM37" i="46"/>
  <c r="AL37" i="46"/>
  <c r="AK37" i="46"/>
  <c r="AJ37" i="46"/>
  <c r="AI37" i="46"/>
  <c r="AH37" i="46"/>
  <c r="AG37" i="46"/>
  <c r="AF37" i="46"/>
  <c r="AE37" i="46"/>
  <c r="AD37" i="46"/>
  <c r="AC37" i="46"/>
  <c r="AC38" i="46" s="1"/>
  <c r="AC39" i="46" s="1"/>
  <c r="AA37" i="46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G37" i="46"/>
  <c r="F37" i="46"/>
  <c r="E37" i="46"/>
  <c r="D37" i="46"/>
  <c r="AT36" i="46"/>
  <c r="AS36" i="46"/>
  <c r="AR36" i="46"/>
  <c r="AN36" i="46"/>
  <c r="AN38" i="46" s="1"/>
  <c r="AN39" i="46" s="1"/>
  <c r="AM36" i="46"/>
  <c r="AM38" i="46" s="1"/>
  <c r="AM39" i="46" s="1"/>
  <c r="AL36" i="46"/>
  <c r="AL38" i="46" s="1"/>
  <c r="AL39" i="46" s="1"/>
  <c r="AK36" i="46"/>
  <c r="AK38" i="46" s="1"/>
  <c r="AK39" i="46" s="1"/>
  <c r="AJ36" i="46"/>
  <c r="AI36" i="46"/>
  <c r="AH36" i="46"/>
  <c r="AG36" i="46"/>
  <c r="AF36" i="46"/>
  <c r="AE36" i="46"/>
  <c r="AD36" i="46"/>
  <c r="AC36" i="46"/>
  <c r="AA36" i="46"/>
  <c r="Z36" i="46"/>
  <c r="Y36" i="46"/>
  <c r="X36" i="46"/>
  <c r="W36" i="46"/>
  <c r="W38" i="46" s="1"/>
  <c r="W39" i="46" s="1"/>
  <c r="V36" i="46"/>
  <c r="V38" i="46" s="1"/>
  <c r="V39" i="46" s="1"/>
  <c r="U36" i="46"/>
  <c r="U38" i="46" s="1"/>
  <c r="U39" i="46" s="1"/>
  <c r="T36" i="46"/>
  <c r="S36" i="46"/>
  <c r="S38" i="46" s="1"/>
  <c r="S39" i="46" s="1"/>
  <c r="R36" i="46"/>
  <c r="R38" i="46" s="1"/>
  <c r="R39" i="46" s="1"/>
  <c r="Q36" i="46"/>
  <c r="P36" i="46"/>
  <c r="O36" i="46"/>
  <c r="N36" i="46"/>
  <c r="M36" i="46"/>
  <c r="L36" i="46"/>
  <c r="K36" i="46"/>
  <c r="K38" i="46" s="1"/>
  <c r="K39" i="46" s="1"/>
  <c r="J36" i="46"/>
  <c r="I36" i="46"/>
  <c r="H36" i="46"/>
  <c r="G36" i="46"/>
  <c r="G38" i="46" s="1"/>
  <c r="G39" i="46" s="1"/>
  <c r="F36" i="46"/>
  <c r="F38" i="46" s="1"/>
  <c r="F39" i="46" s="1"/>
  <c r="E36" i="46"/>
  <c r="E38" i="46" s="1"/>
  <c r="E39" i="46" s="1"/>
  <c r="D36" i="46"/>
  <c r="AR34" i="46"/>
  <c r="AB34" i="46"/>
  <c r="C34" i="46"/>
  <c r="AB33" i="46"/>
  <c r="C33" i="46"/>
  <c r="AY32" i="46"/>
  <c r="AY31" i="46"/>
  <c r="AX31" i="46"/>
  <c r="AY30" i="46"/>
  <c r="AX30" i="46"/>
  <c r="AY29" i="46"/>
  <c r="AX29" i="46"/>
  <c r="AY28" i="46"/>
  <c r="AX28" i="46"/>
  <c r="AB27" i="46"/>
  <c r="C27" i="46"/>
  <c r="AB26" i="46"/>
  <c r="C26" i="46"/>
  <c r="AB25" i="46"/>
  <c r="C25" i="46"/>
  <c r="AB24" i="46"/>
  <c r="C24" i="46"/>
  <c r="AB23" i="46"/>
  <c r="C23" i="46"/>
  <c r="AW22" i="46"/>
  <c r="AV22" i="46"/>
  <c r="AU22" i="46"/>
  <c r="AB22" i="46"/>
  <c r="AB37" i="46" s="1"/>
  <c r="C22" i="46"/>
  <c r="AB21" i="46"/>
  <c r="C21" i="46"/>
  <c r="AW20" i="46"/>
  <c r="AV20" i="46"/>
  <c r="AY20" i="46" s="1"/>
  <c r="AU20" i="46"/>
  <c r="AX20" i="46" s="1"/>
  <c r="AB20" i="46"/>
  <c r="C20" i="46"/>
  <c r="AW19" i="46"/>
  <c r="AV19" i="46"/>
  <c r="AU19" i="46"/>
  <c r="AB19" i="46"/>
  <c r="C19" i="46"/>
  <c r="AY18" i="46"/>
  <c r="AW18" i="46"/>
  <c r="AV18" i="46"/>
  <c r="AU18" i="46"/>
  <c r="AX18" i="46" s="1"/>
  <c r="AB18" i="46"/>
  <c r="C18" i="46"/>
  <c r="AS17" i="46"/>
  <c r="AS12" i="46" s="1"/>
  <c r="AR17" i="46"/>
  <c r="AR37" i="46" s="1"/>
  <c r="AB17" i="46"/>
  <c r="C17" i="46"/>
  <c r="AW16" i="46"/>
  <c r="AV16" i="46"/>
  <c r="AY16" i="46" s="1"/>
  <c r="AU16" i="46"/>
  <c r="AX16" i="46" s="1"/>
  <c r="AB16" i="46"/>
  <c r="C16" i="46"/>
  <c r="AB15" i="46"/>
  <c r="C15" i="46"/>
  <c r="AB14" i="46"/>
  <c r="C14" i="46"/>
  <c r="AW13" i="46"/>
  <c r="AV13" i="46"/>
  <c r="AU13" i="46"/>
  <c r="AB13" i="46"/>
  <c r="C13" i="46"/>
  <c r="AR12" i="46"/>
  <c r="AB12" i="46"/>
  <c r="C12" i="46"/>
  <c r="AB11" i="46"/>
  <c r="C11" i="46"/>
  <c r="AB10" i="46"/>
  <c r="C10" i="46"/>
  <c r="AB9" i="46"/>
  <c r="C9" i="46"/>
  <c r="AB8" i="46"/>
  <c r="C8" i="46"/>
  <c r="AB7" i="46"/>
  <c r="C7" i="46"/>
  <c r="AB6" i="46"/>
  <c r="C6" i="46"/>
  <c r="AB5" i="46"/>
  <c r="C5" i="46"/>
  <c r="CB4" i="1"/>
  <c r="BA38" i="119"/>
  <c r="AZ38" i="119"/>
  <c r="AY38" i="119"/>
  <c r="AX38" i="119"/>
  <c r="BB38" i="119" s="1"/>
  <c r="AL38" i="119"/>
  <c r="AK38" i="119"/>
  <c r="AH38" i="119"/>
  <c r="AB38" i="119"/>
  <c r="Z38" i="119"/>
  <c r="Y38" i="119"/>
  <c r="BB37" i="119"/>
  <c r="BA37" i="119"/>
  <c r="AZ37" i="119"/>
  <c r="AY37" i="119"/>
  <c r="AX37" i="119"/>
  <c r="AL37" i="119"/>
  <c r="AK37" i="119"/>
  <c r="AH37" i="119"/>
  <c r="AB37" i="119"/>
  <c r="Z37" i="119"/>
  <c r="Y37" i="119"/>
  <c r="BA36" i="119"/>
  <c r="AZ36" i="119"/>
  <c r="AY36" i="119"/>
  <c r="AX36" i="119"/>
  <c r="BB36" i="119" s="1"/>
  <c r="AL36" i="119"/>
  <c r="AK36" i="119"/>
  <c r="AH36" i="119"/>
  <c r="AB36" i="119"/>
  <c r="Z36" i="119"/>
  <c r="Y36" i="119"/>
  <c r="BB35" i="119"/>
  <c r="BA35" i="119"/>
  <c r="AZ35" i="119"/>
  <c r="AY35" i="119"/>
  <c r="AX35" i="119"/>
  <c r="AL35" i="119"/>
  <c r="AK35" i="119"/>
  <c r="AH35" i="119"/>
  <c r="AB35" i="119"/>
  <c r="Z35" i="119"/>
  <c r="Y35" i="119"/>
  <c r="BA34" i="119"/>
  <c r="AZ34" i="119"/>
  <c r="AY34" i="119"/>
  <c r="AX34" i="119"/>
  <c r="BB34" i="119" s="1"/>
  <c r="AL34" i="119"/>
  <c r="AK34" i="119"/>
  <c r="AH34" i="119"/>
  <c r="AB34" i="119"/>
  <c r="Z34" i="119"/>
  <c r="Y34" i="119"/>
  <c r="BA33" i="119"/>
  <c r="AZ33" i="119"/>
  <c r="AY33" i="119"/>
  <c r="AX33" i="119"/>
  <c r="BB33" i="119" s="1"/>
  <c r="AL33" i="119"/>
  <c r="AK33" i="119"/>
  <c r="AH33" i="119"/>
  <c r="AB33" i="119"/>
  <c r="Z33" i="119"/>
  <c r="Y33" i="119"/>
  <c r="BB32" i="119"/>
  <c r="BA32" i="119"/>
  <c r="AZ32" i="119"/>
  <c r="AY32" i="119"/>
  <c r="AX32" i="119"/>
  <c r="AL32" i="119"/>
  <c r="AK32" i="119"/>
  <c r="AH32" i="119"/>
  <c r="AB32" i="119"/>
  <c r="Z32" i="119"/>
  <c r="Y32" i="119"/>
  <c r="BB31" i="119"/>
  <c r="BA31" i="119"/>
  <c r="AZ31" i="119"/>
  <c r="AY31" i="119"/>
  <c r="AX31" i="119"/>
  <c r="AL31" i="119"/>
  <c r="AK31" i="119"/>
  <c r="AH31" i="119"/>
  <c r="AB31" i="119"/>
  <c r="Z31" i="119"/>
  <c r="Y31" i="119"/>
  <c r="BA30" i="119"/>
  <c r="AZ30" i="119"/>
  <c r="AY30" i="119"/>
  <c r="AX30" i="119"/>
  <c r="BB30" i="119" s="1"/>
  <c r="AL30" i="119"/>
  <c r="AK30" i="119"/>
  <c r="AH30" i="119"/>
  <c r="AB30" i="119"/>
  <c r="Z30" i="119"/>
  <c r="Y30" i="119"/>
  <c r="BA29" i="119"/>
  <c r="AZ29" i="119"/>
  <c r="AY29" i="119"/>
  <c r="AX29" i="119"/>
  <c r="BB29" i="119" s="1"/>
  <c r="AL29" i="119"/>
  <c r="AK29" i="119"/>
  <c r="AH29" i="119"/>
  <c r="AB29" i="119"/>
  <c r="Z29" i="119"/>
  <c r="Y29" i="119"/>
  <c r="BA28" i="119"/>
  <c r="AZ28" i="119"/>
  <c r="AY28" i="119"/>
  <c r="AX28" i="119"/>
  <c r="BB28" i="119" s="1"/>
  <c r="AL28" i="119"/>
  <c r="AK28" i="119"/>
  <c r="AH28" i="119"/>
  <c r="AB28" i="119"/>
  <c r="Z28" i="119"/>
  <c r="Y28" i="119"/>
  <c r="BA27" i="119"/>
  <c r="AZ27" i="119"/>
  <c r="AY27" i="119"/>
  <c r="AX27" i="119"/>
  <c r="BB27" i="119" s="1"/>
  <c r="AL27" i="119"/>
  <c r="AK27" i="119"/>
  <c r="AH27" i="119"/>
  <c r="AB27" i="119"/>
  <c r="Z27" i="119"/>
  <c r="Y27" i="119"/>
  <c r="BB26" i="119"/>
  <c r="BA26" i="119"/>
  <c r="AZ26" i="119"/>
  <c r="AY26" i="119"/>
  <c r="AX26" i="119"/>
  <c r="AL26" i="119"/>
  <c r="AK26" i="119"/>
  <c r="AH26" i="119"/>
  <c r="AB26" i="119"/>
  <c r="Z26" i="119"/>
  <c r="Y26" i="119"/>
  <c r="BB25" i="119"/>
  <c r="BA25" i="119"/>
  <c r="AZ25" i="119"/>
  <c r="AY25" i="119"/>
  <c r="AX25" i="119"/>
  <c r="AL25" i="119"/>
  <c r="AK25" i="119"/>
  <c r="AH25" i="119"/>
  <c r="AB25" i="119"/>
  <c r="Z25" i="119"/>
  <c r="Y25" i="119"/>
  <c r="BA24" i="119"/>
  <c r="AZ24" i="119"/>
  <c r="AY24" i="119"/>
  <c r="AX24" i="119"/>
  <c r="BB24" i="119" s="1"/>
  <c r="AL24" i="119"/>
  <c r="AK24" i="119"/>
  <c r="AH24" i="119"/>
  <c r="AB24" i="119"/>
  <c r="Z24" i="119"/>
  <c r="Y24" i="119"/>
  <c r="BA23" i="119"/>
  <c r="AZ23" i="119"/>
  <c r="AY23" i="119"/>
  <c r="AX23" i="119"/>
  <c r="BB23" i="119" s="1"/>
  <c r="AL23" i="119"/>
  <c r="AK23" i="119"/>
  <c r="AH23" i="119"/>
  <c r="AB23" i="119"/>
  <c r="Z23" i="119"/>
  <c r="Y23" i="119"/>
  <c r="BA22" i="119"/>
  <c r="AZ22" i="119"/>
  <c r="AY22" i="119"/>
  <c r="AX22" i="119"/>
  <c r="BB22" i="119" s="1"/>
  <c r="AL22" i="119"/>
  <c r="AK22" i="119"/>
  <c r="AH22" i="119"/>
  <c r="AB22" i="119"/>
  <c r="Z22" i="119"/>
  <c r="Y22" i="119"/>
  <c r="BB21" i="119"/>
  <c r="BA21" i="119"/>
  <c r="AZ21" i="119"/>
  <c r="AY21" i="119"/>
  <c r="AX21" i="119"/>
  <c r="AL21" i="119"/>
  <c r="AK21" i="119"/>
  <c r="AH21" i="119"/>
  <c r="AB21" i="119"/>
  <c r="Z21" i="119"/>
  <c r="Y21" i="119"/>
  <c r="BB20" i="119"/>
  <c r="BA20" i="119"/>
  <c r="AZ20" i="119"/>
  <c r="AY20" i="119"/>
  <c r="AX20" i="119"/>
  <c r="AL20" i="119"/>
  <c r="AK20" i="119"/>
  <c r="AH20" i="119"/>
  <c r="AB20" i="119"/>
  <c r="Z20" i="119"/>
  <c r="Y20" i="119"/>
  <c r="BA19" i="119"/>
  <c r="AZ19" i="119"/>
  <c r="AY19" i="119"/>
  <c r="AX19" i="119"/>
  <c r="BB19" i="119" s="1"/>
  <c r="AL19" i="119"/>
  <c r="AK19" i="119"/>
  <c r="AH19" i="119"/>
  <c r="AB19" i="119"/>
  <c r="Z19" i="119"/>
  <c r="Y19" i="119"/>
  <c r="BA18" i="119"/>
  <c r="AZ18" i="119"/>
  <c r="AY18" i="119"/>
  <c r="AX18" i="119"/>
  <c r="BB18" i="119" s="1"/>
  <c r="AL18" i="119"/>
  <c r="AK18" i="119"/>
  <c r="AH18" i="119"/>
  <c r="AB18" i="119"/>
  <c r="Z18" i="119"/>
  <c r="Y18" i="119"/>
  <c r="BA17" i="119"/>
  <c r="AZ17" i="119"/>
  <c r="AY17" i="119"/>
  <c r="AX17" i="119"/>
  <c r="BB17" i="119" s="1"/>
  <c r="AL17" i="119"/>
  <c r="AK17" i="119"/>
  <c r="AH17" i="119"/>
  <c r="AB17" i="119"/>
  <c r="Z17" i="119"/>
  <c r="Y17" i="119"/>
  <c r="BB16" i="119"/>
  <c r="BA16" i="119"/>
  <c r="AZ16" i="119"/>
  <c r="AY16" i="119"/>
  <c r="AX16" i="119"/>
  <c r="AL16" i="119"/>
  <c r="AK16" i="119"/>
  <c r="AH16" i="119"/>
  <c r="AB16" i="119"/>
  <c r="Z16" i="119"/>
  <c r="Y16" i="119"/>
  <c r="BB15" i="119"/>
  <c r="BA15" i="119"/>
  <c r="AZ15" i="119"/>
  <c r="AY15" i="119"/>
  <c r="AX15" i="119"/>
  <c r="AL15" i="119"/>
  <c r="AK15" i="119"/>
  <c r="AH15" i="119"/>
  <c r="AB15" i="119"/>
  <c r="Z15" i="119"/>
  <c r="Y15" i="119"/>
  <c r="BB14" i="119"/>
  <c r="BA14" i="119"/>
  <c r="AZ14" i="119"/>
  <c r="AY14" i="119"/>
  <c r="AX14" i="119"/>
  <c r="AL14" i="119"/>
  <c r="AK14" i="119"/>
  <c r="AH14" i="119"/>
  <c r="AB14" i="119"/>
  <c r="Z14" i="119"/>
  <c r="Y14" i="119"/>
  <c r="BA13" i="119"/>
  <c r="AZ13" i="119"/>
  <c r="AY13" i="119"/>
  <c r="AX13" i="119"/>
  <c r="BB13" i="119" s="1"/>
  <c r="AL13" i="119"/>
  <c r="AK13" i="119"/>
  <c r="AH13" i="119"/>
  <c r="AB13" i="119"/>
  <c r="Z13" i="119"/>
  <c r="Y13" i="119"/>
  <c r="BA12" i="119"/>
  <c r="AZ12" i="119"/>
  <c r="AY12" i="119"/>
  <c r="AX12" i="119"/>
  <c r="BB12" i="119" s="1"/>
  <c r="AL12" i="119"/>
  <c r="AK12" i="119"/>
  <c r="AH12" i="119"/>
  <c r="AB12" i="119"/>
  <c r="Z12" i="119"/>
  <c r="Y12" i="119"/>
  <c r="BA11" i="119"/>
  <c r="AZ11" i="119"/>
  <c r="AY11" i="119"/>
  <c r="AX11" i="119"/>
  <c r="BB11" i="119" s="1"/>
  <c r="AL11" i="119"/>
  <c r="AK11" i="119"/>
  <c r="AH11" i="119"/>
  <c r="AB11" i="119"/>
  <c r="Z11" i="119"/>
  <c r="Y11" i="119"/>
  <c r="BB10" i="119"/>
  <c r="BA10" i="119"/>
  <c r="AZ10" i="119"/>
  <c r="AY10" i="119"/>
  <c r="AX10" i="119"/>
  <c r="AL10" i="119"/>
  <c r="AK10" i="119"/>
  <c r="AH10" i="119"/>
  <c r="AB10" i="119"/>
  <c r="Z10" i="119"/>
  <c r="Y10" i="119"/>
  <c r="BA9" i="119"/>
  <c r="AZ9" i="119"/>
  <c r="AY9" i="119"/>
  <c r="AX9" i="119"/>
  <c r="BB9" i="119" s="1"/>
  <c r="AL9" i="119"/>
  <c r="AK9" i="119"/>
  <c r="AH9" i="119"/>
  <c r="AB9" i="119"/>
  <c r="Z9" i="119"/>
  <c r="Y9" i="119"/>
  <c r="BA8" i="119"/>
  <c r="AZ8" i="119"/>
  <c r="AY8" i="119"/>
  <c r="AX8" i="119"/>
  <c r="BB8" i="119" s="1"/>
  <c r="AL8" i="119"/>
  <c r="AK8" i="119"/>
  <c r="AH8" i="119"/>
  <c r="AB8" i="119"/>
  <c r="Z8" i="119"/>
  <c r="Y8" i="119"/>
  <c r="BA7" i="119"/>
  <c r="AZ7" i="119"/>
  <c r="AY7" i="119"/>
  <c r="AX7" i="119"/>
  <c r="BB7" i="119" s="1"/>
  <c r="AL7" i="119"/>
  <c r="AK7" i="119"/>
  <c r="AH7" i="119"/>
  <c r="AB7" i="119"/>
  <c r="Z7" i="119"/>
  <c r="Y7" i="119"/>
  <c r="BB6" i="119"/>
  <c r="BA6" i="119"/>
  <c r="AZ6" i="119"/>
  <c r="AY6" i="119"/>
  <c r="AX6" i="119"/>
  <c r="AL6" i="119"/>
  <c r="AK6" i="119"/>
  <c r="AH6" i="119"/>
  <c r="AB6" i="119"/>
  <c r="Z6" i="119"/>
  <c r="Y6" i="119"/>
  <c r="BB5" i="119"/>
  <c r="BB4" i="119" s="1"/>
  <c r="BA5" i="119"/>
  <c r="BA4" i="119" s="1"/>
  <c r="AZ5" i="119"/>
  <c r="AZ4" i="119" s="1"/>
  <c r="AY5" i="119"/>
  <c r="AY4" i="119" s="1"/>
  <c r="AX5" i="119"/>
  <c r="AX4" i="119" s="1"/>
  <c r="AL5" i="119"/>
  <c r="AK5" i="119"/>
  <c r="AK4" i="119" s="1"/>
  <c r="AH5" i="119"/>
  <c r="AH4" i="119" s="1"/>
  <c r="AB5" i="119"/>
  <c r="Z5" i="119"/>
  <c r="Y5" i="119"/>
  <c r="AS4" i="119"/>
  <c r="AO4" i="119"/>
  <c r="AN4" i="119"/>
  <c r="AM4" i="119"/>
  <c r="AL4" i="119"/>
  <c r="AE4" i="119"/>
  <c r="AB4" i="119"/>
  <c r="Z4" i="119"/>
  <c r="Y4" i="119"/>
  <c r="AH37" i="117"/>
  <c r="AF37" i="117"/>
  <c r="AD37" i="117"/>
  <c r="AB37" i="117"/>
  <c r="Z37" i="117"/>
  <c r="X37" i="117"/>
  <c r="V37" i="117"/>
  <c r="T37" i="117"/>
  <c r="R37" i="117"/>
  <c r="P37" i="117"/>
  <c r="N37" i="117"/>
  <c r="L37" i="117"/>
  <c r="J37" i="117"/>
  <c r="H37" i="117"/>
  <c r="D37" i="117"/>
  <c r="B37" i="117"/>
  <c r="P39" i="114"/>
  <c r="N39" i="114"/>
  <c r="L39" i="114"/>
  <c r="AH37" i="114"/>
  <c r="AF37" i="114"/>
  <c r="AD37" i="114"/>
  <c r="AB37" i="114"/>
  <c r="Z37" i="114"/>
  <c r="X37" i="114"/>
  <c r="V37" i="114"/>
  <c r="T37" i="114"/>
  <c r="R37" i="114"/>
  <c r="P37" i="114"/>
  <c r="N37" i="114"/>
  <c r="L37" i="114"/>
  <c r="J37" i="114"/>
  <c r="H37" i="114"/>
  <c r="B37" i="114"/>
  <c r="BY4" i="1" l="1"/>
  <c r="P93" i="70"/>
  <c r="R115" i="70"/>
  <c r="K127" i="70"/>
  <c r="D37" i="114"/>
  <c r="K123" i="70"/>
  <c r="N118" i="70"/>
  <c r="O118" i="70" s="1"/>
  <c r="N53" i="70"/>
  <c r="R127" i="70"/>
  <c r="K69" i="70"/>
  <c r="K128" i="70"/>
  <c r="L128" i="70" s="1"/>
  <c r="R38" i="70"/>
  <c r="N58" i="70"/>
  <c r="R73" i="70"/>
  <c r="S73" i="70" s="1"/>
  <c r="R92" i="70"/>
  <c r="R100" i="70"/>
  <c r="R104" i="70"/>
  <c r="R120" i="70"/>
  <c r="N147" i="70"/>
  <c r="N145" i="70"/>
  <c r="O145" i="70" s="1"/>
  <c r="N71" i="70"/>
  <c r="O71" i="70" s="1"/>
  <c r="N144" i="70"/>
  <c r="K142" i="70"/>
  <c r="L142" i="70" s="1"/>
  <c r="H116" i="70"/>
  <c r="H128" i="70"/>
  <c r="P105" i="70"/>
  <c r="K116" i="70"/>
  <c r="I52" i="70"/>
  <c r="I74" i="70"/>
  <c r="I101" i="70"/>
  <c r="I129" i="70"/>
  <c r="I118" i="70"/>
  <c r="J118" i="70" s="1"/>
  <c r="L100" i="70"/>
  <c r="M62" i="70"/>
  <c r="S62" i="70" s="1"/>
  <c r="I17" i="70"/>
  <c r="M46" i="70"/>
  <c r="M70" i="70"/>
  <c r="AP10" i="46" s="1"/>
  <c r="AV10" i="46" s="1"/>
  <c r="AY10" i="46" s="1"/>
  <c r="M78" i="70"/>
  <c r="I96" i="70"/>
  <c r="J96" i="70" s="1"/>
  <c r="P69" i="70"/>
  <c r="AO7" i="46" s="1"/>
  <c r="AU7" i="46" s="1"/>
  <c r="AX7" i="46" s="1"/>
  <c r="I7" i="70"/>
  <c r="I59" i="70"/>
  <c r="J59" i="70" s="1"/>
  <c r="M74" i="70"/>
  <c r="M101" i="70"/>
  <c r="AP24" i="46" s="1"/>
  <c r="AV24" i="46" s="1"/>
  <c r="AY24" i="46" s="1"/>
  <c r="M146" i="70"/>
  <c r="Q146" i="70" s="1"/>
  <c r="M129" i="70"/>
  <c r="I144" i="70"/>
  <c r="J144" i="70" s="1"/>
  <c r="H5" i="70"/>
  <c r="P38" i="70"/>
  <c r="P59" i="70"/>
  <c r="H75" i="70"/>
  <c r="P96" i="70"/>
  <c r="H22" i="70"/>
  <c r="H110" i="70"/>
  <c r="N78" i="70"/>
  <c r="K61" i="70"/>
  <c r="K75" i="70"/>
  <c r="I72" i="70"/>
  <c r="J72" i="70" s="1"/>
  <c r="M142" i="70"/>
  <c r="M116" i="70"/>
  <c r="S116" i="70" s="1"/>
  <c r="I147" i="70"/>
  <c r="J147" i="70" s="1"/>
  <c r="P123" i="70"/>
  <c r="Q123" i="70" s="1"/>
  <c r="M104" i="70"/>
  <c r="I38" i="70"/>
  <c r="I63" i="70"/>
  <c r="J63" i="70" s="1"/>
  <c r="I73" i="70"/>
  <c r="J73" i="70" s="1"/>
  <c r="I92" i="70"/>
  <c r="J92" i="70" s="1"/>
  <c r="I100" i="70"/>
  <c r="J100" i="70" s="1"/>
  <c r="H57" i="70"/>
  <c r="J57" i="70" s="1"/>
  <c r="P81" i="70"/>
  <c r="Q81" i="70" s="1"/>
  <c r="H94" i="70"/>
  <c r="P120" i="70"/>
  <c r="R71" i="70"/>
  <c r="S71" i="70" s="1"/>
  <c r="N34" i="70"/>
  <c r="N101" i="70"/>
  <c r="AQ24" i="46" s="1"/>
  <c r="AW24" i="46" s="1"/>
  <c r="M44" i="70"/>
  <c r="S44" i="70" s="1"/>
  <c r="P103" i="70"/>
  <c r="N55" i="70"/>
  <c r="O55" i="70" s="1"/>
  <c r="N96" i="70"/>
  <c r="R34" i="70"/>
  <c r="R101" i="70"/>
  <c r="H78" i="70"/>
  <c r="N112" i="70"/>
  <c r="O112" i="70" s="1"/>
  <c r="I45" i="70"/>
  <c r="M52" i="70"/>
  <c r="M56" i="70" s="1"/>
  <c r="AP6" i="46" s="1"/>
  <c r="I104" i="70"/>
  <c r="J104" i="70" s="1"/>
  <c r="H27" i="70"/>
  <c r="R22" i="70"/>
  <c r="M76" i="70"/>
  <c r="M99" i="70"/>
  <c r="M28" i="70"/>
  <c r="O28" i="70" s="1"/>
  <c r="M131" i="70"/>
  <c r="O131" i="70" s="1"/>
  <c r="I123" i="70"/>
  <c r="H141" i="70"/>
  <c r="J141" i="70" s="1"/>
  <c r="I44" i="70"/>
  <c r="I91" i="70"/>
  <c r="R8" i="70"/>
  <c r="R70" i="70"/>
  <c r="P55" i="70"/>
  <c r="Q55" i="70" s="1"/>
  <c r="P104" i="70"/>
  <c r="P128" i="70"/>
  <c r="R43" i="70"/>
  <c r="S43" i="70" s="1"/>
  <c r="AP8" i="46"/>
  <c r="AV8" i="46" s="1"/>
  <c r="AY8" i="46" s="1"/>
  <c r="M91" i="70"/>
  <c r="M95" i="70"/>
  <c r="M123" i="70"/>
  <c r="H25" i="70"/>
  <c r="H143" i="70"/>
  <c r="K32" i="70"/>
  <c r="L32" i="70" s="1"/>
  <c r="I6" i="70"/>
  <c r="P54" i="70"/>
  <c r="P91" i="70"/>
  <c r="H61" i="70"/>
  <c r="J61" i="70" s="1"/>
  <c r="P62" i="70"/>
  <c r="Q62" i="70" s="1"/>
  <c r="I116" i="70"/>
  <c r="J116" i="70" s="1"/>
  <c r="AX19" i="46"/>
  <c r="K28" i="70"/>
  <c r="L28" i="70" s="1"/>
  <c r="M75" i="70"/>
  <c r="AP9" i="46" s="1"/>
  <c r="AV9" i="46" s="1"/>
  <c r="AY9" i="46" s="1"/>
  <c r="O32" i="70"/>
  <c r="S80" i="70"/>
  <c r="K34" i="70"/>
  <c r="K144" i="70"/>
  <c r="L144" i="70" s="1"/>
  <c r="S55" i="70"/>
  <c r="O80" i="70"/>
  <c r="S112" i="70"/>
  <c r="H28" i="70"/>
  <c r="H44" i="70"/>
  <c r="L44" i="70" s="1"/>
  <c r="Q46" i="70"/>
  <c r="H54" i="70"/>
  <c r="H58" i="70"/>
  <c r="H62" i="70"/>
  <c r="K53" i="70"/>
  <c r="K56" i="70" s="1"/>
  <c r="AY22" i="46"/>
  <c r="F44" i="46"/>
  <c r="AB36" i="46"/>
  <c r="AB38" i="46" s="1"/>
  <c r="AB39" i="46" s="1"/>
  <c r="M38" i="46"/>
  <c r="M39" i="46" s="1"/>
  <c r="Q71" i="70"/>
  <c r="AX13" i="46"/>
  <c r="N38" i="46"/>
  <c r="N39" i="46" s="1"/>
  <c r="AY13" i="46"/>
  <c r="I18" i="70"/>
  <c r="M57" i="70"/>
  <c r="M79" i="70"/>
  <c r="O79" i="70" s="1"/>
  <c r="M118" i="70"/>
  <c r="J32" i="70"/>
  <c r="R131" i="70"/>
  <c r="Q32" i="70"/>
  <c r="K101" i="70"/>
  <c r="C37" i="46"/>
  <c r="M22" i="70"/>
  <c r="R53" i="70"/>
  <c r="S53" i="70" s="1"/>
  <c r="N119" i="70"/>
  <c r="O119" i="70" s="1"/>
  <c r="O127" i="70"/>
  <c r="R128" i="70"/>
  <c r="R5" i="70"/>
  <c r="R9" i="70" s="1"/>
  <c r="N8" i="70"/>
  <c r="N10" i="70" s="1"/>
  <c r="R32" i="70"/>
  <c r="S32" i="70" s="1"/>
  <c r="R36" i="70"/>
  <c r="N46" i="70"/>
  <c r="R57" i="70"/>
  <c r="R60" i="70" s="1"/>
  <c r="N70" i="70"/>
  <c r="AQ10" i="46" s="1"/>
  <c r="AW10" i="46" s="1"/>
  <c r="N74" i="70"/>
  <c r="O74" i="70" s="1"/>
  <c r="R79" i="70"/>
  <c r="N93" i="70"/>
  <c r="O93" i="70" s="1"/>
  <c r="R98" i="70"/>
  <c r="R97" i="70" s="1"/>
  <c r="R114" i="70"/>
  <c r="R118" i="70"/>
  <c r="S118" i="70" s="1"/>
  <c r="N129" i="70"/>
  <c r="H72" i="70"/>
  <c r="H76" i="70"/>
  <c r="H80" i="70"/>
  <c r="L80" i="70" s="1"/>
  <c r="H91" i="70"/>
  <c r="L91" i="70" s="1"/>
  <c r="Q93" i="70"/>
  <c r="H95" i="70"/>
  <c r="L95" i="70" s="1"/>
  <c r="H99" i="70"/>
  <c r="L99" i="70" s="1"/>
  <c r="H103" i="70"/>
  <c r="H115" i="70"/>
  <c r="H119" i="70"/>
  <c r="H123" i="70"/>
  <c r="H127" i="70"/>
  <c r="J127" i="70" s="1"/>
  <c r="H131" i="70"/>
  <c r="P145" i="70"/>
  <c r="Q145" i="70" s="1"/>
  <c r="K5" i="70"/>
  <c r="K9" i="70" s="1"/>
  <c r="K36" i="70"/>
  <c r="K43" i="70"/>
  <c r="K57" i="70"/>
  <c r="K71" i="70"/>
  <c r="L71" i="70" s="1"/>
  <c r="K79" i="70"/>
  <c r="K82" i="70" s="1"/>
  <c r="K94" i="70"/>
  <c r="K98" i="70"/>
  <c r="K97" i="70" s="1"/>
  <c r="K102" i="70"/>
  <c r="L102" i="70" s="1"/>
  <c r="K110" i="70"/>
  <c r="K118" i="70"/>
  <c r="L118" i="70" s="1"/>
  <c r="K126" i="70"/>
  <c r="L126" i="70" s="1"/>
  <c r="M25" i="70"/>
  <c r="O25" i="70" s="1"/>
  <c r="M38" i="70"/>
  <c r="M45" i="70"/>
  <c r="S45" i="70" s="1"/>
  <c r="I54" i="70"/>
  <c r="I58" i="70"/>
  <c r="I62" i="70"/>
  <c r="M63" i="70"/>
  <c r="S63" i="70" s="1"/>
  <c r="M69" i="70"/>
  <c r="AP7" i="46" s="1"/>
  <c r="AV7" i="46" s="1"/>
  <c r="AY7" i="46" s="1"/>
  <c r="M73" i="70"/>
  <c r="I76" i="70"/>
  <c r="I80" i="70"/>
  <c r="M81" i="70"/>
  <c r="M92" i="70"/>
  <c r="I95" i="70"/>
  <c r="I99" i="70"/>
  <c r="J99" i="70" s="1"/>
  <c r="M100" i="70"/>
  <c r="I103" i="70"/>
  <c r="I115" i="70"/>
  <c r="J115" i="70" s="1"/>
  <c r="I119" i="70"/>
  <c r="M120" i="70"/>
  <c r="I127" i="70"/>
  <c r="M128" i="70"/>
  <c r="I131" i="70"/>
  <c r="M144" i="70"/>
  <c r="P6" i="70"/>
  <c r="P28" i="70"/>
  <c r="Q28" i="70" s="1"/>
  <c r="P44" i="70"/>
  <c r="H46" i="70"/>
  <c r="H52" i="70"/>
  <c r="L52" i="70" s="1"/>
  <c r="P58" i="70"/>
  <c r="H70" i="70"/>
  <c r="P72" i="70"/>
  <c r="H74" i="70"/>
  <c r="P76" i="70"/>
  <c r="Q76" i="70" s="1"/>
  <c r="P80" i="70"/>
  <c r="Q80" i="70" s="1"/>
  <c r="H93" i="70"/>
  <c r="L93" i="70" s="1"/>
  <c r="P95" i="70"/>
  <c r="Q95" i="70" s="1"/>
  <c r="P99" i="70"/>
  <c r="H101" i="70"/>
  <c r="H105" i="70"/>
  <c r="J105" i="70" s="1"/>
  <c r="P115" i="70"/>
  <c r="H117" i="70"/>
  <c r="P119" i="70"/>
  <c r="P127" i="70"/>
  <c r="Q127" i="70" s="1"/>
  <c r="H129" i="70"/>
  <c r="L129" i="70" s="1"/>
  <c r="P131" i="70"/>
  <c r="Q131" i="70" s="1"/>
  <c r="P143" i="70"/>
  <c r="H145" i="70"/>
  <c r="P147" i="70"/>
  <c r="H38" i="70"/>
  <c r="L38" i="70" s="1"/>
  <c r="AY19" i="46"/>
  <c r="AX22" i="46"/>
  <c r="N7" i="70"/>
  <c r="N9" i="70" s="1"/>
  <c r="N17" i="70"/>
  <c r="AQ15" i="46" s="1"/>
  <c r="AW15" i="46" s="1"/>
  <c r="R18" i="70"/>
  <c r="R31" i="70"/>
  <c r="N38" i="70"/>
  <c r="N45" i="70"/>
  <c r="N47" i="70" s="1"/>
  <c r="R46" i="70"/>
  <c r="R52" i="70"/>
  <c r="N63" i="70"/>
  <c r="N69" i="70"/>
  <c r="AQ7" i="46" s="1"/>
  <c r="AW7" i="46" s="1"/>
  <c r="N73" i="70"/>
  <c r="O73" i="70" s="1"/>
  <c r="R74" i="70"/>
  <c r="R78" i="70"/>
  <c r="R82" i="70" s="1"/>
  <c r="N81" i="70"/>
  <c r="O81" i="70" s="1"/>
  <c r="N92" i="70"/>
  <c r="R93" i="70"/>
  <c r="S93" i="70" s="1"/>
  <c r="N100" i="70"/>
  <c r="N104" i="70"/>
  <c r="R105" i="70"/>
  <c r="N116" i="70"/>
  <c r="O116" i="70" s="1"/>
  <c r="R117" i="70"/>
  <c r="N120" i="70"/>
  <c r="N128" i="70"/>
  <c r="R129" i="70"/>
  <c r="M94" i="70"/>
  <c r="M110" i="70"/>
  <c r="AP26" i="46" s="1"/>
  <c r="AV26" i="46" s="1"/>
  <c r="AY26" i="46" s="1"/>
  <c r="K145" i="70"/>
  <c r="C36" i="46"/>
  <c r="K70" i="70"/>
  <c r="AR38" i="46"/>
  <c r="AR39" i="46" s="1"/>
  <c r="R76" i="70"/>
  <c r="S76" i="70" s="1"/>
  <c r="L44" i="46"/>
  <c r="K46" i="70"/>
  <c r="K47" i="70" s="1"/>
  <c r="L38" i="46"/>
  <c r="L39" i="46" s="1"/>
  <c r="N43" i="70"/>
  <c r="AQ5" i="46" s="1"/>
  <c r="N57" i="70"/>
  <c r="N60" i="70" s="1"/>
  <c r="AD38" i="46"/>
  <c r="AD39" i="46" s="1"/>
  <c r="M5" i="70"/>
  <c r="O5" i="70" s="1"/>
  <c r="I8" i="70"/>
  <c r="M43" i="70"/>
  <c r="AP5" i="46" s="1"/>
  <c r="AV5" i="46" s="1"/>
  <c r="AY5" i="46" s="1"/>
  <c r="I46" i="70"/>
  <c r="J46" i="70" s="1"/>
  <c r="M61" i="70"/>
  <c r="I70" i="70"/>
  <c r="M71" i="70"/>
  <c r="M98" i="70"/>
  <c r="O98" i="70" s="1"/>
  <c r="I117" i="70"/>
  <c r="M126" i="70"/>
  <c r="I141" i="70"/>
  <c r="I145" i="70"/>
  <c r="J145" i="70" s="1"/>
  <c r="K143" i="70"/>
  <c r="T38" i="46"/>
  <c r="T39" i="46" s="1"/>
  <c r="H36" i="70"/>
  <c r="P45" i="70"/>
  <c r="H53" i="70"/>
  <c r="J53" i="70" s="1"/>
  <c r="P73" i="70"/>
  <c r="Q73" i="70" s="1"/>
  <c r="P92" i="70"/>
  <c r="P100" i="70"/>
  <c r="H114" i="70"/>
  <c r="P144" i="70"/>
  <c r="K8" i="70"/>
  <c r="O38" i="46"/>
  <c r="O39" i="46" s="1"/>
  <c r="AE38" i="46"/>
  <c r="AE39" i="46" s="1"/>
  <c r="R54" i="70"/>
  <c r="S54" i="70" s="1"/>
  <c r="N61" i="70"/>
  <c r="N75" i="70"/>
  <c r="AQ9" i="46" s="1"/>
  <c r="AW9" i="46" s="1"/>
  <c r="R119" i="70"/>
  <c r="S119" i="70" s="1"/>
  <c r="R123" i="70"/>
  <c r="S123" i="70" s="1"/>
  <c r="P38" i="46"/>
  <c r="P39" i="46" s="1"/>
  <c r="AF38" i="46"/>
  <c r="AF39" i="46" s="1"/>
  <c r="K105" i="70"/>
  <c r="K117" i="70"/>
  <c r="K141" i="70"/>
  <c r="Q38" i="46"/>
  <c r="Q39" i="46" s="1"/>
  <c r="AG38" i="46"/>
  <c r="AG39" i="46" s="1"/>
  <c r="H55" i="70"/>
  <c r="L55" i="70" s="1"/>
  <c r="P61" i="70"/>
  <c r="H69" i="70"/>
  <c r="P75" i="70"/>
  <c r="P94" i="70"/>
  <c r="P102" i="70"/>
  <c r="P110" i="70"/>
  <c r="H112" i="70"/>
  <c r="L112" i="70" s="1"/>
  <c r="H120" i="70"/>
  <c r="L120" i="70" s="1"/>
  <c r="K58" i="70"/>
  <c r="L58" i="70" s="1"/>
  <c r="K147" i="70"/>
  <c r="L147" i="70" s="1"/>
  <c r="P117" i="70"/>
  <c r="M31" i="70"/>
  <c r="I55" i="70"/>
  <c r="I69" i="70"/>
  <c r="I81" i="70"/>
  <c r="J81" i="70" s="1"/>
  <c r="M105" i="70"/>
  <c r="Q105" i="70" s="1"/>
  <c r="I112" i="70"/>
  <c r="I120" i="70"/>
  <c r="J120" i="70" s="1"/>
  <c r="I128" i="70"/>
  <c r="J128" i="70" s="1"/>
  <c r="P7" i="70"/>
  <c r="P34" i="70"/>
  <c r="H43" i="70"/>
  <c r="P63" i="70"/>
  <c r="H71" i="70"/>
  <c r="H79" i="70"/>
  <c r="H98" i="70"/>
  <c r="P112" i="70"/>
  <c r="Q112" i="70" s="1"/>
  <c r="P116" i="70"/>
  <c r="M27" i="70"/>
  <c r="N18" i="70"/>
  <c r="N31" i="70"/>
  <c r="N52" i="70"/>
  <c r="R61" i="70"/>
  <c r="R75" i="70"/>
  <c r="S75" i="70" s="1"/>
  <c r="R94" i="70"/>
  <c r="N105" i="70"/>
  <c r="R110" i="70"/>
  <c r="N117" i="70"/>
  <c r="R126" i="70"/>
  <c r="S126" i="70" s="1"/>
  <c r="N141" i="70"/>
  <c r="I5" i="70"/>
  <c r="J5" i="70" s="1"/>
  <c r="I23" i="70"/>
  <c r="I36" i="70"/>
  <c r="I43" i="70"/>
  <c r="M58" i="70"/>
  <c r="I71" i="70"/>
  <c r="J71" i="70" s="1"/>
  <c r="I79" i="70"/>
  <c r="I98" i="70"/>
  <c r="M103" i="70"/>
  <c r="I114" i="70"/>
  <c r="J114" i="70" s="1"/>
  <c r="M115" i="70"/>
  <c r="O115" i="70" s="1"/>
  <c r="M119" i="70"/>
  <c r="I126" i="70"/>
  <c r="J126" i="70" s="1"/>
  <c r="M143" i="70"/>
  <c r="I146" i="70"/>
  <c r="M147" i="70"/>
  <c r="O147" i="70" s="1"/>
  <c r="K103" i="70"/>
  <c r="L103" i="70" s="1"/>
  <c r="K115" i="70"/>
  <c r="H126" i="70"/>
  <c r="P8" i="70"/>
  <c r="R142" i="70"/>
  <c r="AT17" i="46"/>
  <c r="AS34" i="46"/>
  <c r="F37" i="117"/>
  <c r="M149" i="70"/>
  <c r="F37" i="114"/>
  <c r="H149" i="70"/>
  <c r="AS37" i="46"/>
  <c r="AS38" i="46" s="1"/>
  <c r="AS39" i="46" s="1"/>
  <c r="J45" i="70"/>
  <c r="O53" i="70"/>
  <c r="L61" i="70"/>
  <c r="S96" i="70"/>
  <c r="AO10" i="46"/>
  <c r="AU10" i="46" s="1"/>
  <c r="AX10" i="46" s="1"/>
  <c r="L45" i="70"/>
  <c r="Q53" i="70"/>
  <c r="L72" i="70"/>
  <c r="Q120" i="70"/>
  <c r="S127" i="70"/>
  <c r="L94" i="70"/>
  <c r="S103" i="70"/>
  <c r="S95" i="70"/>
  <c r="L119" i="70"/>
  <c r="Q57" i="70"/>
  <c r="L63" i="70"/>
  <c r="Q69" i="70"/>
  <c r="O94" i="70"/>
  <c r="J93" i="70"/>
  <c r="L116" i="70"/>
  <c r="L96" i="70"/>
  <c r="O123" i="70"/>
  <c r="S74" i="70"/>
  <c r="L127" i="70"/>
  <c r="S69" i="70"/>
  <c r="O62" i="70"/>
  <c r="O76" i="70"/>
  <c r="R10" i="70"/>
  <c r="R47" i="70"/>
  <c r="R48" i="70" s="1"/>
  <c r="AX5" i="46"/>
  <c r="N125" i="70"/>
  <c r="O54" i="70"/>
  <c r="O95" i="70"/>
  <c r="O144" i="70" l="1"/>
  <c r="L145" i="70"/>
  <c r="Q100" i="70"/>
  <c r="Q52" i="70"/>
  <c r="S52" i="70"/>
  <c r="O58" i="70"/>
  <c r="O129" i="70"/>
  <c r="J101" i="70"/>
  <c r="Q94" i="70"/>
  <c r="S120" i="70"/>
  <c r="J54" i="70"/>
  <c r="O92" i="70"/>
  <c r="J91" i="70"/>
  <c r="O70" i="70"/>
  <c r="S61" i="70"/>
  <c r="AP11" i="46"/>
  <c r="AV11" i="46" s="1"/>
  <c r="AY11" i="46" s="1"/>
  <c r="J103" i="70"/>
  <c r="I97" i="70"/>
  <c r="N56" i="70"/>
  <c r="AQ6" i="46" s="1"/>
  <c r="AQ36" i="46" s="1"/>
  <c r="J43" i="70"/>
  <c r="O63" i="70"/>
  <c r="Q116" i="70"/>
  <c r="Q44" i="70"/>
  <c r="I82" i="70"/>
  <c r="H146" i="70"/>
  <c r="L146" i="70" s="1"/>
  <c r="J117" i="70"/>
  <c r="S78" i="70"/>
  <c r="R143" i="70"/>
  <c r="S143" i="70" s="1"/>
  <c r="K10" i="70"/>
  <c r="L79" i="70"/>
  <c r="J129" i="70"/>
  <c r="S100" i="70"/>
  <c r="L123" i="70"/>
  <c r="S92" i="70"/>
  <c r="J79" i="70"/>
  <c r="J76" i="70"/>
  <c r="J58" i="70"/>
  <c r="Q144" i="70"/>
  <c r="K77" i="70"/>
  <c r="K83" i="70" s="1"/>
  <c r="S105" i="70"/>
  <c r="O105" i="70"/>
  <c r="P90" i="70"/>
  <c r="N64" i="70"/>
  <c r="L117" i="70"/>
  <c r="Q147" i="70"/>
  <c r="O69" i="70"/>
  <c r="S57" i="70"/>
  <c r="N82" i="70"/>
  <c r="N83" i="70" s="1"/>
  <c r="Q104" i="70"/>
  <c r="L110" i="70"/>
  <c r="O104" i="70"/>
  <c r="O100" i="70"/>
  <c r="S22" i="70"/>
  <c r="H82" i="70"/>
  <c r="L82" i="70" s="1"/>
  <c r="H60" i="70"/>
  <c r="H64" i="70" s="1"/>
  <c r="J110" i="70"/>
  <c r="S115" i="70"/>
  <c r="M82" i="70"/>
  <c r="N77" i="70"/>
  <c r="AQ21" i="46"/>
  <c r="AW21" i="46" s="1"/>
  <c r="Q119" i="70"/>
  <c r="S104" i="70"/>
  <c r="Q98" i="70"/>
  <c r="R77" i="70"/>
  <c r="R83" i="70" s="1"/>
  <c r="I9" i="70"/>
  <c r="Q99" i="70"/>
  <c r="J112" i="70"/>
  <c r="J70" i="70"/>
  <c r="K60" i="70"/>
  <c r="K64" i="70" s="1"/>
  <c r="L141" i="70"/>
  <c r="L105" i="70"/>
  <c r="S5" i="70"/>
  <c r="J55" i="70"/>
  <c r="J69" i="70"/>
  <c r="S144" i="70"/>
  <c r="I10" i="70"/>
  <c r="J38" i="70"/>
  <c r="J146" i="70"/>
  <c r="H90" i="70"/>
  <c r="Q143" i="70"/>
  <c r="P77" i="70"/>
  <c r="AP23" i="46"/>
  <c r="AV23" i="46" s="1"/>
  <c r="AY23" i="46" s="1"/>
  <c r="AP14" i="46"/>
  <c r="AV14" i="46" s="1"/>
  <c r="AY14" i="46" s="1"/>
  <c r="P17" i="70"/>
  <c r="AO15" i="46" s="1"/>
  <c r="AU15" i="46" s="1"/>
  <c r="P10" i="70"/>
  <c r="N22" i="70"/>
  <c r="O22" i="70" s="1"/>
  <c r="K85" i="70"/>
  <c r="J75" i="70"/>
  <c r="L75" i="70"/>
  <c r="L143" i="70"/>
  <c r="L74" i="70"/>
  <c r="J74" i="70"/>
  <c r="AP21" i="46"/>
  <c r="AV21" i="46" s="1"/>
  <c r="AY21" i="46" s="1"/>
  <c r="M90" i="70"/>
  <c r="Q90" i="70" s="1"/>
  <c r="O91" i="70"/>
  <c r="AO8" i="46"/>
  <c r="AU8" i="46" s="1"/>
  <c r="AX8" i="46" s="1"/>
  <c r="P56" i="70"/>
  <c r="Q54" i="70"/>
  <c r="Q58" i="70"/>
  <c r="S58" i="70"/>
  <c r="M60" i="70"/>
  <c r="M64" i="70" s="1"/>
  <c r="M65" i="70" s="1"/>
  <c r="M66" i="70" s="1"/>
  <c r="P97" i="70"/>
  <c r="O31" i="70"/>
  <c r="N102" i="70"/>
  <c r="K31" i="70"/>
  <c r="J62" i="70"/>
  <c r="Q43" i="70"/>
  <c r="H77" i="70"/>
  <c r="L78" i="70"/>
  <c r="J78" i="70"/>
  <c r="Q79" i="70"/>
  <c r="J94" i="70"/>
  <c r="Q61" i="70"/>
  <c r="H56" i="70"/>
  <c r="AO11" i="46"/>
  <c r="AU11" i="46" s="1"/>
  <c r="AX11" i="46" s="1"/>
  <c r="J123" i="70"/>
  <c r="Q38" i="70"/>
  <c r="Q75" i="70"/>
  <c r="AO9" i="46"/>
  <c r="AU9" i="46" s="1"/>
  <c r="AX9" i="46" s="1"/>
  <c r="Q72" i="70"/>
  <c r="O61" i="70"/>
  <c r="N146" i="70"/>
  <c r="O146" i="70" s="1"/>
  <c r="P125" i="70"/>
  <c r="N90" i="70"/>
  <c r="L53" i="70"/>
  <c r="M77" i="70"/>
  <c r="I34" i="70"/>
  <c r="Q45" i="70"/>
  <c r="AO17" i="46"/>
  <c r="AU17" i="46" s="1"/>
  <c r="AX17" i="46" s="1"/>
  <c r="K25" i="70"/>
  <c r="L25" i="70" s="1"/>
  <c r="H31" i="70"/>
  <c r="M47" i="70"/>
  <c r="M48" i="70" s="1"/>
  <c r="AP17" i="46"/>
  <c r="AV17" i="46" s="1"/>
  <c r="AY17" i="46" s="1"/>
  <c r="S142" i="70"/>
  <c r="I60" i="70"/>
  <c r="N97" i="70"/>
  <c r="H125" i="70"/>
  <c r="I22" i="70"/>
  <c r="J22" i="70" s="1"/>
  <c r="S82" i="70"/>
  <c r="S128" i="70"/>
  <c r="N142" i="70"/>
  <c r="O142" i="70" s="1"/>
  <c r="Q78" i="70"/>
  <c r="I28" i="70"/>
  <c r="J28" i="70" s="1"/>
  <c r="L69" i="70"/>
  <c r="J82" i="70"/>
  <c r="O120" i="70"/>
  <c r="Q115" i="70"/>
  <c r="L36" i="70"/>
  <c r="J52" i="70"/>
  <c r="S99" i="70"/>
  <c r="I142" i="70"/>
  <c r="J142" i="70" s="1"/>
  <c r="P142" i="70"/>
  <c r="Q142" i="70" s="1"/>
  <c r="O75" i="70"/>
  <c r="I90" i="70"/>
  <c r="P60" i="70"/>
  <c r="M125" i="70"/>
  <c r="O125" i="70" s="1"/>
  <c r="Q92" i="70"/>
  <c r="S79" i="70"/>
  <c r="M36" i="70"/>
  <c r="P31" i="70"/>
  <c r="O44" i="70"/>
  <c r="Q128" i="70"/>
  <c r="AO23" i="46"/>
  <c r="AU23" i="46" s="1"/>
  <c r="AX23" i="46" s="1"/>
  <c r="AO14" i="46"/>
  <c r="AU14" i="46" s="1"/>
  <c r="AX14" i="46" s="1"/>
  <c r="I25" i="70"/>
  <c r="J25" i="70" s="1"/>
  <c r="O57" i="70"/>
  <c r="I56" i="70"/>
  <c r="O43" i="70"/>
  <c r="H47" i="70"/>
  <c r="H48" i="70" s="1"/>
  <c r="H49" i="70" s="1"/>
  <c r="L57" i="70"/>
  <c r="S98" i="70"/>
  <c r="M16" i="70"/>
  <c r="R125" i="70"/>
  <c r="S38" i="70"/>
  <c r="H34" i="70"/>
  <c r="J44" i="70"/>
  <c r="I47" i="70"/>
  <c r="I48" i="70" s="1"/>
  <c r="P47" i="70"/>
  <c r="P48" i="70" s="1"/>
  <c r="R56" i="70"/>
  <c r="M117" i="70"/>
  <c r="AP25" i="46" s="1"/>
  <c r="AV25" i="46" s="1"/>
  <c r="AY25" i="46" s="1"/>
  <c r="R141" i="70"/>
  <c r="J80" i="70"/>
  <c r="P22" i="70"/>
  <c r="Q22" i="70" s="1"/>
  <c r="I31" i="70"/>
  <c r="K22" i="70"/>
  <c r="L22" i="70" s="1"/>
  <c r="M6" i="70"/>
  <c r="Q6" i="70" s="1"/>
  <c r="R146" i="70"/>
  <c r="S146" i="70" s="1"/>
  <c r="AQ11" i="46"/>
  <c r="AW11" i="46" s="1"/>
  <c r="P9" i="70"/>
  <c r="Q5" i="70"/>
  <c r="L115" i="70"/>
  <c r="S110" i="70"/>
  <c r="L46" i="70"/>
  <c r="S131" i="70"/>
  <c r="O110" i="70"/>
  <c r="AO21" i="46"/>
  <c r="AU21" i="46" s="1"/>
  <c r="AX21" i="46" s="1"/>
  <c r="O96" i="70"/>
  <c r="AQ25" i="46"/>
  <c r="AW25" i="46" s="1"/>
  <c r="R23" i="70"/>
  <c r="P25" i="70"/>
  <c r="Q25" i="70" s="1"/>
  <c r="I125" i="70"/>
  <c r="J98" i="70"/>
  <c r="H106" i="70"/>
  <c r="M102" i="70"/>
  <c r="Q102" i="70" s="1"/>
  <c r="O128" i="70"/>
  <c r="AQ14" i="46"/>
  <c r="AW14" i="46" s="1"/>
  <c r="AQ23" i="46"/>
  <c r="AW23" i="46" s="1"/>
  <c r="S46" i="70"/>
  <c r="P82" i="70"/>
  <c r="Q82" i="70" s="1"/>
  <c r="O46" i="70"/>
  <c r="R28" i="70"/>
  <c r="S28" i="70" s="1"/>
  <c r="R25" i="70"/>
  <c r="S25" i="70" s="1"/>
  <c r="S31" i="70"/>
  <c r="I102" i="70"/>
  <c r="J102" i="70" s="1"/>
  <c r="O99" i="70"/>
  <c r="R102" i="70"/>
  <c r="H97" i="70"/>
  <c r="L97" i="70" s="1"/>
  <c r="M97" i="70"/>
  <c r="S97" i="70" s="1"/>
  <c r="O45" i="70"/>
  <c r="I143" i="70"/>
  <c r="J143" i="70" s="1"/>
  <c r="K114" i="70"/>
  <c r="L114" i="70" s="1"/>
  <c r="P36" i="70"/>
  <c r="H6" i="70"/>
  <c r="S147" i="70"/>
  <c r="Q96" i="70"/>
  <c r="AO25" i="46"/>
  <c r="AU25" i="46" s="1"/>
  <c r="AX25" i="46" s="1"/>
  <c r="M34" i="70"/>
  <c r="Q34" i="70" s="1"/>
  <c r="R90" i="70"/>
  <c r="AQ26" i="46"/>
  <c r="AW26" i="46" s="1"/>
  <c r="S94" i="70"/>
  <c r="I77" i="70"/>
  <c r="J77" i="70" s="1"/>
  <c r="Q110" i="70"/>
  <c r="AO26" i="46"/>
  <c r="AU26" i="46" s="1"/>
  <c r="AX26" i="46" s="1"/>
  <c r="C38" i="46"/>
  <c r="C39" i="46" s="1"/>
  <c r="O38" i="70"/>
  <c r="Q63" i="70"/>
  <c r="O78" i="70"/>
  <c r="AT12" i="46"/>
  <c r="AT37" i="46"/>
  <c r="AT38" i="46" s="1"/>
  <c r="N48" i="70"/>
  <c r="N49" i="70" s="1"/>
  <c r="O59" i="70"/>
  <c r="L62" i="70"/>
  <c r="Q70" i="70"/>
  <c r="S81" i="70"/>
  <c r="L98" i="70"/>
  <c r="O101" i="70"/>
  <c r="K125" i="70"/>
  <c r="Q59" i="70"/>
  <c r="S70" i="70"/>
  <c r="K90" i="70"/>
  <c r="L90" i="70" s="1"/>
  <c r="Q101" i="70"/>
  <c r="J131" i="70"/>
  <c r="S59" i="70"/>
  <c r="AQ17" i="46"/>
  <c r="AW17" i="46" s="1"/>
  <c r="S101" i="70"/>
  <c r="O103" i="70"/>
  <c r="L5" i="70"/>
  <c r="L76" i="70"/>
  <c r="Q103" i="70"/>
  <c r="Q129" i="70"/>
  <c r="Q74" i="70"/>
  <c r="J119" i="70"/>
  <c r="S129" i="70"/>
  <c r="O52" i="70"/>
  <c r="L54" i="70"/>
  <c r="O143" i="70"/>
  <c r="Q91" i="70"/>
  <c r="J36" i="70"/>
  <c r="S91" i="70"/>
  <c r="J95" i="70"/>
  <c r="L70" i="70"/>
  <c r="S145" i="70"/>
  <c r="L59" i="70"/>
  <c r="L101" i="70"/>
  <c r="L43" i="70"/>
  <c r="L77" i="70"/>
  <c r="J47" i="70"/>
  <c r="O56" i="70"/>
  <c r="N65" i="70"/>
  <c r="AW5" i="46"/>
  <c r="AV6" i="46"/>
  <c r="R64" i="70"/>
  <c r="R49" i="70"/>
  <c r="K48" i="70"/>
  <c r="J97" i="70" l="1"/>
  <c r="AP36" i="46"/>
  <c r="J90" i="70"/>
  <c r="R85" i="70"/>
  <c r="L64" i="70"/>
  <c r="H85" i="70"/>
  <c r="K65" i="70"/>
  <c r="K66" i="70" s="1"/>
  <c r="H83" i="70"/>
  <c r="L83" i="70" s="1"/>
  <c r="O60" i="70"/>
  <c r="N85" i="70"/>
  <c r="I85" i="70"/>
  <c r="L47" i="70"/>
  <c r="J31" i="70"/>
  <c r="O64" i="70"/>
  <c r="L60" i="70"/>
  <c r="S56" i="70"/>
  <c r="I83" i="70"/>
  <c r="O82" i="70"/>
  <c r="P83" i="70"/>
  <c r="S117" i="70"/>
  <c r="H107" i="70"/>
  <c r="L85" i="70"/>
  <c r="O97" i="70"/>
  <c r="O90" i="70"/>
  <c r="O34" i="70"/>
  <c r="Q117" i="70"/>
  <c r="S34" i="70"/>
  <c r="P16" i="70"/>
  <c r="P37" i="70" s="1"/>
  <c r="R16" i="70"/>
  <c r="K23" i="70"/>
  <c r="I64" i="70"/>
  <c r="J60" i="70"/>
  <c r="K106" i="70"/>
  <c r="M17" i="70"/>
  <c r="M106" i="70"/>
  <c r="R106" i="70"/>
  <c r="R107" i="70" s="1"/>
  <c r="M83" i="70"/>
  <c r="S83" i="70" s="1"/>
  <c r="O77" i="70"/>
  <c r="Q77" i="70"/>
  <c r="M85" i="70"/>
  <c r="S77" i="70"/>
  <c r="J6" i="70"/>
  <c r="L6" i="70"/>
  <c r="P64" i="70"/>
  <c r="Q60" i="70"/>
  <c r="P18" i="70"/>
  <c r="O48" i="70"/>
  <c r="M49" i="70"/>
  <c r="S49" i="70" s="1"/>
  <c r="S48" i="70"/>
  <c r="M8" i="70"/>
  <c r="M7" i="70"/>
  <c r="Q31" i="70"/>
  <c r="J56" i="70"/>
  <c r="H65" i="70"/>
  <c r="L56" i="70"/>
  <c r="L31" i="70"/>
  <c r="S36" i="70"/>
  <c r="O36" i="70"/>
  <c r="M37" i="70"/>
  <c r="P114" i="70"/>
  <c r="Q114" i="70" s="1"/>
  <c r="M141" i="70"/>
  <c r="P106" i="70"/>
  <c r="K16" i="70"/>
  <c r="K33" i="70" s="1"/>
  <c r="O6" i="70"/>
  <c r="S6" i="70"/>
  <c r="M33" i="70"/>
  <c r="M39" i="70"/>
  <c r="P19" i="70"/>
  <c r="Q36" i="70"/>
  <c r="Q125" i="70"/>
  <c r="O102" i="70"/>
  <c r="N16" i="70"/>
  <c r="J34" i="70"/>
  <c r="O47" i="70"/>
  <c r="I27" i="70"/>
  <c r="J27" i="70" s="1"/>
  <c r="S47" i="70"/>
  <c r="S90" i="70"/>
  <c r="H23" i="70"/>
  <c r="J23" i="70" s="1"/>
  <c r="L34" i="70"/>
  <c r="H16" i="70"/>
  <c r="H35" i="70" s="1"/>
  <c r="N27" i="70"/>
  <c r="O27" i="70" s="1"/>
  <c r="H17" i="70"/>
  <c r="J17" i="70" s="1"/>
  <c r="M35" i="70"/>
  <c r="K27" i="70"/>
  <c r="L27" i="70" s="1"/>
  <c r="H19" i="70"/>
  <c r="L125" i="70"/>
  <c r="O117" i="70"/>
  <c r="I106" i="70"/>
  <c r="J106" i="70" s="1"/>
  <c r="I16" i="70"/>
  <c r="J125" i="70"/>
  <c r="Q48" i="70"/>
  <c r="S102" i="70"/>
  <c r="Q97" i="70"/>
  <c r="AO6" i="46"/>
  <c r="Q56" i="70"/>
  <c r="P141" i="70"/>
  <c r="H8" i="70"/>
  <c r="H7" i="70"/>
  <c r="S60" i="70"/>
  <c r="M114" i="70"/>
  <c r="Q47" i="70"/>
  <c r="S125" i="70"/>
  <c r="H18" i="70"/>
  <c r="J18" i="70" s="1"/>
  <c r="K158" i="70"/>
  <c r="R27" i="70"/>
  <c r="S27" i="70" s="1"/>
  <c r="K17" i="70"/>
  <c r="N106" i="70"/>
  <c r="K159" i="70"/>
  <c r="P85" i="70"/>
  <c r="AT34" i="46"/>
  <c r="AT39" i="46"/>
  <c r="P49" i="70"/>
  <c r="AY6" i="46"/>
  <c r="AY36" i="46" s="1"/>
  <c r="AV36" i="46"/>
  <c r="AW6" i="46"/>
  <c r="AW36" i="46" s="1"/>
  <c r="O65" i="70"/>
  <c r="N66" i="70"/>
  <c r="O66" i="70" s="1"/>
  <c r="I107" i="70"/>
  <c r="J85" i="70"/>
  <c r="AX15" i="46"/>
  <c r="L48" i="70"/>
  <c r="K49" i="70"/>
  <c r="L49" i="70" s="1"/>
  <c r="K86" i="70"/>
  <c r="J48" i="70"/>
  <c r="I49" i="70"/>
  <c r="J49" i="70" s="1"/>
  <c r="N86" i="70"/>
  <c r="S64" i="70"/>
  <c r="R65" i="70"/>
  <c r="R4" i="52" a="1"/>
  <c r="S3" i="53" a="1"/>
  <c r="K6" i="50" a="1"/>
  <c r="BN36" i="119" a="1"/>
  <c r="O4" i="53" a="1"/>
  <c r="E3" i="52" a="1"/>
  <c r="Q3" i="53" a="1"/>
  <c r="J5" i="52" a="1"/>
  <c r="G7" i="50" a="1"/>
  <c r="AU19" i="119" a="1"/>
  <c r="L5" i="53" a="1"/>
  <c r="J4" i="52" a="1"/>
  <c r="BG7" i="1" a="1"/>
  <c r="N5" i="52" a="1"/>
  <c r="R3" i="53" a="1"/>
  <c r="W34" i="119" a="1"/>
  <c r="R5" i="50" a="1"/>
  <c r="U3" i="52" a="1"/>
  <c r="BE6" i="1" a="1"/>
  <c r="V5" i="52" a="1"/>
  <c r="N4" i="52" a="1"/>
  <c r="G4" i="53" a="1"/>
  <c r="H4" i="52" a="1"/>
  <c r="AF6" i="50" a="1"/>
  <c r="F5" i="52" a="1"/>
  <c r="P3" i="53" a="1"/>
  <c r="AI5" i="50" a="1"/>
  <c r="P4" i="52" a="1"/>
  <c r="H5" i="52" a="1"/>
  <c r="C3" i="53" a="1"/>
  <c r="F4" i="53" a="1"/>
  <c r="B4" i="52" a="1"/>
  <c r="BN5" i="1" a="1"/>
  <c r="H4" i="53" a="1"/>
  <c r="BD27" i="119" a="1"/>
  <c r="H3" i="53" a="1"/>
  <c r="AE7" i="50" a="1"/>
  <c r="W19" i="119" a="1"/>
  <c r="E6" i="50" a="1"/>
  <c r="AH6" i="50" a="1"/>
  <c r="AA7" i="50" a="1"/>
  <c r="AP34" i="119" a="1"/>
  <c r="G5" i="53" a="1"/>
  <c r="F3" i="53" a="1"/>
  <c r="L5" i="50" a="1"/>
  <c r="Q5" i="53" a="1"/>
  <c r="AA35" i="119" a="1"/>
  <c r="G16" i="119" a="1"/>
  <c r="BG5" i="1" a="1"/>
  <c r="C6" i="1" a="1"/>
  <c r="BI38" i="119" a="1"/>
  <c r="BN18" i="119" a="1"/>
  <c r="G6" i="50" a="1"/>
  <c r="BI17" i="119" a="1"/>
  <c r="N18" i="119" a="1"/>
  <c r="T19" i="119" a="1"/>
  <c r="D3" i="53" a="1"/>
  <c r="M5" i="52" a="1"/>
  <c r="V4" i="52" a="1"/>
  <c r="G3" i="53" a="1"/>
  <c r="I4" i="52" a="1"/>
  <c r="T3" i="53" a="1"/>
  <c r="I5" i="53" a="1"/>
  <c r="AZ5" i="50" a="1"/>
  <c r="M6" i="50" a="1"/>
  <c r="B3" i="53" a="1"/>
  <c r="R4" i="53" a="1"/>
  <c r="BZ6" i="1" a="1"/>
  <c r="J11" i="119" a="1"/>
  <c r="N12" i="119" a="1"/>
  <c r="I20" i="119" a="1"/>
  <c r="N4" i="53" a="1"/>
  <c r="K4" i="53" a="1"/>
  <c r="M3" i="53" a="1"/>
  <c r="AF5" i="50" a="1"/>
  <c r="F5" i="53" a="1"/>
  <c r="AF7" i="50" a="1"/>
  <c r="AD5" i="50" a="1"/>
  <c r="G3" i="52" a="1"/>
  <c r="AW7" i="1" a="1"/>
  <c r="W24" i="119" a="1"/>
  <c r="D5" i="50" a="1"/>
  <c r="O6" i="1" a="1"/>
  <c r="AS5" i="1" a="1"/>
  <c r="C5" i="53" a="1"/>
  <c r="AI33" i="119" a="1"/>
  <c r="AD6" i="50" a="1"/>
  <c r="O5" i="53" a="1"/>
  <c r="G4" i="52" a="1"/>
  <c r="D3" i="52" a="1"/>
  <c r="H5" i="53" a="1"/>
  <c r="E3" i="53" a="1"/>
  <c r="O4" i="52" a="1"/>
  <c r="Q5" i="50" a="1"/>
  <c r="U3" i="53" a="1"/>
  <c r="L6" i="50" a="1"/>
  <c r="O5" i="52" a="1"/>
  <c r="Q4" i="52" a="1"/>
  <c r="K5" i="52" a="1"/>
  <c r="L5" i="52" a="1"/>
  <c r="BB7" i="50" a="1"/>
  <c r="V5" i="53" a="1"/>
  <c r="BC7" i="50" a="1"/>
  <c r="V7" i="50" a="1"/>
  <c r="J5" i="53" a="1"/>
  <c r="X6" i="50" a="1"/>
  <c r="E5" i="53" a="1"/>
  <c r="T3" i="52" a="1"/>
  <c r="M5" i="53" a="1"/>
  <c r="BD7" i="50" a="1"/>
  <c r="J5" i="50" a="1"/>
  <c r="AA6" i="50" a="1"/>
  <c r="B3" i="52" a="1"/>
  <c r="K6" i="1" a="1"/>
  <c r="Q3" i="52" a="1"/>
  <c r="BK17" i="119" a="1"/>
  <c r="L12" i="119" a="1"/>
  <c r="AN5" i="50" a="1"/>
  <c r="L27" i="119" a="1"/>
  <c r="AT30" i="119" a="1"/>
  <c r="T24" i="119" a="1"/>
  <c r="AC15" i="119" a="1"/>
  <c r="AA6" i="1" a="1"/>
  <c r="F25" i="119" a="1"/>
  <c r="BI23" i="119" a="1"/>
  <c r="L32" i="119" a="1"/>
  <c r="U5" i="53" a="1"/>
  <c r="O3" i="53" a="1"/>
  <c r="AN6" i="50" a="1"/>
  <c r="BK5" i="1" a="1"/>
  <c r="AP14" i="119" a="1"/>
  <c r="AF17" i="119" a="1"/>
  <c r="G38" i="119" a="1"/>
  <c r="AA5" i="50" a="1"/>
  <c r="Q7" i="1" a="1"/>
  <c r="T35" i="119" a="1"/>
  <c r="M28" i="119" a="1"/>
  <c r="G32" i="119" a="1"/>
  <c r="AJ5" i="50" a="1"/>
  <c r="O7" i="50" a="1"/>
  <c r="AV14" i="119" a="1"/>
  <c r="BK36" i="119" a="1"/>
  <c r="U7" i="50" a="1"/>
  <c r="AR26" i="119" a="1"/>
  <c r="S4" i="52" a="1"/>
  <c r="AG7" i="50" a="1"/>
  <c r="J3" i="53" a="1"/>
  <c r="BS7" i="1" a="1"/>
  <c r="BM17" i="119" a="1"/>
  <c r="J16" i="119" a="1"/>
  <c r="I32" i="119" a="1"/>
  <c r="BU6" i="1" a="1"/>
  <c r="AK6" i="50" a="1"/>
  <c r="AT25" i="119" a="1"/>
  <c r="BD36" i="119" a="1"/>
  <c r="AR30" i="119" a="1"/>
  <c r="N5" i="50" a="1"/>
  <c r="S3" i="52" a="1"/>
  <c r="BD28" i="119" a="1"/>
  <c r="BO5" i="1" a="1"/>
  <c r="J21" i="119" a="1"/>
  <c r="AT16" i="119" a="1"/>
  <c r="AA5" i="1" a="1"/>
  <c r="AD15" i="119" a="1"/>
  <c r="AH5" i="50" a="1"/>
  <c r="BQ7" i="1" a="1"/>
  <c r="AR34" i="119" a="1"/>
  <c r="BD17" i="119" a="1"/>
  <c r="AC20" i="119" a="1"/>
  <c r="AC6" i="50" a="1"/>
  <c r="R5" i="53" a="1"/>
  <c r="K22" i="119" a="1"/>
  <c r="L4" i="52" a="1"/>
  <c r="W30" i="119" a="1"/>
  <c r="W14" i="119" a="1"/>
  <c r="AX7" i="1" a="1"/>
  <c r="Y7" i="50" a="1"/>
  <c r="BD16" i="119" a="1"/>
  <c r="AF27" i="119" a="1"/>
  <c r="M4" i="53" a="1"/>
  <c r="AG32" i="119" a="1"/>
  <c r="J17" i="119" a="1"/>
  <c r="AQ5" i="50" a="1"/>
  <c r="F4" i="52" a="1"/>
  <c r="AP20" i="119" a="1"/>
  <c r="F36" i="119" a="1"/>
  <c r="BM25" i="119" a="1"/>
  <c r="K5" i="1" a="1"/>
  <c r="I6" i="1" a="1"/>
  <c r="J12" i="119" a="1"/>
  <c r="AU22" i="119" a="1"/>
  <c r="AB6" i="1" a="1"/>
  <c r="BI35" i="119" a="1"/>
  <c r="R30" i="119" a="1"/>
  <c r="H31" i="119" a="1"/>
  <c r="BK20" i="119" a="1"/>
  <c r="AD35" i="119" a="1"/>
  <c r="H3" i="52" a="1"/>
  <c r="AV25" i="119" a="1"/>
  <c r="G5" i="52" a="1"/>
  <c r="W20" i="119" a="1"/>
  <c r="AG6" i="50" a="1"/>
  <c r="BG23" i="119" a="1"/>
  <c r="CD5" i="1" a="1"/>
  <c r="AR13" i="119" a="1"/>
  <c r="AE6" i="50" a="1"/>
  <c r="AG19" i="119" a="1"/>
  <c r="AS6" i="1" a="1"/>
  <c r="AR33" i="119" a="1"/>
  <c r="AC31" i="119" a="1"/>
  <c r="AT21" i="119" a="1"/>
  <c r="BG24" i="119" a="1"/>
  <c r="V6" i="50" a="1"/>
  <c r="H36" i="119" a="1"/>
  <c r="X6" i="1" a="1"/>
  <c r="BG8" i="119" a="1"/>
  <c r="AP28" i="119" a="1"/>
  <c r="C5" i="50" a="1"/>
  <c r="C3" i="52" a="1"/>
  <c r="BI34" i="119" a="1"/>
  <c r="T5" i="52" a="1"/>
  <c r="AF10" i="119" a="1"/>
  <c r="AQ11" i="119" a="1"/>
  <c r="AC11" i="119" a="1"/>
  <c r="AQ7" i="50" a="1"/>
  <c r="AR14" i="119" a="1"/>
  <c r="S6" i="50" a="1"/>
  <c r="D5" i="53" a="1"/>
  <c r="W36" i="119" a="1"/>
  <c r="T34" i="119" a="1"/>
  <c r="AV32" i="119" a="1"/>
  <c r="AC17" i="119" a="1"/>
  <c r="F35" i="119" a="1"/>
  <c r="T36" i="119" a="1"/>
  <c r="BG38" i="119" a="1"/>
  <c r="AI28" i="119" a="1"/>
  <c r="X7" i="50" a="1"/>
  <c r="T5" i="53" a="1"/>
  <c r="BM13" i="119" a="1"/>
  <c r="J3" i="52" a="1"/>
  <c r="C7" i="50" a="1"/>
  <c r="AE5" i="1" a="1"/>
  <c r="BR7" i="1" a="1"/>
  <c r="K38" i="119" a="1"/>
  <c r="K17" i="119" a="1"/>
  <c r="BN34" i="119" a="1"/>
  <c r="AA30" i="119" a="1"/>
  <c r="BG28" i="119" a="1"/>
  <c r="U4" i="52" a="1"/>
  <c r="Y6" i="1" a="1"/>
  <c r="H32" i="119" a="1"/>
  <c r="L33" i="119" a="1"/>
  <c r="K30" i="119" a="1"/>
  <c r="AD31" i="119" a="1"/>
  <c r="BI28" i="119" a="1"/>
  <c r="R29" i="119" a="1"/>
  <c r="V3" i="52" a="1"/>
  <c r="G7" i="119" a="1"/>
  <c r="H6" i="1" a="1"/>
  <c r="AQ36" i="119" a="1"/>
  <c r="BQ5" i="1" a="1"/>
  <c r="J36" i="119" a="1"/>
  <c r="BI12" i="119" a="1"/>
  <c r="AI17" i="119" a="1"/>
  <c r="R33" i="119" a="1"/>
  <c r="AN7" i="50" a="1"/>
  <c r="O5" i="1" a="1"/>
  <c r="AW6" i="1" a="1"/>
  <c r="J38" i="119" a="1"/>
  <c r="W29" i="119" a="1"/>
  <c r="AD5" i="1" a="1"/>
  <c r="CA6" i="1" a="1"/>
  <c r="BD12" i="119" a="1"/>
  <c r="BU7" i="1" a="1"/>
  <c r="W35" i="119" a="1"/>
  <c r="AQ13" i="119" a="1"/>
  <c r="K34" i="119" a="1"/>
  <c r="AV26" i="119" a="1"/>
  <c r="V6" i="1" a="1"/>
  <c r="K3" i="53" a="1"/>
  <c r="BK18" i="119" a="1"/>
  <c r="J7" i="1" a="1"/>
  <c r="K25" i="119" a="1"/>
  <c r="AU13" i="119" a="1"/>
  <c r="K15" i="119" a="1"/>
  <c r="V5" i="50" a="1"/>
  <c r="I5" i="52" a="1"/>
  <c r="R23" i="119" a="1"/>
  <c r="M18" i="119" a="1"/>
  <c r="AV27" i="119" a="1"/>
  <c r="AD16" i="119" a="1"/>
  <c r="P30" i="119" a="1"/>
  <c r="M33" i="119" a="1"/>
  <c r="BD23" i="119" a="1"/>
  <c r="U6" i="1" a="1"/>
  <c r="BG22" i="119" a="1"/>
  <c r="AC7" i="50" a="1"/>
  <c r="BG18" i="119" a="1"/>
  <c r="J32" i="119" a="1"/>
  <c r="BI29" i="119" a="1"/>
  <c r="AU30" i="119" a="1"/>
  <c r="BK21" i="119" a="1"/>
  <c r="AD6" i="1" a="1"/>
  <c r="N11" i="119" a="1"/>
  <c r="AK5" i="50" a="1"/>
  <c r="J8" i="119" a="1"/>
  <c r="P25" i="119" a="1"/>
  <c r="BI26" i="119" a="1"/>
  <c r="AQ32" i="119" a="1"/>
  <c r="C6" i="50" a="1"/>
  <c r="AQ6" i="119" a="1"/>
  <c r="AY7" i="50" a="1"/>
  <c r="BD6" i="50" a="1"/>
  <c r="BP7" i="1" a="1"/>
  <c r="AP13" i="119" a="1"/>
  <c r="BG33" i="119" a="1"/>
  <c r="BK33" i="119" a="1"/>
  <c r="J22" i="119" a="1"/>
  <c r="BH6" i="1" a="1"/>
  <c r="F31" i="119" a="1"/>
  <c r="D5" i="52" a="1"/>
  <c r="AD17" i="119" a="1"/>
  <c r="BT6" i="1" a="1"/>
  <c r="T7" i="50" a="1"/>
  <c r="M7" i="50" a="1"/>
  <c r="M24" i="119" a="1"/>
  <c r="BK28" i="119" a="1"/>
  <c r="BC5" i="50" a="1"/>
  <c r="N5" i="53" a="1"/>
  <c r="T6" i="50" a="1"/>
  <c r="Z7" i="50" a="1"/>
  <c r="BK24" i="119" a="1"/>
  <c r="D6" i="1" a="1"/>
  <c r="BG34" i="119" a="1"/>
  <c r="AQ34" i="119" a="1"/>
  <c r="BN20" i="119" a="1"/>
  <c r="N38" i="119" a="1"/>
  <c r="AD36" i="119" a="1"/>
  <c r="J31" i="119" a="1"/>
  <c r="H16" i="119" a="1"/>
  <c r="BM30" i="119" a="1"/>
  <c r="AP37" i="119" a="1"/>
  <c r="Z7" i="1" a="1"/>
  <c r="AC32" i="119" a="1"/>
  <c r="AD19" i="119" a="1"/>
  <c r="AD7" i="50" a="1"/>
  <c r="AT7" i="1" a="1"/>
  <c r="H27" i="119" a="1"/>
  <c r="BM22" i="119" a="1"/>
  <c r="BW6" i="1" a="1"/>
  <c r="F33" i="119" a="1"/>
  <c r="AV29" i="119" a="1"/>
  <c r="E7" i="50" a="1"/>
  <c r="P5" i="52" a="1"/>
  <c r="BN19" i="119" a="1"/>
  <c r="AI38" i="119" a="1"/>
  <c r="AI12" i="119" a="1"/>
  <c r="AU11" i="119" a="1"/>
  <c r="AA20" i="119" a="1"/>
  <c r="AT14" i="119" a="1"/>
  <c r="AR19" i="119" a="1"/>
  <c r="AP30" i="119" a="1"/>
  <c r="AC18" i="119" a="1"/>
  <c r="R18" i="119" a="1"/>
  <c r="O5" i="50" a="1"/>
  <c r="AA16" i="119" a="1"/>
  <c r="AC30" i="119" a="1"/>
  <c r="AF26" i="119" a="1"/>
  <c r="N35" i="119" a="1"/>
  <c r="AG22" i="119" a="1"/>
  <c r="P11" i="119" a="1"/>
  <c r="M4" i="52" a="1"/>
  <c r="N33" i="119" a="1"/>
  <c r="F7" i="50" a="1"/>
  <c r="E6" i="1" a="1"/>
  <c r="Z6" i="1" a="1"/>
  <c r="R7" i="50" a="1"/>
  <c r="AQ18" i="119" a="1"/>
  <c r="BG17" i="119" a="1"/>
  <c r="D7" i="50" a="1"/>
  <c r="M22" i="119" a="1"/>
  <c r="F6" i="1" a="1"/>
  <c r="M12" i="119" a="1"/>
  <c r="BA6" i="1" a="1"/>
  <c r="L4" i="53" a="1"/>
  <c r="F3" i="52" a="1"/>
  <c r="AQ14" i="119" a="1"/>
  <c r="L22" i="119" a="1"/>
  <c r="BN14" i="119" a="1"/>
  <c r="AZ7" i="50" a="1"/>
  <c r="AR37" i="119" a="1"/>
  <c r="E4" i="53" a="1"/>
  <c r="L3" i="53" a="1"/>
  <c r="BK13" i="119" a="1"/>
  <c r="I26" i="119" a="1"/>
  <c r="AC36" i="119" a="1"/>
  <c r="G20" i="119" a="1"/>
  <c r="N23" i="119" a="1"/>
  <c r="BG12" i="119" a="1"/>
  <c r="Y6" i="50" a="1"/>
  <c r="P23" i="119" a="1"/>
  <c r="AI7" i="119" a="1"/>
  <c r="N25" i="119" a="1"/>
  <c r="I3" i="52" a="1"/>
  <c r="BC7" i="1" a="1"/>
  <c r="J6" i="50" a="1"/>
  <c r="AV30" i="119" a="1"/>
  <c r="L14" i="119" a="1"/>
  <c r="BK23" i="119" a="1"/>
  <c r="AU9" i="119" a="1"/>
  <c r="BD24" i="119" a="1"/>
  <c r="AA10" i="119" a="1"/>
  <c r="N37" i="119" a="1"/>
  <c r="AC12" i="119" a="1"/>
  <c r="F22" i="119" a="1"/>
  <c r="AH5" i="1" a="1"/>
  <c r="AJ7" i="50" a="1"/>
  <c r="AT26" i="119" a="1"/>
  <c r="BI30" i="119" a="1"/>
  <c r="AA7" i="1" a="1"/>
  <c r="AQ22" i="119" a="1"/>
  <c r="R36" i="119" a="1"/>
  <c r="X5" i="50" a="1"/>
  <c r="K27" i="119" a="1"/>
  <c r="N32" i="119" a="1"/>
  <c r="AQ30" i="119" a="1"/>
  <c r="C5" i="52" a="1"/>
  <c r="BD20" i="119" a="1"/>
  <c r="AU14" i="119" a="1"/>
  <c r="T20" i="119" a="1"/>
  <c r="AI36" i="119" a="1"/>
  <c r="AU38" i="119" a="1"/>
  <c r="Y5" i="1" a="1"/>
  <c r="L7" i="119" a="1"/>
  <c r="T37" i="119" a="1"/>
  <c r="AT6" i="119" a="1"/>
  <c r="F20" i="119" a="1"/>
  <c r="J14" i="119" a="1"/>
  <c r="AV36" i="119" a="1"/>
  <c r="I7" i="1" a="1"/>
  <c r="BM12" i="119" a="1"/>
  <c r="BD9" i="119" a="1"/>
  <c r="L29" i="119" a="1"/>
  <c r="J20" i="119" a="1"/>
  <c r="N13" i="119" a="1"/>
  <c r="AC7" i="119" a="1"/>
  <c r="H26" i="119" a="1"/>
  <c r="AA17" i="119" a="1"/>
  <c r="BN29" i="119" a="1"/>
  <c r="V5" i="1" a="1"/>
  <c r="AV15" i="119" a="1"/>
  <c r="T25" i="119" a="1"/>
  <c r="F30" i="119" a="1"/>
  <c r="I27" i="119" a="1"/>
  <c r="T30" i="119" a="1"/>
  <c r="AG13" i="119" a="1"/>
  <c r="AI6" i="50" a="1"/>
  <c r="K4" i="52" a="1"/>
  <c r="AR25" i="119" a="1"/>
  <c r="BO6" i="1" a="1"/>
  <c r="BN16" i="119" a="1"/>
  <c r="W6" i="1" a="1"/>
  <c r="S5" i="52" a="1"/>
  <c r="W15" i="119" a="1"/>
  <c r="AT23" i="119" a="1"/>
  <c r="B4" i="53" a="1"/>
  <c r="AC5" i="1" a="1"/>
  <c r="BA5" i="1" a="1"/>
  <c r="AD11" i="119" a="1"/>
  <c r="N27" i="119" a="1"/>
  <c r="N36" i="119" a="1"/>
  <c r="BJ6" i="1" a="1"/>
  <c r="P16" i="119" a="1"/>
  <c r="I36" i="119" a="1"/>
  <c r="AU25" i="119" a="1"/>
  <c r="AI18" i="119" a="1"/>
  <c r="BN30" i="119" a="1"/>
  <c r="S7" i="1" a="1"/>
  <c r="H15" i="119" a="1"/>
  <c r="M17" i="119" a="1"/>
  <c r="N34" i="119" a="1"/>
  <c r="BG31" i="119" a="1"/>
  <c r="P29" i="119" a="1"/>
  <c r="M14" i="119" a="1"/>
  <c r="I28" i="119" a="1"/>
  <c r="CD7" i="1" a="1"/>
  <c r="AV35" i="119" a="1"/>
  <c r="N29" i="119" a="1"/>
  <c r="T7" i="1" a="1"/>
  <c r="K23" i="119" a="1"/>
  <c r="AA37" i="119" a="1"/>
  <c r="W26" i="119" a="1"/>
  <c r="BN37" i="119" a="1"/>
  <c r="AF24" i="119" a="1"/>
  <c r="AC21" i="119" a="1"/>
  <c r="AK7" i="1" a="1"/>
  <c r="AG5" i="119" a="1"/>
  <c r="D4" i="53" a="1"/>
  <c r="BX6" i="1" a="1"/>
  <c r="P15" i="119" a="1"/>
  <c r="AD26" i="119" a="1"/>
  <c r="BO7" i="1" a="1"/>
  <c r="G11" i="119" a="1"/>
  <c r="AP25" i="119" a="1"/>
  <c r="BI13" i="119" a="1"/>
  <c r="AG37" i="119" a="1"/>
  <c r="I5" i="1" a="1"/>
  <c r="AI35" i="119" a="1"/>
  <c r="BM7" i="1" a="1"/>
  <c r="AI22" i="119" a="1"/>
  <c r="K12" i="119" a="1"/>
  <c r="AI11" i="119" a="1"/>
  <c r="H5" i="1" a="1"/>
  <c r="AQ24" i="119" a="1"/>
  <c r="AH7" i="1" a="1"/>
  <c r="AH6" i="1" a="1"/>
  <c r="AD34" i="119" a="1"/>
  <c r="G13" i="119" a="1"/>
  <c r="R19" i="119" a="1"/>
  <c r="L13" i="119" a="1"/>
  <c r="AD6" i="119" a="1"/>
  <c r="BN13" i="119" a="1"/>
  <c r="Q6" i="50" a="1"/>
  <c r="K5" i="53" a="1"/>
  <c r="AD22" i="119" a="1"/>
  <c r="AA14" i="119" a="1"/>
  <c r="N7" i="50" a="1"/>
  <c r="AD24" i="119" a="1"/>
  <c r="AV5" i="119" a="1"/>
  <c r="J7" i="119" a="1"/>
  <c r="N10" i="119" a="1"/>
  <c r="W22" i="119" a="1"/>
  <c r="AR24" i="119" a="1"/>
  <c r="AG24" i="119" a="1"/>
  <c r="BN8" i="119" a="1"/>
  <c r="BD33" i="119" a="1"/>
  <c r="AU31" i="119" a="1"/>
  <c r="BK14" i="119" a="1"/>
  <c r="AQ10" i="119" a="1"/>
  <c r="AT10" i="119" a="1"/>
  <c r="AG5" i="50" a="1"/>
  <c r="AQ8" i="119" a="1"/>
  <c r="AP9" i="119" a="1"/>
  <c r="AG7" i="119" a="1"/>
  <c r="W6" i="119" a="1"/>
  <c r="AP29" i="119" a="1"/>
  <c r="AG27" i="119" a="1"/>
  <c r="J6" i="119" a="1"/>
  <c r="AR21" i="119" a="1"/>
  <c r="AV31" i="119" a="1"/>
  <c r="E4" i="52" a="1"/>
  <c r="BK30" i="119" a="1"/>
  <c r="AI29" i="119" a="1"/>
  <c r="AG16" i="119" a="1"/>
  <c r="K14" i="119" a="1"/>
  <c r="AG17" i="119" a="1"/>
  <c r="K9" i="119" a="1"/>
  <c r="AC23" i="119" a="1"/>
  <c r="BK27" i="119" a="1"/>
  <c r="F32" i="119" a="1"/>
  <c r="AG9" i="119" a="1"/>
  <c r="BW5" i="1" a="1"/>
  <c r="BB7" i="1" a="1"/>
  <c r="AF13" i="119" a="1"/>
  <c r="BN11" i="119" a="1"/>
  <c r="AQ31" i="119" a="1"/>
  <c r="AY6" i="50" a="1"/>
  <c r="AF18" i="119" a="1"/>
  <c r="AF14" i="119" a="1"/>
  <c r="BK32" i="119" a="1"/>
  <c r="BI24" i="119" a="1"/>
  <c r="AU10" i="119" a="1"/>
  <c r="J18" i="119" a="1"/>
  <c r="P18" i="119" a="1"/>
  <c r="AJ6" i="50" a="1"/>
  <c r="G18" i="119" a="1"/>
  <c r="G15" i="119" a="1"/>
  <c r="I4" i="53" a="1"/>
  <c r="AE5" i="50" a="1"/>
  <c r="BD29" i="119" a="1"/>
  <c r="AQ5" i="119" a="1"/>
  <c r="G35" i="119" a="1"/>
  <c r="BK34" i="119" a="1"/>
  <c r="BM28" i="119" a="1"/>
  <c r="H7" i="1" a="1"/>
  <c r="BN7" i="119" a="1"/>
  <c r="R5" i="119" a="1"/>
  <c r="AP35" i="119" a="1"/>
  <c r="M7" i="119" a="1"/>
  <c r="AV20" i="119" a="1"/>
  <c r="AP11" i="119" a="1"/>
  <c r="BQ6" i="1" a="1"/>
  <c r="K5" i="50" a="1"/>
  <c r="AI23" i="119" a="1"/>
  <c r="O7" i="1" a="1"/>
  <c r="S6" i="1" a="1"/>
  <c r="P33" i="119" a="1"/>
  <c r="BK29" i="119" a="1"/>
  <c r="I35" i="119" a="1"/>
  <c r="AI8" i="119" a="1"/>
  <c r="T26" i="119" a="1"/>
  <c r="BG27" i="119" a="1"/>
  <c r="AF16" i="119" a="1"/>
  <c r="BK11" i="119" a="1"/>
  <c r="J25" i="119" a="1"/>
  <c r="BE7" i="1" a="1"/>
  <c r="CC5" i="1" a="1"/>
  <c r="AA28" i="119" a="1"/>
  <c r="AR32" i="119" a="1"/>
  <c r="G21" i="119" a="1"/>
  <c r="T14" i="119" a="1"/>
  <c r="P21" i="119" a="1"/>
  <c r="I25" i="119" a="1"/>
  <c r="N6" i="50" a="1"/>
  <c r="P13" i="119" a="1"/>
  <c r="W5" i="1" a="1"/>
  <c r="AU7" i="1" a="1"/>
  <c r="AG20" i="119" a="1"/>
  <c r="AZ6" i="1" a="1"/>
  <c r="AD33" i="119" a="1"/>
  <c r="K36" i="119" a="1"/>
  <c r="AF34" i="119" a="1"/>
  <c r="AT35" i="119" a="1"/>
  <c r="AT20" i="119" a="1"/>
  <c r="R3" i="52" a="1"/>
  <c r="F27" i="119" a="1"/>
  <c r="L36" i="119" a="1"/>
  <c r="L19" i="119" a="1"/>
  <c r="AF28" i="119" a="1"/>
  <c r="AR15" i="119" a="1"/>
  <c r="D7" i="1" a="1"/>
  <c r="H7" i="119" a="1"/>
  <c r="I12" i="119" a="1"/>
  <c r="BC6" i="50" a="1"/>
  <c r="M30" i="119" a="1"/>
  <c r="AC24" i="119" a="1"/>
  <c r="L20" i="119" a="1"/>
  <c r="P28" i="119" a="1"/>
  <c r="AD21" i="119" a="1"/>
  <c r="AA6" i="119" a="1"/>
  <c r="AV10" i="119" a="1"/>
  <c r="AQ35" i="119" a="1"/>
  <c r="BG29" i="119" a="1"/>
  <c r="H12" i="119" a="1"/>
  <c r="J28" i="119" a="1"/>
  <c r="M13" i="119" a="1"/>
  <c r="F5" i="1" a="1"/>
  <c r="BB6" i="1" a="1"/>
  <c r="R13" i="119" a="1"/>
  <c r="BM18" i="119" a="1"/>
  <c r="AR28" i="119" a="1"/>
  <c r="AB5" i="1" a="1"/>
  <c r="AF32" i="119" a="1"/>
  <c r="AV18" i="119" a="1"/>
  <c r="AC10" i="119" a="1"/>
  <c r="O6" i="50" a="1"/>
  <c r="J29" i="119" a="1"/>
  <c r="BK12" i="119" a="1"/>
  <c r="T4" i="52" a="1"/>
  <c r="K33" i="119" a="1"/>
  <c r="BG16" i="119" a="1"/>
  <c r="R6" i="50" a="1"/>
  <c r="Q5" i="1" a="1"/>
  <c r="AC6" i="119" a="1"/>
  <c r="BF6" i="1" a="1"/>
  <c r="BN6" i="1" a="1"/>
  <c r="AG23" i="119" a="1"/>
  <c r="Z5" i="50" a="1"/>
  <c r="R32" i="119" a="1"/>
  <c r="J27" i="119" a="1"/>
  <c r="CC6" i="1" a="1"/>
  <c r="AU35" i="119" a="1"/>
  <c r="L23" i="119" a="1"/>
  <c r="AR29" i="119" a="1"/>
  <c r="P5" i="1" a="1"/>
  <c r="W13" i="119" a="1"/>
  <c r="BK19" i="119" a="1"/>
  <c r="AC13" i="119" a="1"/>
  <c r="U5" i="1" a="1"/>
  <c r="AF35" i="119" a="1"/>
  <c r="N7" i="1" a="1"/>
  <c r="CC7" i="1" a="1"/>
  <c r="K7" i="119" a="1"/>
  <c r="AU34" i="119" a="1"/>
  <c r="AU23" i="119" a="1"/>
  <c r="BD37" i="119" a="1"/>
  <c r="U4" i="53" a="1"/>
  <c r="K18" i="119" a="1"/>
  <c r="T8" i="119" a="1"/>
  <c r="AU15" i="119" a="1"/>
  <c r="AP12" i="119" a="1"/>
  <c r="AP23" i="119" a="1"/>
  <c r="F6" i="50" a="1"/>
  <c r="N30" i="119" a="1"/>
  <c r="N17" i="119" a="1"/>
  <c r="BB5" i="1" a="1"/>
  <c r="G31" i="119" a="1"/>
  <c r="AP18" i="119" a="1"/>
  <c r="AC27" i="119" a="1"/>
  <c r="P19" i="119" a="1"/>
  <c r="BI7" i="119" a="1"/>
  <c r="N21" i="119" a="1"/>
  <c r="T15" i="119" a="1"/>
  <c r="AV21" i="119" a="1"/>
  <c r="H17" i="119" a="1"/>
  <c r="I6" i="119" a="1"/>
  <c r="K21" i="119" a="1"/>
  <c r="AV16" i="119" a="1"/>
  <c r="R5" i="52" a="1"/>
  <c r="BI33" i="119" a="1"/>
  <c r="Y5" i="50" a="1"/>
  <c r="AA5" i="119" a="1"/>
  <c r="AA12" i="119" a="1"/>
  <c r="AI34" i="119" a="1"/>
  <c r="G10" i="119" a="1"/>
  <c r="AQ20" i="119" a="1"/>
  <c r="AU26" i="119" a="1"/>
  <c r="AU37" i="119" a="1"/>
  <c r="AF6" i="119" a="1"/>
  <c r="AG12" i="119" a="1"/>
  <c r="AT19" i="119" a="1"/>
  <c r="N3" i="53" a="1"/>
  <c r="M25" i="119" a="1"/>
  <c r="BH7" i="1" a="1"/>
  <c r="E5" i="1" a="1"/>
  <c r="L38" i="119" a="1"/>
  <c r="I21" i="119" a="1"/>
  <c r="AK6" i="1" a="1"/>
  <c r="BH5" i="1" a="1"/>
  <c r="BD15" i="119" a="1"/>
  <c r="K6" i="119" a="1"/>
  <c r="BL5" i="1" a="1"/>
  <c r="T13" i="119" a="1"/>
  <c r="M11" i="119" a="1"/>
  <c r="AF37" i="119" a="1"/>
  <c r="AA31" i="119" a="1"/>
  <c r="AD28" i="119" a="1"/>
  <c r="N8" i="119" a="1"/>
  <c r="L24" i="119" a="1"/>
  <c r="Q5" i="52" a="1"/>
  <c r="P9" i="119" a="1"/>
  <c r="K28" i="119" a="1"/>
  <c r="R25" i="119" a="1"/>
  <c r="AS7" i="1" a="1"/>
  <c r="N26" i="119" a="1"/>
  <c r="BD22" i="119" a="1"/>
  <c r="R15" i="119" a="1"/>
  <c r="AA7" i="119" a="1"/>
  <c r="AF21" i="119" a="1"/>
  <c r="H6" i="50" a="1"/>
  <c r="L28" i="119" a="1"/>
  <c r="E5" i="52" a="1"/>
  <c r="AA18" i="119" a="1"/>
  <c r="AI19" i="119" a="1"/>
  <c r="AD18" i="119" a="1"/>
  <c r="BM5" i="1" a="1"/>
  <c r="L18" i="119" a="1"/>
  <c r="T18" i="119" a="1"/>
  <c r="AR22" i="119" a="1"/>
  <c r="J5" i="1" a="1"/>
  <c r="AF33" i="119" a="1"/>
  <c r="W21" i="119" a="1"/>
  <c r="AF22" i="119" a="1"/>
  <c r="BS5" i="1" a="1"/>
  <c r="L16" i="119" a="1"/>
  <c r="P10" i="119" a="1"/>
  <c r="AA27" i="119" a="1"/>
  <c r="R6" i="1" a="1"/>
  <c r="AA15" i="119" a="1"/>
  <c r="AC19" i="119" a="1"/>
  <c r="AD25" i="119" a="1"/>
  <c r="U5" i="52" a="1"/>
  <c r="L25" i="119" a="1"/>
  <c r="V3" i="53" a="1"/>
  <c r="F14" i="119" a="1"/>
  <c r="AU20" i="119" a="1"/>
  <c r="G14" i="119" a="1"/>
  <c r="AT11" i="119" a="1"/>
  <c r="M6" i="1" a="1"/>
  <c r="BD11" i="119" a="1"/>
  <c r="H35" i="119" a="1"/>
  <c r="AT6" i="1" a="1"/>
  <c r="P22" i="119" a="1"/>
  <c r="W38" i="119" a="1"/>
  <c r="W7" i="119" a="1"/>
  <c r="M27" i="119" a="1"/>
  <c r="AU21" i="119" a="1"/>
  <c r="T28" i="119" a="1"/>
  <c r="W10" i="119" a="1"/>
  <c r="L10" i="119" a="1"/>
  <c r="L37" i="119" a="1"/>
  <c r="AD12" i="119" a="1"/>
  <c r="BM7" i="119" a="1"/>
  <c r="BA7" i="1" a="1"/>
  <c r="M32" i="119" a="1"/>
  <c r="M5" i="50" a="1"/>
  <c r="K29" i="119" a="1"/>
  <c r="BI16" i="119" a="1"/>
  <c r="AE6" i="1" a="1"/>
  <c r="AA23" i="119" a="1"/>
  <c r="K19" i="119" a="1"/>
  <c r="BI6" i="119" a="1"/>
  <c r="AA13" i="119" a="1"/>
  <c r="AU6" i="1" a="1"/>
  <c r="AF7" i="119" a="1"/>
  <c r="T5" i="119" a="1"/>
  <c r="W5" i="119" a="1"/>
  <c r="BN35" i="119" a="1"/>
  <c r="H33" i="119" a="1"/>
  <c r="AT18" i="119" a="1"/>
  <c r="BK6" i="1" a="1"/>
  <c r="I23" i="119" a="1"/>
  <c r="BP6" i="1" a="1"/>
  <c r="G22" i="119" a="1"/>
  <c r="I30" i="119" a="1"/>
  <c r="BN28" i="119" a="1"/>
  <c r="Q7" i="50" a="1"/>
  <c r="AC33" i="119" a="1"/>
  <c r="AQ6" i="50" a="1"/>
  <c r="AU29" i="119" a="1"/>
  <c r="F18" i="119" a="1"/>
  <c r="BG14" i="119" a="1"/>
  <c r="BI8" i="119" a="1"/>
  <c r="BF7" i="1" a="1"/>
  <c r="H6" i="119" a="1"/>
  <c r="I9" i="119" a="1"/>
  <c r="BI37" i="119" a="1"/>
  <c r="K26" i="119" a="1"/>
  <c r="BJ5" i="1" a="1"/>
  <c r="P6" i="119" a="1"/>
  <c r="E5" i="50" a="1"/>
  <c r="AT24" i="119" a="1"/>
  <c r="BI14" i="119" a="1"/>
  <c r="M16" i="119" a="1"/>
  <c r="BT7" i="1" a="1"/>
  <c r="AP24" i="119" a="1"/>
  <c r="M37" i="119" a="1"/>
  <c r="I5" i="119" a="1"/>
  <c r="K8" i="119" a="1"/>
  <c r="G5" i="50" a="1"/>
  <c r="G23" i="119" a="1"/>
  <c r="AC5" i="119" a="1"/>
  <c r="AC35" i="119" a="1"/>
  <c r="BM24" i="119" a="1"/>
  <c r="AI9" i="119" a="1"/>
  <c r="AD32" i="119" a="1"/>
  <c r="BK38" i="119" a="1"/>
  <c r="BN12" i="119" a="1"/>
  <c r="H10" i="119" a="1"/>
  <c r="BK37" i="119" a="1"/>
  <c r="AQ28" i="119" a="1"/>
  <c r="H22" i="119" a="1"/>
  <c r="AU27" i="119" a="1"/>
  <c r="U7" i="1" a="1"/>
  <c r="AT5" i="1" a="1"/>
  <c r="AU28" i="119" a="1"/>
  <c r="BI20" i="119" a="1"/>
  <c r="BK22" i="119" a="1"/>
  <c r="L6" i="119" a="1"/>
  <c r="W12" i="119" a="1"/>
  <c r="AV12" i="119" a="1"/>
  <c r="L31" i="119" a="1"/>
  <c r="M5" i="1" a="1"/>
  <c r="BW7" i="1" a="1"/>
  <c r="AA33" i="119" a="1"/>
  <c r="BD25" i="119" a="1"/>
  <c r="AQ33" i="119" a="1"/>
  <c r="AI15" i="119" a="1"/>
  <c r="AI16" i="119" a="1"/>
  <c r="AD30" i="119" a="1"/>
  <c r="F5" i="119" a="1"/>
  <c r="L15" i="119" a="1"/>
  <c r="AG30" i="119" a="1"/>
  <c r="BG10" i="119" a="1"/>
  <c r="H7" i="50" a="1"/>
  <c r="AT33" i="119" a="1"/>
  <c r="AG6" i="119" a="1"/>
  <c r="AP10" i="119" a="1"/>
  <c r="J35" i="119" a="1"/>
  <c r="M15" i="119" a="1"/>
  <c r="AD5" i="119" a="1"/>
  <c r="AF31" i="119" a="1"/>
  <c r="J7" i="50" a="1"/>
  <c r="BD14" i="119" a="1"/>
  <c r="AT37" i="119" a="1"/>
  <c r="F12" i="119" a="1"/>
  <c r="D6" i="50" a="1"/>
  <c r="N9" i="119" a="1"/>
  <c r="R22" i="119" a="1"/>
  <c r="AF11" i="119" a="1"/>
  <c r="BM19" i="119" a="1"/>
  <c r="BJ7" i="1" a="1"/>
  <c r="AP26" i="119" a="1"/>
  <c r="BG6" i="1" a="1"/>
  <c r="AT15" i="119" a="1"/>
  <c r="AQ27" i="119" a="1"/>
  <c r="W28" i="119" a="1"/>
  <c r="BM8" i="119" a="1"/>
  <c r="I10" i="119" a="1"/>
  <c r="AR12" i="119" a="1"/>
  <c r="K16" i="119" a="1"/>
  <c r="AP7" i="119" a="1"/>
  <c r="M35" i="119" a="1"/>
  <c r="BI36" i="119" a="1"/>
  <c r="G19" i="119" a="1"/>
  <c r="W23" i="119" a="1"/>
  <c r="AT31" i="119" a="1"/>
  <c r="BG26" i="119" a="1"/>
  <c r="C4" i="53" a="1"/>
  <c r="N24" i="119" a="1"/>
  <c r="BG19" i="119" a="1"/>
  <c r="H5" i="50" a="1"/>
  <c r="BK10" i="119" a="1"/>
  <c r="K7" i="50" a="1"/>
  <c r="AI7" i="50" a="1"/>
  <c r="AQ23" i="119" a="1"/>
  <c r="S7" i="50" a="1"/>
  <c r="AI25" i="119" a="1"/>
  <c r="G26" i="119" a="1"/>
  <c r="G30" i="119" a="1"/>
  <c r="AK5" i="1" a="1"/>
  <c r="K3" i="52" a="1"/>
  <c r="P36" i="119" a="1"/>
  <c r="BM34" i="119" a="1"/>
  <c r="BD31" i="119" a="1"/>
  <c r="R27" i="119" a="1"/>
  <c r="J33" i="119" a="1"/>
  <c r="BG5" i="119" a="1"/>
  <c r="N19" i="119" a="1"/>
  <c r="AP21" i="119" a="1"/>
  <c r="BM6" i="1" a="1"/>
  <c r="G8" i="119" a="1"/>
  <c r="F16" i="119" a="1"/>
  <c r="AV6" i="119" a="1"/>
  <c r="BD18" i="119" a="1"/>
  <c r="L21" i="119" a="1"/>
  <c r="G28" i="119" a="1"/>
  <c r="I22" i="119" a="1"/>
  <c r="BI21" i="119" a="1"/>
  <c r="AV13" i="119" a="1"/>
  <c r="AU18" i="119" a="1"/>
  <c r="BN23" i="119" a="1"/>
  <c r="H9" i="119" a="1"/>
  <c r="Q4" i="53" a="1"/>
  <c r="AV38" i="119" a="1"/>
  <c r="AV7" i="119" a="1"/>
  <c r="H14" i="119" a="1"/>
  <c r="AP17" i="119" a="1"/>
  <c r="AV19" i="119" a="1"/>
  <c r="N5" i="1" a="1"/>
  <c r="N14" i="119" a="1"/>
  <c r="BD26" i="119" a="1"/>
  <c r="H28" i="119" a="1"/>
  <c r="W33" i="119" a="1"/>
  <c r="H21" i="119" a="1"/>
  <c r="AG10" i="119" a="1"/>
  <c r="BN15" i="119" a="1"/>
  <c r="BI5" i="119" a="1"/>
  <c r="M21" i="119" a="1"/>
  <c r="BM23" i="119" a="1"/>
  <c r="AU5" i="1" a="1"/>
  <c r="AR8" i="119" a="1"/>
  <c r="M23" i="119" a="1"/>
  <c r="P6" i="1" a="1"/>
  <c r="BF5" i="1" a="1"/>
  <c r="G27" i="119" a="1"/>
  <c r="T16" i="119" a="1"/>
  <c r="R6" i="119" a="1"/>
  <c r="F5" i="50" a="1"/>
  <c r="J19" i="119" a="1"/>
  <c r="BN17" i="119" a="1"/>
  <c r="BN27" i="119" a="1"/>
  <c r="AP36" i="119" a="1"/>
  <c r="CA7" i="1" a="1"/>
  <c r="M36" i="119" a="1"/>
  <c r="W27" i="119" a="1"/>
  <c r="U5" i="50" a="1"/>
  <c r="M29" i="119" a="1"/>
  <c r="G6" i="119" a="1"/>
  <c r="R8" i="119" a="1"/>
  <c r="BM5" i="119" a="1"/>
  <c r="P26" i="119" a="1"/>
  <c r="BK7" i="1" a="1"/>
  <c r="AI37" i="119" a="1"/>
  <c r="AF12" i="119" a="1"/>
  <c r="AD38" i="119" a="1"/>
  <c r="I17" i="119" a="1"/>
  <c r="AD7" i="1" a="1"/>
  <c r="K20" i="119" a="1"/>
  <c r="B5" i="52" a="1"/>
  <c r="AX5" i="1" a="1"/>
  <c r="M7" i="1" a="1"/>
  <c r="BN25" i="119" a="1"/>
  <c r="AP32" i="119" a="1"/>
  <c r="G7" i="1" a="1"/>
  <c r="W16" i="119" a="1"/>
  <c r="L8" i="119" a="1"/>
  <c r="J37" i="119" a="1"/>
  <c r="D5" i="1" a="1"/>
  <c r="W25" i="119" a="1"/>
  <c r="C7" i="1" a="1"/>
  <c r="F26" i="119" a="1"/>
  <c r="P14" i="119" a="1"/>
  <c r="BM10" i="119" a="1"/>
  <c r="AB7" i="1" a="1"/>
  <c r="AP22" i="119" a="1"/>
  <c r="AC6" i="1" a="1"/>
  <c r="BN32" i="119" a="1"/>
  <c r="F24" i="119" a="1"/>
  <c r="N3" i="52" a="1"/>
  <c r="T5" i="50" a="1"/>
  <c r="N28" i="119" a="1"/>
  <c r="F29" i="119" a="1"/>
  <c r="BN9" i="119" a="1"/>
  <c r="AT13" i="119" a="1"/>
  <c r="AG18" i="119" a="1"/>
  <c r="T29" i="119" a="1"/>
  <c r="AF29" i="119" a="1"/>
  <c r="AQ16" i="119" a="1"/>
  <c r="J34" i="119" a="1"/>
  <c r="AT12" i="119" a="1"/>
  <c r="AV11" i="119" a="1"/>
  <c r="BM29" i="119" a="1"/>
  <c r="S4" i="53" a="1"/>
  <c r="BM15" i="119" a="1"/>
  <c r="AP6" i="119" a="1"/>
  <c r="L17" i="119" a="1"/>
  <c r="AC28" i="119" a="1"/>
  <c r="BG7" i="119" a="1"/>
  <c r="K11" i="119" a="1"/>
  <c r="L7" i="1" a="1"/>
  <c r="BM35" i="119" a="1"/>
  <c r="P7" i="1" a="1"/>
  <c r="T17" i="119" a="1"/>
  <c r="AC7" i="1" a="1"/>
  <c r="F19" i="119" a="1"/>
  <c r="T38" i="119" a="1"/>
  <c r="M19" i="119" a="1"/>
  <c r="I18" i="119" a="1"/>
  <c r="I15" i="119" a="1"/>
  <c r="R17" i="119" a="1"/>
  <c r="I3" i="53" a="1"/>
  <c r="AF5" i="119" a="1"/>
  <c r="AC38" i="119" a="1"/>
  <c r="AQ21" i="119" a="1"/>
  <c r="G34" i="119" a="1"/>
  <c r="AT38" i="119" a="1"/>
  <c r="BK31" i="119" a="1"/>
  <c r="BD13" i="119" a="1"/>
  <c r="AF36" i="119" a="1"/>
  <c r="R5" i="1" a="1"/>
  <c r="AG21" i="119" a="1"/>
  <c r="I11" i="119" a="1"/>
  <c r="M34" i="119" a="1"/>
  <c r="BG36" i="119" a="1"/>
  <c r="G25" i="119" a="1"/>
  <c r="AB6" i="50" a="1"/>
  <c r="P7" i="119" a="1"/>
  <c r="AI6" i="119" a="1"/>
  <c r="F7" i="119" a="1"/>
  <c r="AF15" i="119" a="1"/>
  <c r="R21" i="119" a="1"/>
  <c r="AV17" i="119" a="1"/>
  <c r="BE5" i="1" a="1"/>
  <c r="V7" i="1" a="1"/>
  <c r="BI19" i="119" a="1"/>
  <c r="BM36" i="119" a="1"/>
  <c r="BN7" i="1" a="1"/>
  <c r="C5" i="1" a="1"/>
  <c r="F11" i="119" a="1"/>
  <c r="BM31" i="119" a="1"/>
  <c r="AG38" i="119" a="1"/>
  <c r="BI11" i="119" a="1"/>
  <c r="AQ37" i="119" a="1"/>
  <c r="BP5" i="1" a="1"/>
  <c r="BI27" i="119" a="1"/>
  <c r="K31" i="119" a="1"/>
  <c r="K32" i="119" a="1"/>
  <c r="F15" i="119" a="1"/>
  <c r="P32" i="119" a="1"/>
  <c r="T4" i="53" a="1"/>
  <c r="AV33" i="119" a="1"/>
  <c r="T5" i="1" a="1"/>
  <c r="AQ25" i="119" a="1"/>
  <c r="I16" i="119" a="1"/>
  <c r="CD6" i="1" a="1"/>
  <c r="AT28" i="119" a="1"/>
  <c r="AI13" i="119" a="1"/>
  <c r="AG8" i="119" a="1"/>
  <c r="AG33" i="119" a="1"/>
  <c r="AR17" i="119" a="1"/>
  <c r="BK15" i="119" a="1"/>
  <c r="H20" i="119" a="1"/>
  <c r="G5" i="119" a="1"/>
  <c r="I31" i="119" a="1"/>
  <c r="AQ12" i="119" a="1"/>
  <c r="F10" i="119" a="1"/>
  <c r="F6" i="119" a="1"/>
  <c r="K5" i="119" a="1"/>
  <c r="AR20" i="119" a="1"/>
  <c r="AD27" i="119" a="1"/>
  <c r="BR6" i="1" a="1"/>
  <c r="H19" i="119" a="1"/>
  <c r="AG36" i="119" a="1"/>
  <c r="AC22" i="119" a="1"/>
  <c r="F21" i="119" a="1"/>
  <c r="AU33" i="119" a="1"/>
  <c r="L30" i="119" a="1"/>
  <c r="I24" i="119" a="1"/>
  <c r="AQ29" i="119" a="1"/>
  <c r="AC14" i="119" a="1"/>
  <c r="H5" i="119" a="1"/>
  <c r="BG11" i="119" a="1"/>
  <c r="Z6" i="50" a="1"/>
  <c r="W9" i="119" a="1"/>
  <c r="T12" i="119" a="1"/>
  <c r="AC26" i="119" a="1"/>
  <c r="AI14" i="119" a="1"/>
  <c r="AF30" i="119" a="1"/>
  <c r="AI10" i="119" a="1"/>
  <c r="H11" i="119" a="1"/>
  <c r="AR16" i="119" a="1"/>
  <c r="BZ7" i="1" a="1"/>
  <c r="AT32" i="119" a="1"/>
  <c r="BB5" i="50" a="1"/>
  <c r="AG11" i="119" a="1"/>
  <c r="AT34" i="119" a="1"/>
  <c r="BG13" i="119" a="1"/>
  <c r="AA26" i="119" a="1"/>
  <c r="AC34" i="119" a="1"/>
  <c r="B5" i="53" a="1"/>
  <c r="BG6" i="119" a="1"/>
  <c r="BI25" i="119" a="1"/>
  <c r="AD37" i="119" a="1"/>
  <c r="AI30" i="119" a="1"/>
  <c r="R26" i="119" a="1"/>
  <c r="J5" i="119" a="1"/>
  <c r="M38" i="119" a="1"/>
  <c r="L34" i="119" a="1"/>
  <c r="BD6" i="119" a="1"/>
  <c r="F28" i="119" a="1"/>
  <c r="BG9" i="119" a="1"/>
  <c r="K37" i="119" a="1"/>
  <c r="K35" i="119" a="1"/>
  <c r="BD32" i="119" a="1"/>
  <c r="AF25" i="119" a="1"/>
  <c r="AR5" i="119" a="1"/>
  <c r="AG34" i="119" a="1"/>
  <c r="AR38" i="119" a="1"/>
  <c r="AT22" i="119" a="1"/>
  <c r="I29" i="119" a="1"/>
  <c r="N15" i="119" a="1"/>
  <c r="G5" i="1" a="1"/>
  <c r="P3" i="52" a="1"/>
  <c r="AU5" i="119" a="1"/>
  <c r="AG14" i="119" a="1"/>
  <c r="BD10" i="119" a="1"/>
  <c r="P37" i="119" a="1"/>
  <c r="AR35" i="119" a="1"/>
  <c r="BR5" i="1" a="1"/>
  <c r="T31" i="119" a="1"/>
  <c r="S5" i="53" a="1"/>
  <c r="AA21" i="119" a="1"/>
  <c r="R7" i="1" a="1"/>
  <c r="BD7" i="119" a="1"/>
  <c r="U6" i="50" a="1"/>
  <c r="AQ9" i="119" a="1"/>
  <c r="BI15" i="119" a="1"/>
  <c r="BK8" i="119" a="1"/>
  <c r="AB7" i="50" a="1"/>
  <c r="BM26" i="119" a="1"/>
  <c r="BI31" i="119" a="1"/>
  <c r="AQ19" i="119" a="1"/>
  <c r="BD19" i="119" a="1"/>
  <c r="AF20" i="119" a="1"/>
  <c r="AA9" i="119" a="1"/>
  <c r="G6" i="1" a="1"/>
  <c r="AC8" i="119" a="1"/>
  <c r="BN24" i="119" a="1"/>
  <c r="P5" i="119" a="1"/>
  <c r="J30" i="119" a="1"/>
  <c r="AU36" i="119" a="1"/>
  <c r="AU16" i="119" a="1"/>
  <c r="AP5" i="119" a="1"/>
  <c r="AI32" i="119" a="1"/>
  <c r="AR9" i="119" a="1"/>
  <c r="R24" i="119" a="1"/>
  <c r="N22" i="119" a="1"/>
  <c r="BC6" i="1" a="1"/>
  <c r="AU32" i="119" a="1"/>
  <c r="AQ38" i="119" a="1"/>
  <c r="BI9" i="119" a="1"/>
  <c r="R14" i="119" a="1"/>
  <c r="N20" i="119" a="1"/>
  <c r="AG25" i="119" a="1"/>
  <c r="M3" i="52" a="1"/>
  <c r="AT27" i="119" a="1"/>
  <c r="F9" i="119" a="1"/>
  <c r="F23" i="119" a="1"/>
  <c r="G36" i="119" a="1"/>
  <c r="BM9" i="119" a="1"/>
  <c r="T6" i="1" a="1"/>
  <c r="AT9" i="119" a="1"/>
  <c r="AZ7" i="1" a="1"/>
  <c r="AP27" i="119" a="1"/>
  <c r="BG21" i="119" a="1"/>
  <c r="AC5" i="50" a="1"/>
  <c r="P24" i="119" a="1"/>
  <c r="BD5" i="50" a="1"/>
  <c r="T10" i="119" a="1"/>
  <c r="G17" i="119" a="1"/>
  <c r="AP19" i="119" a="1"/>
  <c r="C4" i="52" a="1"/>
  <c r="AD7" i="119" a="1"/>
  <c r="BB6" i="50" a="1"/>
  <c r="AV34" i="119" a="1"/>
  <c r="P34" i="119" a="1"/>
  <c r="BT5" i="1" a="1"/>
  <c r="J4" i="53" a="1"/>
  <c r="BN5" i="119" a="1"/>
  <c r="BD38" i="119" a="1"/>
  <c r="AR11" i="119" a="1"/>
  <c r="AG15" i="119" a="1"/>
  <c r="V4" i="53" a="1"/>
  <c r="BL7" i="1" a="1"/>
  <c r="AA29" i="119" a="1"/>
  <c r="W17" i="119" a="1"/>
  <c r="AG29" i="119" a="1"/>
  <c r="BK6" i="119" a="1"/>
  <c r="BG30" i="119" a="1"/>
  <c r="BK35" i="119" a="1"/>
  <c r="BN38" i="119" a="1"/>
  <c r="BG15" i="119" a="1"/>
  <c r="AT5" i="119" a="1"/>
  <c r="BM21" i="119" a="1"/>
  <c r="N5" i="119" a="1"/>
  <c r="T27" i="119" a="1"/>
  <c r="BD5" i="119" a="1"/>
  <c r="H8" i="119" a="1"/>
  <c r="BM11" i="119" a="1"/>
  <c r="AR18" i="119" a="1"/>
  <c r="BM20" i="119" a="1"/>
  <c r="P31" i="119" a="1"/>
  <c r="Y7" i="1" a="1"/>
  <c r="F34" i="119" a="1"/>
  <c r="BL6" i="1" a="1"/>
  <c r="BN26" i="119" a="1"/>
  <c r="BG35" i="119" a="1"/>
  <c r="AE7" i="1" a="1"/>
  <c r="H34" i="119" a="1"/>
  <c r="AA11" i="119" a="1"/>
  <c r="T32" i="119" a="1"/>
  <c r="H23" i="119" a="1"/>
  <c r="M9" i="119" a="1"/>
  <c r="R7" i="119" a="1"/>
  <c r="AR27" i="119" a="1"/>
  <c r="J9" i="119" a="1"/>
  <c r="BD8" i="119" a="1"/>
  <c r="BG25" i="119" a="1"/>
  <c r="BM37" i="119" a="1"/>
  <c r="AF9" i="119" a="1"/>
  <c r="AI24" i="119" a="1"/>
  <c r="T9" i="119" a="1"/>
  <c r="BG37" i="119" a="1"/>
  <c r="R12" i="119" a="1"/>
  <c r="O3" i="52" a="1"/>
  <c r="AQ15" i="119" a="1"/>
  <c r="I7" i="119" a="1"/>
  <c r="D4" i="52" a="1"/>
  <c r="AQ26" i="119" a="1"/>
  <c r="AZ5" i="1" a="1"/>
  <c r="J10" i="119" a="1"/>
  <c r="G12" i="119" a="1"/>
  <c r="H24" i="119" a="1"/>
  <c r="Q6" i="1" a="1"/>
  <c r="BM6" i="119" a="1"/>
  <c r="P5" i="53" a="1"/>
  <c r="BM14" i="119" a="1"/>
  <c r="AP8" i="119" a="1"/>
  <c r="BG20" i="119" a="1"/>
  <c r="AA34" i="119" a="1"/>
  <c r="AI26" i="119" a="1"/>
  <c r="AA8" i="119" a="1"/>
  <c r="W37" i="119" a="1"/>
  <c r="T21" i="119" a="1"/>
  <c r="BN10" i="119" a="1"/>
  <c r="L5" i="119" a="1"/>
  <c r="AQ7" i="119" a="1"/>
  <c r="N31" i="119" a="1"/>
  <c r="K24" i="119" a="1"/>
  <c r="I14" i="119" a="1"/>
  <c r="N6" i="119" a="1"/>
  <c r="BK7" i="119" a="1"/>
  <c r="W11" i="119" a="1"/>
  <c r="AX6" i="1" a="1"/>
  <c r="AD9" i="119" a="1"/>
  <c r="AF19" i="119" a="1"/>
  <c r="BC5" i="1" a="1"/>
  <c r="AP33" i="119" a="1"/>
  <c r="P8" i="119" a="1"/>
  <c r="H13" i="119" a="1"/>
  <c r="AG31" i="119" a="1"/>
  <c r="AV28" i="119" a="1"/>
  <c r="L11" i="119" a="1"/>
  <c r="R16" i="119" a="1"/>
  <c r="R10" i="119" a="1"/>
  <c r="AA19" i="119" a="1"/>
  <c r="BM33" i="119" a="1"/>
  <c r="AT29" i="119" a="1"/>
  <c r="R11" i="119" a="1"/>
  <c r="BX7" i="1" a="1"/>
  <c r="AQ17" i="119" a="1"/>
  <c r="BM27" i="119" a="1"/>
  <c r="BM32" i="119" a="1"/>
  <c r="BK25" i="119" a="1"/>
  <c r="I33" i="119" a="1"/>
  <c r="F7" i="1" a="1"/>
  <c r="J24" i="119" a="1"/>
  <c r="AV8" i="119" a="1"/>
  <c r="AP16" i="119" a="1"/>
  <c r="AC37" i="119" a="1"/>
  <c r="BZ5" i="1" a="1"/>
  <c r="AI21" i="119" a="1"/>
  <c r="AA32" i="119" a="1"/>
  <c r="AU6" i="119" a="1"/>
  <c r="BG32" i="119" a="1"/>
  <c r="BK5" i="119" a="1"/>
  <c r="J23" i="119" a="1"/>
  <c r="AF8" i="119" a="1"/>
  <c r="H29" i="119" a="1"/>
  <c r="N16" i="119" a="1"/>
  <c r="N6" i="1" a="1"/>
  <c r="W18" i="119" a="1"/>
  <c r="BN31" i="119" a="1"/>
  <c r="BD21" i="119" a="1"/>
  <c r="W32" i="119" a="1"/>
  <c r="AT36" i="119" a="1"/>
  <c r="BN22" i="119" a="1"/>
  <c r="P17" i="119" a="1"/>
  <c r="AD10" i="119" a="1"/>
  <c r="J15" i="119" a="1"/>
  <c r="BK26" i="119" a="1"/>
  <c r="T23" i="119" a="1"/>
  <c r="AP15" i="119" a="1"/>
  <c r="H18" i="119" a="1"/>
  <c r="BI22" i="119" a="1"/>
  <c r="L3" i="52" a="1"/>
  <c r="L6" i="1" a="1"/>
  <c r="E7" i="1" a="1"/>
  <c r="AF23" i="119" a="1"/>
  <c r="J26" i="119" a="1"/>
  <c r="P27" i="119" a="1"/>
  <c r="AV24" i="119" a="1"/>
  <c r="AU24" i="119" a="1"/>
  <c r="W8" i="119" a="1"/>
  <c r="X7" i="1" a="1"/>
  <c r="AK7" i="50" a="1"/>
  <c r="BD35" i="119" a="1"/>
  <c r="AD14" i="119" a="1"/>
  <c r="AF38" i="119" a="1"/>
  <c r="AT17" i="119" a="1"/>
  <c r="L35" i="119" a="1"/>
  <c r="P20" i="119" a="1"/>
  <c r="AI31" i="119" a="1"/>
  <c r="BK16" i="119" a="1"/>
  <c r="AA36" i="119" a="1"/>
  <c r="BM38" i="119" a="1"/>
  <c r="BN6" i="119" a="1"/>
  <c r="AI20" i="119" a="1"/>
  <c r="I34" i="119" a="1"/>
  <c r="AG26" i="119" a="1"/>
  <c r="BM16" i="119" a="1"/>
  <c r="R34" i="119" a="1"/>
  <c r="AT7" i="119" a="1"/>
  <c r="AG28" i="119" a="1"/>
  <c r="AZ6" i="50" a="1"/>
  <c r="R37" i="119" a="1"/>
  <c r="AC16" i="119" a="1"/>
  <c r="AU12" i="119" a="1"/>
  <c r="AD8" i="119" a="1"/>
  <c r="P35" i="119" a="1"/>
  <c r="R9" i="119" a="1"/>
  <c r="L26" i="119" a="1"/>
  <c r="AH7" i="50" a="1"/>
  <c r="I19" i="119" a="1"/>
  <c r="H30" i="119" a="1"/>
  <c r="AU7" i="119" a="1"/>
  <c r="T7" i="119" a="1"/>
  <c r="K7" i="1" a="1"/>
  <c r="P4" i="53" a="1"/>
  <c r="T11" i="119" a="1"/>
  <c r="BI18" i="119" a="1"/>
  <c r="R28" i="119" a="1"/>
  <c r="BD34" i="119" a="1"/>
  <c r="L9" i="119" a="1"/>
  <c r="AV37" i="119" a="1"/>
  <c r="G37" i="119" a="1"/>
  <c r="AY5" i="50"/>
  <c r="AR31" i="119" a="1"/>
  <c r="BS6" i="1" a="1"/>
  <c r="R38" i="119" a="1"/>
  <c r="M5" i="119" a="1"/>
  <c r="M31" i="119" a="1"/>
  <c r="X5" i="1" a="1"/>
  <c r="AD23" i="119" a="1"/>
  <c r="G29" i="119" a="1"/>
  <c r="AC29" i="119" a="1"/>
  <c r="BN21" i="119" a="1"/>
  <c r="F38" i="119" a="1"/>
  <c r="W7" i="1" a="1"/>
  <c r="S5" i="50" a="1"/>
  <c r="AA22" i="119" a="1"/>
  <c r="AR7" i="119" a="1"/>
  <c r="T22" i="119" a="1"/>
  <c r="AV22" i="119" a="1"/>
  <c r="AR10" i="119" a="1"/>
  <c r="AD20" i="119" a="1"/>
  <c r="AD13" i="119" a="1"/>
  <c r="AR6" i="119" a="1"/>
  <c r="R35" i="119" a="1"/>
  <c r="P12" i="119" a="1"/>
  <c r="M26" i="119" a="1"/>
  <c r="J13" i="119" a="1"/>
  <c r="AU8" i="119" a="1"/>
  <c r="R20" i="119" a="1"/>
  <c r="AG35" i="119" a="1"/>
  <c r="L7" i="50" a="1"/>
  <c r="BI32" i="119" a="1"/>
  <c r="AI5" i="119" a="1"/>
  <c r="BN33" i="119" a="1"/>
  <c r="M8" i="119" a="1"/>
  <c r="G33" i="119" a="1"/>
  <c r="BI10" i="119" a="1"/>
  <c r="AA24" i="119" a="1"/>
  <c r="AP31" i="119" a="1"/>
  <c r="AC25" i="119" a="1"/>
  <c r="CA5" i="1" a="1"/>
  <c r="AW5" i="1" a="1"/>
  <c r="W31" i="119" a="1"/>
  <c r="AB5" i="50" a="1"/>
  <c r="F17" i="119" a="1"/>
  <c r="M20" i="119" a="1"/>
  <c r="AC9" i="119" a="1"/>
  <c r="J6" i="1" a="1"/>
  <c r="AA38" i="119" a="1"/>
  <c r="BD30" i="119" a="1"/>
  <c r="BK9" i="119" a="1"/>
  <c r="F37" i="119" a="1"/>
  <c r="AT8" i="119" a="1"/>
  <c r="AV23" i="119" a="1"/>
  <c r="AD29" i="119" a="1"/>
  <c r="P38" i="119" a="1"/>
  <c r="F13" i="119" a="1"/>
  <c r="L5" i="1" a="1"/>
  <c r="M10" i="119" a="1"/>
  <c r="M6" i="119" a="1"/>
  <c r="Z5" i="1" a="1"/>
  <c r="K13" i="119" a="1"/>
  <c r="G9" i="119" a="1"/>
  <c r="I13" i="119" a="1"/>
  <c r="AA25" i="119" a="1"/>
  <c r="T6" i="119" a="1"/>
  <c r="AV9" i="119" a="1"/>
  <c r="R31" i="119" a="1"/>
  <c r="G24" i="119" a="1"/>
  <c r="K10" i="119" a="1"/>
  <c r="AR23" i="119" a="1"/>
  <c r="N7" i="119" a="1"/>
  <c r="AU17" i="119" a="1"/>
  <c r="AR36" i="119" a="1"/>
  <c r="S5" i="1" a="1"/>
  <c r="H25" i="119" a="1"/>
  <c r="AP38" i="119" a="1"/>
  <c r="T33" i="119" a="1"/>
  <c r="AI27" i="119" a="1"/>
  <c r="I8" i="119" a="1"/>
  <c r="F8" i="119" a="1"/>
  <c r="BU5" i="1" a="1"/>
  <c r="Q141" i="70" l="1"/>
  <c r="J83" i="70"/>
  <c r="L23" i="70"/>
  <c r="O83" i="70"/>
  <c r="J107" i="70"/>
  <c r="H33" i="70"/>
  <c r="L34" i="114"/>
  <c r="L22" i="117"/>
  <c r="BU5" i="1"/>
  <c r="H39" i="117"/>
  <c r="F8" i="119"/>
  <c r="I8" i="119"/>
  <c r="D18" i="114"/>
  <c r="Z34" i="114"/>
  <c r="P22" i="117"/>
  <c r="F30" i="117"/>
  <c r="AI27" i="119"/>
  <c r="T33" i="119"/>
  <c r="AP38" i="119"/>
  <c r="H25" i="119"/>
  <c r="S5" i="1"/>
  <c r="S5" i="3" s="1"/>
  <c r="J4" i="114" s="1"/>
  <c r="AR36" i="119"/>
  <c r="AU17" i="119"/>
  <c r="N7" i="119"/>
  <c r="AR23" i="119"/>
  <c r="K10" i="119"/>
  <c r="G24" i="119"/>
  <c r="R31" i="119"/>
  <c r="AV9" i="119"/>
  <c r="J28" i="117"/>
  <c r="AD16" i="114"/>
  <c r="T6" i="119"/>
  <c r="AA25" i="119"/>
  <c r="I13" i="119"/>
  <c r="G9" i="119"/>
  <c r="K13" i="119"/>
  <c r="Z5" i="1"/>
  <c r="L7" i="114"/>
  <c r="M6" i="119"/>
  <c r="F8" i="114"/>
  <c r="M10" i="119"/>
  <c r="X10" i="117"/>
  <c r="L5" i="1"/>
  <c r="L5" i="3" s="1"/>
  <c r="F13" i="119"/>
  <c r="P38" i="119"/>
  <c r="AD29" i="119"/>
  <c r="AV23" i="119"/>
  <c r="L34" i="117"/>
  <c r="L8" i="117"/>
  <c r="AB31" i="117"/>
  <c r="AT8" i="119"/>
  <c r="F37" i="119"/>
  <c r="BK9" i="119"/>
  <c r="BD30" i="119"/>
  <c r="AA38" i="119"/>
  <c r="J6" i="1"/>
  <c r="J6" i="3" s="1"/>
  <c r="N34" i="117"/>
  <c r="J8" i="114"/>
  <c r="AC9" i="119"/>
  <c r="M20" i="119"/>
  <c r="F17" i="119"/>
  <c r="BC17" i="119" s="1"/>
  <c r="AB5" i="50"/>
  <c r="Y5" i="51" s="1"/>
  <c r="P4" i="117" s="1"/>
  <c r="F16" i="114"/>
  <c r="W31" i="119"/>
  <c r="D11" i="114"/>
  <c r="L16" i="114"/>
  <c r="AW5" i="1"/>
  <c r="CA5" i="1"/>
  <c r="AC25" i="119"/>
  <c r="AP31" i="119"/>
  <c r="AA24" i="119"/>
  <c r="BI10" i="119"/>
  <c r="G33" i="119"/>
  <c r="M8" i="119"/>
  <c r="J21" i="114"/>
  <c r="H29" i="114"/>
  <c r="V14" i="114"/>
  <c r="D29" i="117"/>
  <c r="R13" i="114"/>
  <c r="AD39" i="117"/>
  <c r="BN33" i="119"/>
  <c r="L38" i="117"/>
  <c r="H38" i="114"/>
  <c r="AI5" i="119"/>
  <c r="AI4" i="119" s="1"/>
  <c r="BI32" i="119"/>
  <c r="N14" i="117"/>
  <c r="L7" i="50"/>
  <c r="K7" i="51" s="1"/>
  <c r="AG35" i="119"/>
  <c r="N39" i="117"/>
  <c r="R20" i="119"/>
  <c r="AU8" i="119"/>
  <c r="J13" i="119"/>
  <c r="M26" i="119"/>
  <c r="F23" i="117"/>
  <c r="P12" i="119"/>
  <c r="R35" i="119"/>
  <c r="AR6" i="119"/>
  <c r="AD13" i="119"/>
  <c r="AH36" i="114"/>
  <c r="AD20" i="119"/>
  <c r="AR10" i="119"/>
  <c r="F26" i="114"/>
  <c r="AV22" i="119"/>
  <c r="T22" i="119"/>
  <c r="AR7" i="119"/>
  <c r="P9" i="114"/>
  <c r="AB13" i="117"/>
  <c r="N21" i="117"/>
  <c r="AA22" i="119"/>
  <c r="S5" i="50"/>
  <c r="Q5" i="51" s="1"/>
  <c r="W7" i="1"/>
  <c r="W7" i="3" s="1"/>
  <c r="R6" i="114" s="1"/>
  <c r="F17" i="114"/>
  <c r="F38" i="119"/>
  <c r="BC38" i="119" s="1"/>
  <c r="AH29" i="117"/>
  <c r="BN21" i="119"/>
  <c r="AC29" i="119"/>
  <c r="G29" i="119"/>
  <c r="AD23" i="119"/>
  <c r="X5" i="1"/>
  <c r="X5" i="3" s="1"/>
  <c r="T4" i="114" s="1"/>
  <c r="M31" i="119"/>
  <c r="M5" i="119"/>
  <c r="R38" i="119"/>
  <c r="BS6" i="1"/>
  <c r="AR31" i="119"/>
  <c r="G37" i="119"/>
  <c r="AV37" i="119"/>
  <c r="L9" i="119"/>
  <c r="BD34" i="119"/>
  <c r="X25" i="117"/>
  <c r="R28" i="119"/>
  <c r="BI18" i="119"/>
  <c r="T11" i="119"/>
  <c r="P4" i="53"/>
  <c r="K7" i="1"/>
  <c r="K7" i="3" s="1"/>
  <c r="T7" i="119"/>
  <c r="AU7" i="119"/>
  <c r="H30" i="119"/>
  <c r="I19" i="119"/>
  <c r="AH7" i="50"/>
  <c r="AE7" i="51" s="1"/>
  <c r="AB6" i="117" s="1"/>
  <c r="L26" i="119"/>
  <c r="R9" i="119"/>
  <c r="P35" i="119"/>
  <c r="X7" i="117"/>
  <c r="AD8" i="119"/>
  <c r="AU12" i="119"/>
  <c r="N33" i="117"/>
  <c r="AC16" i="119"/>
  <c r="R37" i="119"/>
  <c r="AZ6" i="50"/>
  <c r="P21" i="114"/>
  <c r="AG28" i="119"/>
  <c r="AT7" i="119"/>
  <c r="R34" i="119"/>
  <c r="R14" i="114"/>
  <c r="BM16" i="119"/>
  <c r="AG26" i="119"/>
  <c r="I34" i="119"/>
  <c r="AI20" i="119"/>
  <c r="BN6" i="119"/>
  <c r="L36" i="114"/>
  <c r="BM38" i="119"/>
  <c r="AA36" i="119"/>
  <c r="V9" i="117"/>
  <c r="BK16" i="119"/>
  <c r="AI31" i="119"/>
  <c r="N15" i="117"/>
  <c r="P20" i="119"/>
  <c r="L35" i="119"/>
  <c r="AB24" i="114"/>
  <c r="AT17" i="119"/>
  <c r="AF38" i="119"/>
  <c r="AD12" i="114"/>
  <c r="AD14" i="119"/>
  <c r="BD35" i="119"/>
  <c r="AK7" i="50"/>
  <c r="AH7" i="51" s="1"/>
  <c r="AH6" i="117" s="1"/>
  <c r="R39" i="114"/>
  <c r="X7" i="1"/>
  <c r="X7" i="3" s="1"/>
  <c r="T6" i="114" s="1"/>
  <c r="W8" i="119"/>
  <c r="AU24" i="119"/>
  <c r="H7" i="117"/>
  <c r="AV24" i="119"/>
  <c r="P27" i="119"/>
  <c r="J26" i="119"/>
  <c r="AF23" i="119"/>
  <c r="E7" i="1"/>
  <c r="E7" i="3" s="1"/>
  <c r="L6" i="1"/>
  <c r="L6" i="3" s="1"/>
  <c r="L9" i="114"/>
  <c r="L3" i="52"/>
  <c r="BI22" i="119"/>
  <c r="P14" i="117"/>
  <c r="H18" i="119"/>
  <c r="AP15" i="119"/>
  <c r="T23" i="119"/>
  <c r="BK26" i="119"/>
  <c r="T25" i="114"/>
  <c r="J15" i="119"/>
  <c r="N15" i="114"/>
  <c r="AD10" i="119"/>
  <c r="P17" i="119"/>
  <c r="BN22" i="119"/>
  <c r="AT36" i="119"/>
  <c r="H28" i="114"/>
  <c r="W32" i="119"/>
  <c r="BD21" i="119"/>
  <c r="BN31" i="119"/>
  <c r="W18" i="119"/>
  <c r="N6" i="1"/>
  <c r="N6" i="3" s="1"/>
  <c r="Z12" i="117"/>
  <c r="N16" i="119"/>
  <c r="AH17" i="117"/>
  <c r="H29" i="119"/>
  <c r="AF8" i="119"/>
  <c r="J23" i="119"/>
  <c r="BK5" i="119"/>
  <c r="L19" i="114"/>
  <c r="F21" i="114"/>
  <c r="BG32" i="119"/>
  <c r="AU6" i="119"/>
  <c r="AB35" i="117"/>
  <c r="AA32" i="119"/>
  <c r="V13" i="114"/>
  <c r="AI21" i="119"/>
  <c r="BZ5" i="1"/>
  <c r="AC37" i="119"/>
  <c r="AP16" i="119"/>
  <c r="AV8" i="119"/>
  <c r="J24" i="119"/>
  <c r="F7" i="1"/>
  <c r="F7" i="3" s="1"/>
  <c r="I33" i="119"/>
  <c r="BK25" i="119"/>
  <c r="BM32" i="119"/>
  <c r="BM27" i="119"/>
  <c r="P21" i="117"/>
  <c r="AQ17" i="119"/>
  <c r="BX7" i="1"/>
  <c r="L26" i="114"/>
  <c r="R11" i="119"/>
  <c r="P7" i="117"/>
  <c r="AB34" i="114"/>
  <c r="AT29" i="119"/>
  <c r="AD38" i="114"/>
  <c r="BM33" i="119"/>
  <c r="AA19" i="119"/>
  <c r="R10" i="119"/>
  <c r="AD11" i="114"/>
  <c r="R16" i="119"/>
  <c r="L11" i="119"/>
  <c r="AV28" i="119"/>
  <c r="AD39" i="114"/>
  <c r="AB7" i="114"/>
  <c r="AG31" i="119"/>
  <c r="H13" i="119"/>
  <c r="AB7" i="117"/>
  <c r="P8" i="119"/>
  <c r="AP33" i="119"/>
  <c r="BC5" i="1"/>
  <c r="AF19" i="119"/>
  <c r="R38" i="114"/>
  <c r="AD9" i="119"/>
  <c r="AB21" i="117"/>
  <c r="H39" i="114"/>
  <c r="AH38" i="114"/>
  <c r="AX6" i="1"/>
  <c r="W11" i="119"/>
  <c r="V27" i="114"/>
  <c r="BK7" i="119"/>
  <c r="N6" i="119"/>
  <c r="N38" i="117"/>
  <c r="I14" i="119"/>
  <c r="H21" i="114"/>
  <c r="K24" i="119"/>
  <c r="N31" i="119"/>
  <c r="Z17" i="114"/>
  <c r="AQ7" i="119"/>
  <c r="L5" i="119"/>
  <c r="BN10" i="119"/>
  <c r="T21" i="119"/>
  <c r="W37" i="119"/>
  <c r="AA8" i="119"/>
  <c r="N26" i="114"/>
  <c r="AI26" i="119"/>
  <c r="AA34" i="119"/>
  <c r="BG20" i="119"/>
  <c r="AP8" i="119"/>
  <c r="BM14" i="119"/>
  <c r="P5" i="53"/>
  <c r="V26" i="114"/>
  <c r="BM6" i="119"/>
  <c r="Q6" i="1"/>
  <c r="Q6" i="3" s="1"/>
  <c r="H24" i="119"/>
  <c r="P7" i="114"/>
  <c r="G12" i="119"/>
  <c r="O12" i="119" s="1"/>
  <c r="J10" i="119"/>
  <c r="AZ5" i="1"/>
  <c r="AQ26" i="119"/>
  <c r="D4" i="52"/>
  <c r="I7" i="119"/>
  <c r="AH7" i="117"/>
  <c r="AQ15" i="119"/>
  <c r="O3" i="52"/>
  <c r="AH7" i="114"/>
  <c r="AH39" i="114"/>
  <c r="R12" i="119"/>
  <c r="BG37" i="119"/>
  <c r="H14" i="114"/>
  <c r="T9" i="119"/>
  <c r="AI24" i="119"/>
  <c r="P12" i="114"/>
  <c r="AF9" i="119"/>
  <c r="BM37" i="119"/>
  <c r="X38" i="117"/>
  <c r="BG25" i="119"/>
  <c r="AD33" i="114"/>
  <c r="AD7" i="117"/>
  <c r="BD8" i="119"/>
  <c r="J9" i="119"/>
  <c r="AH24" i="114"/>
  <c r="AR27" i="119"/>
  <c r="H21" i="117"/>
  <c r="R7" i="119"/>
  <c r="M9" i="119"/>
  <c r="H23" i="119"/>
  <c r="T32" i="119"/>
  <c r="AA11" i="119"/>
  <c r="H34" i="119"/>
  <c r="AE7" i="1"/>
  <c r="AE7" i="3" s="1"/>
  <c r="AH6" i="114" s="1"/>
  <c r="T21" i="117"/>
  <c r="BG35" i="119"/>
  <c r="BN26" i="119"/>
  <c r="BL6" i="1"/>
  <c r="F17" i="117"/>
  <c r="F34" i="119"/>
  <c r="Y7" i="1"/>
  <c r="Y7" i="3" s="1"/>
  <c r="V6" i="114" s="1"/>
  <c r="V35" i="114"/>
  <c r="B21" i="117"/>
  <c r="P31" i="119"/>
  <c r="N11" i="117"/>
  <c r="BM20" i="119"/>
  <c r="N14" i="114"/>
  <c r="AR18" i="119"/>
  <c r="BM11" i="119"/>
  <c r="H8" i="119"/>
  <c r="Z13" i="114"/>
  <c r="BD5" i="119"/>
  <c r="BD4" i="119" s="1"/>
  <c r="T27" i="119"/>
  <c r="N5" i="119"/>
  <c r="BM21" i="119"/>
  <c r="AT5" i="119"/>
  <c r="BG15" i="119"/>
  <c r="BN38" i="119"/>
  <c r="Z36" i="117"/>
  <c r="BK35" i="119"/>
  <c r="BG30" i="119"/>
  <c r="J9" i="117"/>
  <c r="BK6" i="119"/>
  <c r="R39" i="117"/>
  <c r="AG29" i="119"/>
  <c r="P27" i="114"/>
  <c r="W17" i="119"/>
  <c r="J15" i="117"/>
  <c r="AA29" i="119"/>
  <c r="BL7" i="1"/>
  <c r="V4" i="53"/>
  <c r="AG15" i="119"/>
  <c r="AR11" i="119"/>
  <c r="BD38" i="119"/>
  <c r="BN5" i="119"/>
  <c r="N12" i="114"/>
  <c r="J4" i="53"/>
  <c r="BT5" i="1"/>
  <c r="P34" i="119"/>
  <c r="AV34" i="119"/>
  <c r="BB6" i="50"/>
  <c r="AD7" i="119"/>
  <c r="AH30" i="114"/>
  <c r="C4" i="52"/>
  <c r="R25" i="114"/>
  <c r="AP19" i="119"/>
  <c r="G17" i="119"/>
  <c r="Z17" i="117"/>
  <c r="T10" i="119"/>
  <c r="R16" i="114"/>
  <c r="BD5" i="50"/>
  <c r="P24" i="119"/>
  <c r="N27" i="114"/>
  <c r="P20" i="114"/>
  <c r="AC5" i="50"/>
  <c r="Z5" i="51" s="1"/>
  <c r="R4" i="117" s="1"/>
  <c r="D29" i="114"/>
  <c r="D22" i="114"/>
  <c r="AD29" i="114"/>
  <c r="BG21" i="119"/>
  <c r="AB19" i="114"/>
  <c r="D31" i="114"/>
  <c r="AP27" i="119"/>
  <c r="AZ7" i="1"/>
  <c r="AT9" i="119"/>
  <c r="T6" i="1"/>
  <c r="T6" i="3" s="1"/>
  <c r="L5" i="114" s="1"/>
  <c r="BM9" i="119"/>
  <c r="J27" i="114"/>
  <c r="G36" i="119"/>
  <c r="P8" i="117"/>
  <c r="F23" i="119"/>
  <c r="R12" i="114"/>
  <c r="L18" i="114"/>
  <c r="T13" i="114"/>
  <c r="F9" i="119"/>
  <c r="P15" i="117"/>
  <c r="AT27" i="119"/>
  <c r="M3" i="52"/>
  <c r="AG25" i="119"/>
  <c r="V12" i="114"/>
  <c r="AB32" i="114"/>
  <c r="N20" i="119"/>
  <c r="R14" i="119"/>
  <c r="AD23" i="117"/>
  <c r="BI9" i="119"/>
  <c r="AQ38" i="119"/>
  <c r="V15" i="114"/>
  <c r="N17" i="117"/>
  <c r="AU32" i="119"/>
  <c r="AB17" i="114"/>
  <c r="L14" i="114"/>
  <c r="BC6" i="1"/>
  <c r="R31" i="117"/>
  <c r="P13" i="114"/>
  <c r="AD9" i="114"/>
  <c r="H9" i="114"/>
  <c r="N22" i="119"/>
  <c r="H20" i="114"/>
  <c r="R24" i="119"/>
  <c r="L29" i="117"/>
  <c r="AD33" i="117"/>
  <c r="AR9" i="119"/>
  <c r="V34" i="114"/>
  <c r="AI32" i="119"/>
  <c r="AP5" i="119"/>
  <c r="T31" i="114"/>
  <c r="AU16" i="119"/>
  <c r="AU36" i="119"/>
  <c r="J30" i="119"/>
  <c r="T9" i="114"/>
  <c r="P5" i="119"/>
  <c r="BN24" i="119"/>
  <c r="J8" i="117"/>
  <c r="AH26" i="117"/>
  <c r="AC8" i="119"/>
  <c r="L13" i="114"/>
  <c r="G6" i="1"/>
  <c r="G6" i="3" s="1"/>
  <c r="AA9" i="119"/>
  <c r="AF20" i="119"/>
  <c r="Z8" i="114"/>
  <c r="BD19" i="119"/>
  <c r="AH32" i="114"/>
  <c r="H27" i="114"/>
  <c r="F12" i="114"/>
  <c r="AQ19" i="119"/>
  <c r="BI31" i="119"/>
  <c r="L20" i="114"/>
  <c r="BM26" i="119"/>
  <c r="AB7" i="50"/>
  <c r="Y7" i="51" s="1"/>
  <c r="P6" i="117" s="1"/>
  <c r="AD32" i="114"/>
  <c r="BK8" i="119"/>
  <c r="BI15" i="119"/>
  <c r="D25" i="114"/>
  <c r="AQ9" i="119"/>
  <c r="U6" i="50"/>
  <c r="S6" i="51" s="1"/>
  <c r="BD7" i="119"/>
  <c r="R7" i="1"/>
  <c r="R7" i="3" s="1"/>
  <c r="H6" i="114" s="1"/>
  <c r="H19" i="114"/>
  <c r="AA21" i="119"/>
  <c r="S5" i="53"/>
  <c r="T31" i="119"/>
  <c r="BR5" i="1"/>
  <c r="AR35" i="119"/>
  <c r="P37" i="119"/>
  <c r="BD10" i="119"/>
  <c r="AG14" i="119"/>
  <c r="AU5" i="119"/>
  <c r="P3" i="52"/>
  <c r="G5" i="1"/>
  <c r="G5" i="3" s="1"/>
  <c r="N15" i="119"/>
  <c r="I29" i="119"/>
  <c r="AT22" i="119"/>
  <c r="AR38" i="119"/>
  <c r="AG34" i="119"/>
  <c r="AR5" i="119"/>
  <c r="V38" i="117"/>
  <c r="AF25" i="119"/>
  <c r="BD32" i="119"/>
  <c r="K35" i="119"/>
  <c r="K37" i="119"/>
  <c r="BG9" i="119"/>
  <c r="F28" i="119"/>
  <c r="BD6" i="119"/>
  <c r="L34" i="119"/>
  <c r="M38" i="119"/>
  <c r="J5" i="119"/>
  <c r="R26" i="119"/>
  <c r="AI30" i="119"/>
  <c r="H23" i="117"/>
  <c r="AD37" i="119"/>
  <c r="V23" i="114"/>
  <c r="BI25" i="119"/>
  <c r="BG6" i="119"/>
  <c r="V32" i="114"/>
  <c r="B5" i="53"/>
  <c r="AC34" i="119"/>
  <c r="AD35" i="114"/>
  <c r="H18" i="117"/>
  <c r="AB25" i="114"/>
  <c r="AH15" i="117"/>
  <c r="J22" i="114"/>
  <c r="AA26" i="119"/>
  <c r="BG13" i="119"/>
  <c r="AT34" i="119"/>
  <c r="J15" i="114"/>
  <c r="AG11" i="119"/>
  <c r="Z31" i="117"/>
  <c r="N29" i="117"/>
  <c r="BB5" i="50"/>
  <c r="AT32" i="119"/>
  <c r="BZ7" i="1"/>
  <c r="D24" i="114"/>
  <c r="AR16" i="119"/>
  <c r="H11" i="119"/>
  <c r="V31" i="114"/>
  <c r="AI10" i="119"/>
  <c r="AF30" i="119"/>
  <c r="AI14" i="119"/>
  <c r="AC26" i="119"/>
  <c r="T12" i="119"/>
  <c r="W9" i="119"/>
  <c r="Z6" i="50"/>
  <c r="W6" i="51" s="1"/>
  <c r="L5" i="117" s="1"/>
  <c r="BG11" i="119"/>
  <c r="H18" i="114"/>
  <c r="H5" i="119"/>
  <c r="AH8" i="117"/>
  <c r="AC14" i="119"/>
  <c r="D32" i="117"/>
  <c r="AQ29" i="119"/>
  <c r="I24" i="119"/>
  <c r="L30" i="119"/>
  <c r="J18" i="114"/>
  <c r="Z13" i="117"/>
  <c r="AU33" i="119"/>
  <c r="F21" i="119"/>
  <c r="N18" i="117"/>
  <c r="AC22" i="119"/>
  <c r="R20" i="117"/>
  <c r="AG36" i="119"/>
  <c r="AB11" i="114"/>
  <c r="V16" i="117"/>
  <c r="H19" i="119"/>
  <c r="BR6" i="1"/>
  <c r="AH21" i="114"/>
  <c r="AD27" i="119"/>
  <c r="AR20" i="119"/>
  <c r="P38" i="117"/>
  <c r="AB13" i="114"/>
  <c r="K5" i="119"/>
  <c r="F6" i="119"/>
  <c r="AB27" i="117"/>
  <c r="X30" i="117"/>
  <c r="F10" i="119"/>
  <c r="BC10" i="119" s="1"/>
  <c r="AQ12" i="119"/>
  <c r="I31" i="119"/>
  <c r="R24" i="114"/>
  <c r="R15" i="114"/>
  <c r="G5" i="119"/>
  <c r="H20" i="119"/>
  <c r="BK15" i="119"/>
  <c r="R34" i="117"/>
  <c r="AR17" i="119"/>
  <c r="AG33" i="119"/>
  <c r="AG8" i="119"/>
  <c r="V9" i="114"/>
  <c r="D15" i="114"/>
  <c r="AI13" i="119"/>
  <c r="D26" i="114"/>
  <c r="AT28" i="119"/>
  <c r="CD6" i="1"/>
  <c r="I16" i="119"/>
  <c r="AQ25" i="119"/>
  <c r="T5" i="1"/>
  <c r="T5" i="3" s="1"/>
  <c r="L4" i="114" s="1"/>
  <c r="D10" i="117"/>
  <c r="P13" i="117"/>
  <c r="AV33" i="119"/>
  <c r="T4" i="53"/>
  <c r="R19" i="114"/>
  <c r="D35" i="114"/>
  <c r="P32" i="119"/>
  <c r="F15" i="119"/>
  <c r="K32" i="119"/>
  <c r="K31" i="119"/>
  <c r="BI27" i="119"/>
  <c r="BP5" i="1"/>
  <c r="AQ37" i="119"/>
  <c r="BI11" i="119"/>
  <c r="N26" i="117"/>
  <c r="P32" i="117"/>
  <c r="AB14" i="117"/>
  <c r="AG38" i="119"/>
  <c r="AH13" i="117"/>
  <c r="BM31" i="119"/>
  <c r="F11" i="119"/>
  <c r="C5" i="1"/>
  <c r="BN7" i="1"/>
  <c r="AB20" i="114"/>
  <c r="BM36" i="119"/>
  <c r="BI19" i="119"/>
  <c r="V7" i="1"/>
  <c r="V7" i="3" s="1"/>
  <c r="P6" i="114" s="1"/>
  <c r="BE5" i="1"/>
  <c r="AV17" i="119"/>
  <c r="R21" i="119"/>
  <c r="AF15" i="119"/>
  <c r="F7" i="119"/>
  <c r="S7" i="119" s="1"/>
  <c r="AI6" i="119"/>
  <c r="V24" i="114"/>
  <c r="P7" i="119"/>
  <c r="AB6" i="50"/>
  <c r="Y6" i="51" s="1"/>
  <c r="P5" i="117" s="1"/>
  <c r="G25" i="119"/>
  <c r="BG36" i="119"/>
  <c r="M34" i="119"/>
  <c r="I11" i="119"/>
  <c r="AG21" i="119"/>
  <c r="R5" i="1"/>
  <c r="R5" i="3" s="1"/>
  <c r="H4" i="114" s="1"/>
  <c r="AF36" i="119"/>
  <c r="BD13" i="119"/>
  <c r="D34" i="114"/>
  <c r="D21" i="114"/>
  <c r="BK31" i="119"/>
  <c r="N10" i="117"/>
  <c r="V35" i="117"/>
  <c r="AT38" i="119"/>
  <c r="G34" i="119"/>
  <c r="AQ21" i="119"/>
  <c r="AC38" i="119"/>
  <c r="AB30" i="117"/>
  <c r="AB16" i="114"/>
  <c r="L14" i="117"/>
  <c r="H11" i="114"/>
  <c r="AF5" i="119"/>
  <c r="I3" i="53"/>
  <c r="F15" i="114"/>
  <c r="R17" i="119"/>
  <c r="I15" i="119"/>
  <c r="I18" i="119"/>
  <c r="M19" i="119"/>
  <c r="T38" i="119"/>
  <c r="V38" i="119" s="1"/>
  <c r="D13" i="117"/>
  <c r="F19" i="119"/>
  <c r="AC7" i="1"/>
  <c r="AC7" i="3" s="1"/>
  <c r="AD6" i="114" s="1"/>
  <c r="T17" i="119"/>
  <c r="R19" i="117"/>
  <c r="P7" i="1"/>
  <c r="P7" i="3" s="1"/>
  <c r="BM35" i="119"/>
  <c r="L7" i="1"/>
  <c r="L7" i="3" s="1"/>
  <c r="K11" i="119"/>
  <c r="H35" i="117"/>
  <c r="D32" i="114"/>
  <c r="BG7" i="119"/>
  <c r="AC28" i="119"/>
  <c r="L17" i="119"/>
  <c r="AH28" i="114"/>
  <c r="AH19" i="117"/>
  <c r="AP6" i="119"/>
  <c r="BM15" i="119"/>
  <c r="J14" i="114"/>
  <c r="S4" i="53"/>
  <c r="BM29" i="119"/>
  <c r="AV11" i="119"/>
  <c r="AT12" i="119"/>
  <c r="J34" i="119"/>
  <c r="L39" i="117"/>
  <c r="AQ16" i="119"/>
  <c r="AF29" i="119"/>
  <c r="T29" i="119"/>
  <c r="V10" i="117"/>
  <c r="V29" i="114"/>
  <c r="AG18" i="119"/>
  <c r="T20" i="117"/>
  <c r="F16" i="117"/>
  <c r="AT13" i="119"/>
  <c r="BN9" i="119"/>
  <c r="F29" i="119"/>
  <c r="N28" i="119"/>
  <c r="AD13" i="114"/>
  <c r="T24" i="114"/>
  <c r="T5" i="50"/>
  <c r="R5" i="51" s="1"/>
  <c r="N3" i="52"/>
  <c r="F24" i="119"/>
  <c r="E24" i="119" s="1"/>
  <c r="BN32" i="119"/>
  <c r="AH33" i="117"/>
  <c r="AC6" i="1"/>
  <c r="AC6" i="3" s="1"/>
  <c r="AD5" i="114" s="1"/>
  <c r="P14" i="114"/>
  <c r="AP22" i="119"/>
  <c r="AB7" i="1"/>
  <c r="AB7" i="3" s="1"/>
  <c r="AB6" i="114" s="1"/>
  <c r="BM10" i="119"/>
  <c r="H30" i="117"/>
  <c r="P14" i="119"/>
  <c r="Q14" i="119" s="1"/>
  <c r="F26" i="119"/>
  <c r="S26" i="119" s="1"/>
  <c r="P11" i="117"/>
  <c r="C7" i="1"/>
  <c r="L24" i="114"/>
  <c r="N10" i="114"/>
  <c r="W25" i="119"/>
  <c r="Z24" i="114"/>
  <c r="D5" i="1"/>
  <c r="D5" i="3" s="1"/>
  <c r="J37" i="119"/>
  <c r="T12" i="114"/>
  <c r="L8" i="119"/>
  <c r="L11" i="114"/>
  <c r="T35" i="114"/>
  <c r="W16" i="119"/>
  <c r="G7" i="1"/>
  <c r="G7" i="3" s="1"/>
  <c r="AP32" i="119"/>
  <c r="BN25" i="119"/>
  <c r="M7" i="1"/>
  <c r="M7" i="3" s="1"/>
  <c r="F6" i="114" s="1"/>
  <c r="AX5" i="1"/>
  <c r="B5" i="52"/>
  <c r="K20" i="119"/>
  <c r="AD7" i="1"/>
  <c r="I17" i="119"/>
  <c r="Z32" i="114"/>
  <c r="AD38" i="119"/>
  <c r="AF12" i="119"/>
  <c r="AI37" i="119"/>
  <c r="AH10" i="114"/>
  <c r="BK7" i="1"/>
  <c r="P26" i="119"/>
  <c r="X39" i="117"/>
  <c r="BM5" i="119"/>
  <c r="R8" i="119"/>
  <c r="G6" i="119"/>
  <c r="M29" i="119"/>
  <c r="U5" i="50"/>
  <c r="S5" i="51" s="1"/>
  <c r="R9" i="114"/>
  <c r="W27" i="119"/>
  <c r="M36" i="119"/>
  <c r="CA7" i="1"/>
  <c r="AP36" i="119"/>
  <c r="BN27" i="119"/>
  <c r="BN17" i="119"/>
  <c r="J19" i="119"/>
  <c r="F5" i="50"/>
  <c r="F5" i="51" s="1"/>
  <c r="R6" i="119"/>
  <c r="X36" i="117"/>
  <c r="T16" i="119"/>
  <c r="G27" i="119"/>
  <c r="BF5" i="1"/>
  <c r="AH20" i="114"/>
  <c r="AB20" i="117"/>
  <c r="P6" i="1"/>
  <c r="P6" i="3" s="1"/>
  <c r="M23" i="119"/>
  <c r="AR8" i="119"/>
  <c r="AU5" i="1"/>
  <c r="BA5" i="50" s="1"/>
  <c r="BM23" i="119"/>
  <c r="R17" i="117"/>
  <c r="M21" i="119"/>
  <c r="BI5" i="119"/>
  <c r="F36" i="114"/>
  <c r="V28" i="114"/>
  <c r="BN15" i="119"/>
  <c r="AG10" i="119"/>
  <c r="X21" i="117"/>
  <c r="H21" i="119"/>
  <c r="W33" i="119"/>
  <c r="H28" i="119"/>
  <c r="BD26" i="119"/>
  <c r="N14" i="119"/>
  <c r="Z20" i="117"/>
  <c r="L25" i="114"/>
  <c r="N5" i="1"/>
  <c r="N5" i="3" s="1"/>
  <c r="Z28" i="117"/>
  <c r="AB26" i="117"/>
  <c r="N22" i="114"/>
  <c r="AV19" i="119"/>
  <c r="AP17" i="119"/>
  <c r="H14" i="119"/>
  <c r="AV7" i="119"/>
  <c r="D8" i="114"/>
  <c r="AD19" i="114"/>
  <c r="AH24" i="117"/>
  <c r="AV38" i="119"/>
  <c r="AH35" i="117"/>
  <c r="Q4" i="53"/>
  <c r="F35" i="114"/>
  <c r="L21" i="117"/>
  <c r="H9" i="119"/>
  <c r="P26" i="114"/>
  <c r="BN23" i="119"/>
  <c r="AU18" i="119"/>
  <c r="V38" i="114"/>
  <c r="AV13" i="119"/>
  <c r="BI21" i="119"/>
  <c r="I22" i="119"/>
  <c r="G28" i="119"/>
  <c r="L21" i="119"/>
  <c r="BD18" i="119"/>
  <c r="AV6" i="119"/>
  <c r="F16" i="119"/>
  <c r="G8" i="119"/>
  <c r="BM6" i="1"/>
  <c r="D23" i="114"/>
  <c r="AP21" i="119"/>
  <c r="T21" i="114"/>
  <c r="N19" i="119"/>
  <c r="BG5" i="119"/>
  <c r="N28" i="117"/>
  <c r="J33" i="119"/>
  <c r="R27" i="119"/>
  <c r="BD31" i="119"/>
  <c r="BM34" i="119"/>
  <c r="H11" i="117"/>
  <c r="P36" i="119"/>
  <c r="K3" i="52"/>
  <c r="AK5" i="1"/>
  <c r="G30" i="119"/>
  <c r="G26" i="119"/>
  <c r="V14" i="117"/>
  <c r="AI25" i="119"/>
  <c r="S7" i="50"/>
  <c r="Q7" i="51" s="1"/>
  <c r="AQ23" i="119"/>
  <c r="AI7" i="50"/>
  <c r="AF7" i="51" s="1"/>
  <c r="AD6" i="117" s="1"/>
  <c r="K7" i="50"/>
  <c r="J7" i="51" s="1"/>
  <c r="Z35" i="114"/>
  <c r="H26" i="117"/>
  <c r="BK10" i="119"/>
  <c r="H5" i="50"/>
  <c r="T33" i="117"/>
  <c r="BG19" i="119"/>
  <c r="N24" i="119"/>
  <c r="T14" i="117"/>
  <c r="C4" i="53"/>
  <c r="BG26" i="119"/>
  <c r="H23" i="114"/>
  <c r="AT31" i="119"/>
  <c r="W23" i="119"/>
  <c r="N11" i="114"/>
  <c r="G19" i="119"/>
  <c r="O19" i="119" s="1"/>
  <c r="BI36" i="119"/>
  <c r="L31" i="114"/>
  <c r="J13" i="114"/>
  <c r="M35" i="119"/>
  <c r="AB10" i="114"/>
  <c r="AP7" i="119"/>
  <c r="K16" i="119"/>
  <c r="AR12" i="119"/>
  <c r="V25" i="117"/>
  <c r="X31" i="117"/>
  <c r="I10" i="119"/>
  <c r="BM8" i="119"/>
  <c r="W28" i="119"/>
  <c r="AQ27" i="119"/>
  <c r="V20" i="114"/>
  <c r="AT15" i="119"/>
  <c r="BG6" i="1"/>
  <c r="R36" i="114"/>
  <c r="N8" i="114"/>
  <c r="AP26" i="119"/>
  <c r="V13" i="117"/>
  <c r="BJ7" i="1"/>
  <c r="BM19" i="119"/>
  <c r="AF11" i="119"/>
  <c r="R22" i="119"/>
  <c r="N9" i="119"/>
  <c r="D6" i="50"/>
  <c r="D6" i="51" s="1"/>
  <c r="F12" i="119"/>
  <c r="Q12" i="119" s="1"/>
  <c r="AT37" i="119"/>
  <c r="BD14" i="119"/>
  <c r="J7" i="50"/>
  <c r="I7" i="51" s="1"/>
  <c r="D6" i="117" s="1"/>
  <c r="V11" i="117"/>
  <c r="J10" i="114"/>
  <c r="AF31" i="119"/>
  <c r="AD5" i="119"/>
  <c r="AD4" i="119" s="1"/>
  <c r="R21" i="117"/>
  <c r="AB27" i="114"/>
  <c r="M15" i="119"/>
  <c r="J35" i="119"/>
  <c r="AP10" i="119"/>
  <c r="AG6" i="119"/>
  <c r="AT33" i="119"/>
  <c r="H7" i="50"/>
  <c r="AD24" i="114"/>
  <c r="L38" i="114"/>
  <c r="BG10" i="119"/>
  <c r="AG30" i="119"/>
  <c r="L21" i="114"/>
  <c r="L15" i="119"/>
  <c r="Z7" i="117"/>
  <c r="F5" i="119"/>
  <c r="Z9" i="114"/>
  <c r="AD30" i="119"/>
  <c r="AI16" i="119"/>
  <c r="R7" i="114"/>
  <c r="AI15" i="119"/>
  <c r="AQ33" i="119"/>
  <c r="BD25" i="119"/>
  <c r="AA33" i="119"/>
  <c r="F23" i="114"/>
  <c r="AB35" i="114"/>
  <c r="BW7" i="1"/>
  <c r="AH18" i="114"/>
  <c r="L27" i="114"/>
  <c r="M5" i="1"/>
  <c r="M5" i="3" s="1"/>
  <c r="F4" i="114" s="1"/>
  <c r="L31" i="119"/>
  <c r="D27" i="117"/>
  <c r="AV12" i="119"/>
  <c r="W12" i="119"/>
  <c r="L6" i="119"/>
  <c r="BK22" i="119"/>
  <c r="BI20" i="119"/>
  <c r="AU28" i="119"/>
  <c r="AT5" i="1"/>
  <c r="U7" i="1"/>
  <c r="U7" i="3" s="1"/>
  <c r="N6" i="114" s="1"/>
  <c r="AU27" i="119"/>
  <c r="H22" i="119"/>
  <c r="AQ28" i="119"/>
  <c r="BK37" i="119"/>
  <c r="H10" i="119"/>
  <c r="H25" i="114"/>
  <c r="BN12" i="119"/>
  <c r="BK38" i="119"/>
  <c r="AH34" i="117"/>
  <c r="AD32" i="119"/>
  <c r="AI9" i="119"/>
  <c r="BM24" i="119"/>
  <c r="V33" i="114"/>
  <c r="AC35" i="119"/>
  <c r="AC5" i="119"/>
  <c r="AC4" i="119" s="1"/>
  <c r="P29" i="114"/>
  <c r="G23" i="119"/>
  <c r="E23" i="119" s="1"/>
  <c r="G5" i="50"/>
  <c r="G5" i="51" s="1"/>
  <c r="K8" i="119"/>
  <c r="I5" i="119"/>
  <c r="M37" i="119"/>
  <c r="AP24" i="119"/>
  <c r="T26" i="114"/>
  <c r="BT7" i="1"/>
  <c r="M16" i="119"/>
  <c r="BI14" i="119"/>
  <c r="F29" i="114"/>
  <c r="J34" i="117"/>
  <c r="AH23" i="117"/>
  <c r="AT24" i="119"/>
  <c r="E5" i="50"/>
  <c r="E5" i="51" s="1"/>
  <c r="L12" i="117"/>
  <c r="P6" i="119"/>
  <c r="BJ5" i="1"/>
  <c r="F9" i="114"/>
  <c r="AF39" i="114"/>
  <c r="K26" i="119"/>
  <c r="P33" i="114"/>
  <c r="AD16" i="117"/>
  <c r="AD8" i="114"/>
  <c r="BI37" i="119"/>
  <c r="N19" i="117"/>
  <c r="I9" i="119"/>
  <c r="H6" i="119"/>
  <c r="AH27" i="114"/>
  <c r="P24" i="114"/>
  <c r="BF7" i="1"/>
  <c r="BI8" i="119"/>
  <c r="BG14" i="119"/>
  <c r="F18" i="119"/>
  <c r="P28" i="117"/>
  <c r="AU29" i="119"/>
  <c r="AB29" i="114"/>
  <c r="AQ6" i="50"/>
  <c r="AC33" i="119"/>
  <c r="Q7" i="50"/>
  <c r="O7" i="51" s="1"/>
  <c r="F6" i="117" s="1"/>
  <c r="BN28" i="119"/>
  <c r="I30" i="119"/>
  <c r="G22" i="119"/>
  <c r="BP6" i="1"/>
  <c r="I23" i="119"/>
  <c r="BK6" i="1"/>
  <c r="AT18" i="119"/>
  <c r="H33" i="119"/>
  <c r="BN35" i="119"/>
  <c r="W5" i="119"/>
  <c r="T5" i="119"/>
  <c r="AF7" i="119"/>
  <c r="L22" i="114"/>
  <c r="AU6" i="1"/>
  <c r="BA6" i="50" s="1"/>
  <c r="AA13" i="119"/>
  <c r="BI6" i="119"/>
  <c r="K19" i="119"/>
  <c r="F19" i="114"/>
  <c r="AD26" i="117"/>
  <c r="AA23" i="119"/>
  <c r="AE6" i="1"/>
  <c r="AE6" i="3" s="1"/>
  <c r="AH5" i="114" s="1"/>
  <c r="BI16" i="119"/>
  <c r="K29" i="119"/>
  <c r="M5" i="50"/>
  <c r="L5" i="51" s="1"/>
  <c r="Z11" i="114"/>
  <c r="P22" i="114"/>
  <c r="M32" i="119"/>
  <c r="BA7" i="1"/>
  <c r="T28" i="117"/>
  <c r="BM7" i="119"/>
  <c r="AD12" i="119"/>
  <c r="L37" i="119"/>
  <c r="L10" i="119"/>
  <c r="W10" i="119"/>
  <c r="T28" i="119"/>
  <c r="AU21" i="119"/>
  <c r="D17" i="114"/>
  <c r="R7" i="117"/>
  <c r="M27" i="119"/>
  <c r="W7" i="119"/>
  <c r="W4" i="119" s="1"/>
  <c r="W38" i="119"/>
  <c r="X38" i="119" s="1"/>
  <c r="P22" i="119"/>
  <c r="AT6" i="1"/>
  <c r="AD19" i="117"/>
  <c r="H35" i="119"/>
  <c r="BD11" i="119"/>
  <c r="M6" i="1"/>
  <c r="M6" i="3" s="1"/>
  <c r="F5" i="114" s="1"/>
  <c r="AT11" i="119"/>
  <c r="G14" i="119"/>
  <c r="AU20" i="119"/>
  <c r="T27" i="114"/>
  <c r="F14" i="119"/>
  <c r="V3" i="53"/>
  <c r="L25" i="119"/>
  <c r="AD18" i="114"/>
  <c r="U5" i="52"/>
  <c r="AD25" i="119"/>
  <c r="AC19" i="119"/>
  <c r="R14" i="117"/>
  <c r="T19" i="114"/>
  <c r="AA15" i="119"/>
  <c r="R6" i="1"/>
  <c r="R6" i="3" s="1"/>
  <c r="H5" i="114" s="1"/>
  <c r="AA27" i="119"/>
  <c r="P10" i="119"/>
  <c r="L16" i="119"/>
  <c r="BS5" i="1"/>
  <c r="AF22" i="119"/>
  <c r="W21" i="119"/>
  <c r="X21" i="119" s="1"/>
  <c r="AF33" i="119"/>
  <c r="J5" i="1"/>
  <c r="J5" i="3" s="1"/>
  <c r="AR22" i="119"/>
  <c r="T18" i="119"/>
  <c r="AH12" i="117"/>
  <c r="L18" i="119"/>
  <c r="X16" i="117"/>
  <c r="H36" i="117"/>
  <c r="BM5" i="1"/>
  <c r="J11" i="114"/>
  <c r="AD18" i="119"/>
  <c r="T16" i="114"/>
  <c r="AI19" i="119"/>
  <c r="AA18" i="119"/>
  <c r="E5" i="52"/>
  <c r="L28" i="119"/>
  <c r="J11" i="117"/>
  <c r="D21" i="117"/>
  <c r="H6" i="50"/>
  <c r="AF21" i="119"/>
  <c r="AA7" i="119"/>
  <c r="R15" i="119"/>
  <c r="BD22" i="119"/>
  <c r="N26" i="119"/>
  <c r="AS7" i="1"/>
  <c r="R25" i="119"/>
  <c r="K28" i="119"/>
  <c r="R30" i="114"/>
  <c r="P9" i="119"/>
  <c r="Q5" i="52"/>
  <c r="L24" i="119"/>
  <c r="N8" i="119"/>
  <c r="AD28" i="119"/>
  <c r="AA31" i="119"/>
  <c r="N8" i="117"/>
  <c r="AF37" i="119"/>
  <c r="M11" i="119"/>
  <c r="T13" i="119"/>
  <c r="V13" i="119" s="1"/>
  <c r="AH16" i="117"/>
  <c r="N27" i="117"/>
  <c r="BL5" i="1"/>
  <c r="AF38" i="114"/>
  <c r="L23" i="117"/>
  <c r="K6" i="119"/>
  <c r="D36" i="117"/>
  <c r="BD15" i="119"/>
  <c r="BH5" i="1"/>
  <c r="AH9" i="117"/>
  <c r="H12" i="114"/>
  <c r="AK6" i="1"/>
  <c r="T18" i="114"/>
  <c r="T18" i="117"/>
  <c r="F24" i="117"/>
  <c r="I21" i="119"/>
  <c r="L28" i="117"/>
  <c r="J20" i="114"/>
  <c r="L38" i="119"/>
  <c r="F32" i="114"/>
  <c r="E5" i="1"/>
  <c r="E5" i="3" s="1"/>
  <c r="BH7" i="1"/>
  <c r="M25" i="119"/>
  <c r="N3" i="53"/>
  <c r="AT19" i="119"/>
  <c r="AG12" i="119"/>
  <c r="AF6" i="119"/>
  <c r="Z36" i="114"/>
  <c r="P34" i="114"/>
  <c r="AU37" i="119"/>
  <c r="AU26" i="119"/>
  <c r="AQ20" i="119"/>
  <c r="G10" i="119"/>
  <c r="AI34" i="119"/>
  <c r="AA12" i="119"/>
  <c r="AA5" i="119"/>
  <c r="Y5" i="50"/>
  <c r="V5" i="51" s="1"/>
  <c r="J4" i="117" s="1"/>
  <c r="BI33" i="119"/>
  <c r="T14" i="114"/>
  <c r="R5" i="52"/>
  <c r="AV16" i="119"/>
  <c r="AD21" i="114"/>
  <c r="K21" i="119"/>
  <c r="I6" i="119"/>
  <c r="H17" i="119"/>
  <c r="AV21" i="119"/>
  <c r="T15" i="114"/>
  <c r="T15" i="119"/>
  <c r="N21" i="119"/>
  <c r="BI7" i="119"/>
  <c r="AH19" i="114"/>
  <c r="R8" i="117"/>
  <c r="P19" i="119"/>
  <c r="AC27" i="119"/>
  <c r="AP18" i="119"/>
  <c r="G31" i="119"/>
  <c r="BB5" i="1"/>
  <c r="P29" i="117"/>
  <c r="N17" i="119"/>
  <c r="AB16" i="117"/>
  <c r="N30" i="119"/>
  <c r="F6" i="50"/>
  <c r="F6" i="51" s="1"/>
  <c r="AP23" i="119"/>
  <c r="AP12" i="119"/>
  <c r="F12" i="117"/>
  <c r="AU15" i="119"/>
  <c r="AB15" i="114"/>
  <c r="T8" i="119"/>
  <c r="V8" i="119" s="1"/>
  <c r="K18" i="119"/>
  <c r="X23" i="117"/>
  <c r="N31" i="117"/>
  <c r="U4" i="53"/>
  <c r="BD37" i="119"/>
  <c r="AU23" i="119"/>
  <c r="P34" i="117"/>
  <c r="D10" i="114"/>
  <c r="AU34" i="119"/>
  <c r="K7" i="119"/>
  <c r="K4" i="119" s="1"/>
  <c r="AH32" i="117"/>
  <c r="N7" i="114"/>
  <c r="P31" i="114"/>
  <c r="CC7" i="1"/>
  <c r="N7" i="1"/>
  <c r="N7" i="3" s="1"/>
  <c r="AF35" i="119"/>
  <c r="U5" i="1"/>
  <c r="U5" i="3" s="1"/>
  <c r="N4" i="114" s="1"/>
  <c r="AC13" i="119"/>
  <c r="BK19" i="119"/>
  <c r="W13" i="119"/>
  <c r="X13" i="119" s="1"/>
  <c r="P5" i="1"/>
  <c r="P5" i="3" s="1"/>
  <c r="F11" i="114"/>
  <c r="AR29" i="119"/>
  <c r="L23" i="119"/>
  <c r="AU35" i="119"/>
  <c r="CC6" i="1"/>
  <c r="L25" i="117"/>
  <c r="F14" i="114"/>
  <c r="AD27" i="117"/>
  <c r="AD14" i="117"/>
  <c r="R20" i="114"/>
  <c r="J27" i="119"/>
  <c r="R32" i="119"/>
  <c r="T22" i="114"/>
  <c r="V22" i="117"/>
  <c r="Z5" i="50"/>
  <c r="W5" i="51" s="1"/>
  <c r="L4" i="117" s="1"/>
  <c r="AG23" i="119"/>
  <c r="BN6" i="1"/>
  <c r="BF6" i="1"/>
  <c r="AC6" i="119"/>
  <c r="L17" i="114"/>
  <c r="Q5" i="1"/>
  <c r="Q5" i="3" s="1"/>
  <c r="R6" i="50"/>
  <c r="P6" i="51" s="1"/>
  <c r="BG16" i="119"/>
  <c r="K33" i="119"/>
  <c r="T4" i="52"/>
  <c r="BK12" i="119"/>
  <c r="J29" i="119"/>
  <c r="R10" i="117"/>
  <c r="O6" i="50"/>
  <c r="AC10" i="119"/>
  <c r="AV18" i="119"/>
  <c r="AF32" i="119"/>
  <c r="H34" i="114"/>
  <c r="AB5" i="1"/>
  <c r="AB5" i="3" s="1"/>
  <c r="AB4" i="114" s="1"/>
  <c r="AH11" i="114"/>
  <c r="AR28" i="119"/>
  <c r="BM18" i="119"/>
  <c r="AH35" i="114"/>
  <c r="R13" i="119"/>
  <c r="S13" i="119" s="1"/>
  <c r="BB6" i="1"/>
  <c r="F5" i="1"/>
  <c r="F5" i="3" s="1"/>
  <c r="M13" i="119"/>
  <c r="J28" i="119"/>
  <c r="V25" i="114"/>
  <c r="F10" i="117"/>
  <c r="H12" i="119"/>
  <c r="BG29" i="119"/>
  <c r="AQ35" i="119"/>
  <c r="AV10" i="119"/>
  <c r="AA6" i="119"/>
  <c r="AD21" i="119"/>
  <c r="P28" i="119"/>
  <c r="L20" i="119"/>
  <c r="AC24" i="119"/>
  <c r="M30" i="119"/>
  <c r="V8" i="114"/>
  <c r="BC6" i="50"/>
  <c r="I12" i="119"/>
  <c r="H7" i="119"/>
  <c r="D7" i="1"/>
  <c r="D7" i="3" s="1"/>
  <c r="AR15" i="119"/>
  <c r="AD17" i="114"/>
  <c r="X18" i="117"/>
  <c r="AF28" i="119"/>
  <c r="L19" i="119"/>
  <c r="L36" i="119"/>
  <c r="F27" i="119"/>
  <c r="T8" i="114"/>
  <c r="R3" i="52"/>
  <c r="H10" i="114"/>
  <c r="AT20" i="119"/>
  <c r="AH23" i="114"/>
  <c r="AT35" i="119"/>
  <c r="AF34" i="119"/>
  <c r="AD24" i="117"/>
  <c r="N9" i="114"/>
  <c r="K36" i="119"/>
  <c r="AD33" i="119"/>
  <c r="F21" i="117"/>
  <c r="AB17" i="117"/>
  <c r="T29" i="117"/>
  <c r="AZ6" i="1"/>
  <c r="AG20" i="119"/>
  <c r="Z21" i="114"/>
  <c r="AU7" i="1"/>
  <c r="BA7" i="50" s="1"/>
  <c r="H13" i="114"/>
  <c r="W5" i="1"/>
  <c r="W5" i="3" s="1"/>
  <c r="R4" i="114" s="1"/>
  <c r="P13" i="119"/>
  <c r="Q13" i="119" s="1"/>
  <c r="N6" i="50"/>
  <c r="M6" i="51" s="1"/>
  <c r="I25" i="119"/>
  <c r="P33" i="117"/>
  <c r="P21" i="119"/>
  <c r="Q21" i="119" s="1"/>
  <c r="T14" i="119"/>
  <c r="G21" i="119"/>
  <c r="AR32" i="119"/>
  <c r="AA28" i="119"/>
  <c r="CC5" i="1"/>
  <c r="BE7" i="1"/>
  <c r="J25" i="119"/>
  <c r="N25" i="114"/>
  <c r="BK11" i="119"/>
  <c r="AF16" i="119"/>
  <c r="BG27" i="119"/>
  <c r="T26" i="119"/>
  <c r="R29" i="117"/>
  <c r="AI8" i="119"/>
  <c r="D19" i="114"/>
  <c r="I35" i="119"/>
  <c r="L12" i="114"/>
  <c r="BK29" i="119"/>
  <c r="V24" i="117"/>
  <c r="R17" i="114"/>
  <c r="P32" i="114"/>
  <c r="P33" i="119"/>
  <c r="V22" i="114"/>
  <c r="S6" i="1"/>
  <c r="S6" i="3" s="1"/>
  <c r="J5" i="114" s="1"/>
  <c r="O7" i="1"/>
  <c r="O7" i="3" s="1"/>
  <c r="AI23" i="119"/>
  <c r="K5" i="50"/>
  <c r="J5" i="51" s="1"/>
  <c r="BQ6" i="1"/>
  <c r="AP11" i="119"/>
  <c r="F10" i="114"/>
  <c r="F24" i="114"/>
  <c r="Z19" i="114"/>
  <c r="AH20" i="117"/>
  <c r="X27" i="117"/>
  <c r="AV20" i="119"/>
  <c r="H31" i="114"/>
  <c r="M7" i="119"/>
  <c r="AP35" i="119"/>
  <c r="R5" i="119"/>
  <c r="BN7" i="119"/>
  <c r="J19" i="117"/>
  <c r="V34" i="117"/>
  <c r="R26" i="114"/>
  <c r="H7" i="1"/>
  <c r="H7" i="3" s="1"/>
  <c r="D6" i="114" s="1"/>
  <c r="BM28" i="119"/>
  <c r="J23" i="114"/>
  <c r="BK34" i="119"/>
  <c r="G35" i="119"/>
  <c r="O35" i="119" s="1"/>
  <c r="AQ5" i="119"/>
  <c r="D9" i="114"/>
  <c r="BD29" i="119"/>
  <c r="T27" i="117"/>
  <c r="L13" i="117"/>
  <c r="Z19" i="117"/>
  <c r="R18" i="114"/>
  <c r="AE5" i="50"/>
  <c r="AB5" i="51" s="1"/>
  <c r="V4" i="117" s="1"/>
  <c r="I4" i="53"/>
  <c r="G15" i="119"/>
  <c r="J26" i="117"/>
  <c r="G18" i="119"/>
  <c r="P15" i="114"/>
  <c r="AJ6" i="50"/>
  <c r="AG6" i="51" s="1"/>
  <c r="AF5" i="117" s="1"/>
  <c r="P18" i="119"/>
  <c r="AB22" i="114"/>
  <c r="J18" i="119"/>
  <c r="AU10" i="119"/>
  <c r="BI24" i="119"/>
  <c r="BK32" i="119"/>
  <c r="AD34" i="114"/>
  <c r="Z10" i="114"/>
  <c r="AF14" i="119"/>
  <c r="AF18" i="119"/>
  <c r="AD14" i="114"/>
  <c r="AY6" i="50"/>
  <c r="AQ31" i="119"/>
  <c r="BN11" i="119"/>
  <c r="AF13" i="119"/>
  <c r="BB7" i="1"/>
  <c r="BW5" i="1"/>
  <c r="AG9" i="119"/>
  <c r="F32" i="119"/>
  <c r="BK27" i="119"/>
  <c r="AC23" i="119"/>
  <c r="J20" i="117"/>
  <c r="K9" i="119"/>
  <c r="AG17" i="119"/>
  <c r="K14" i="119"/>
  <c r="AB28" i="117"/>
  <c r="AG16" i="119"/>
  <c r="AI29" i="119"/>
  <c r="J30" i="114"/>
  <c r="N16" i="114"/>
  <c r="N29" i="114"/>
  <c r="R13" i="117"/>
  <c r="Z27" i="117"/>
  <c r="AF38" i="117"/>
  <c r="BK30" i="119"/>
  <c r="E4" i="52"/>
  <c r="N23" i="114"/>
  <c r="AV31" i="119"/>
  <c r="AR21" i="119"/>
  <c r="J6" i="119"/>
  <c r="AG27" i="119"/>
  <c r="AP29" i="119"/>
  <c r="T13" i="117"/>
  <c r="AD28" i="117"/>
  <c r="AH22" i="114"/>
  <c r="D27" i="114"/>
  <c r="W6" i="119"/>
  <c r="AD23" i="114"/>
  <c r="AG7" i="119"/>
  <c r="AP9" i="119"/>
  <c r="AQ8" i="119"/>
  <c r="AG5" i="50"/>
  <c r="AD5" i="51" s="1"/>
  <c r="Z4" i="117" s="1"/>
  <c r="L8" i="114"/>
  <c r="AT10" i="119"/>
  <c r="R11" i="114"/>
  <c r="AB18" i="114"/>
  <c r="R8" i="114"/>
  <c r="V18" i="117"/>
  <c r="AQ10" i="119"/>
  <c r="BK14" i="119"/>
  <c r="AU31" i="119"/>
  <c r="BD33" i="119"/>
  <c r="BN8" i="119"/>
  <c r="AG24" i="119"/>
  <c r="AR24" i="119"/>
  <c r="W22" i="119"/>
  <c r="N10" i="119"/>
  <c r="J7" i="119"/>
  <c r="AV5" i="119"/>
  <c r="AD24" i="119"/>
  <c r="X35" i="117"/>
  <c r="N7" i="50"/>
  <c r="M7" i="51" s="1"/>
  <c r="F20" i="117"/>
  <c r="AA14" i="119"/>
  <c r="AD22" i="119"/>
  <c r="K5" i="53"/>
  <c r="L33" i="117"/>
  <c r="Z30" i="117"/>
  <c r="Q6" i="50"/>
  <c r="O6" i="51" s="1"/>
  <c r="F5" i="117" s="1"/>
  <c r="BN13" i="119"/>
  <c r="AB23" i="114"/>
  <c r="AD6" i="119"/>
  <c r="D13" i="114"/>
  <c r="L13" i="119"/>
  <c r="R19" i="119"/>
  <c r="S19" i="119" s="1"/>
  <c r="H26" i="114"/>
  <c r="G13" i="119"/>
  <c r="AD34" i="119"/>
  <c r="AH6" i="1"/>
  <c r="AH7" i="1"/>
  <c r="AI7" i="1" s="1"/>
  <c r="AQ24" i="119"/>
  <c r="H5" i="1"/>
  <c r="H5" i="3" s="1"/>
  <c r="D4" i="114" s="1"/>
  <c r="N22" i="117"/>
  <c r="AI11" i="119"/>
  <c r="Z9" i="117"/>
  <c r="K12" i="119"/>
  <c r="AI22" i="119"/>
  <c r="J36" i="114"/>
  <c r="BM7" i="1"/>
  <c r="AI35" i="119"/>
  <c r="I5" i="1"/>
  <c r="I5" i="3" s="1"/>
  <c r="AG37" i="119"/>
  <c r="BI13" i="119"/>
  <c r="AP25" i="119"/>
  <c r="G11" i="119"/>
  <c r="BO7" i="1"/>
  <c r="AD26" i="119"/>
  <c r="H12" i="117"/>
  <c r="P15" i="119"/>
  <c r="Q15" i="119" s="1"/>
  <c r="D14" i="114"/>
  <c r="BX6" i="1"/>
  <c r="D4" i="53"/>
  <c r="H15" i="114"/>
  <c r="AG5" i="119"/>
  <c r="F25" i="114"/>
  <c r="AK7" i="1"/>
  <c r="AL7" i="1" s="1"/>
  <c r="AC21" i="119"/>
  <c r="R21" i="114"/>
  <c r="AF24" i="119"/>
  <c r="BN37" i="119"/>
  <c r="W26" i="119"/>
  <c r="N20" i="114"/>
  <c r="AA37" i="119"/>
  <c r="K23" i="119"/>
  <c r="Z35" i="117"/>
  <c r="T15" i="117"/>
  <c r="T7" i="1"/>
  <c r="T7" i="3" s="1"/>
  <c r="L6" i="114" s="1"/>
  <c r="AH25" i="114"/>
  <c r="N29" i="119"/>
  <c r="AV35" i="119"/>
  <c r="CD7" i="1"/>
  <c r="I28" i="119"/>
  <c r="M14" i="119"/>
  <c r="P29" i="119"/>
  <c r="BG31" i="119"/>
  <c r="R27" i="117"/>
  <c r="N34" i="119"/>
  <c r="F28" i="114"/>
  <c r="P10" i="114"/>
  <c r="M17" i="119"/>
  <c r="H15" i="119"/>
  <c r="S7" i="1"/>
  <c r="S7" i="3" s="1"/>
  <c r="J6" i="114" s="1"/>
  <c r="BN30" i="119"/>
  <c r="AD20" i="114"/>
  <c r="R11" i="117"/>
  <c r="T11" i="114"/>
  <c r="L19" i="117"/>
  <c r="AI18" i="119"/>
  <c r="AU25" i="119"/>
  <c r="I36" i="119"/>
  <c r="AB33" i="114"/>
  <c r="P16" i="119"/>
  <c r="AB9" i="117"/>
  <c r="F18" i="114"/>
  <c r="BJ6" i="1"/>
  <c r="AH12" i="114"/>
  <c r="N13" i="114"/>
  <c r="N36" i="119"/>
  <c r="N27" i="119"/>
  <c r="AH33" i="114"/>
  <c r="AD20" i="117"/>
  <c r="AD11" i="119"/>
  <c r="D20" i="117"/>
  <c r="BA5" i="1"/>
  <c r="AC5" i="1"/>
  <c r="AC5" i="3" s="1"/>
  <c r="AD4" i="114" s="1"/>
  <c r="B4" i="53"/>
  <c r="D22" i="117"/>
  <c r="AT23" i="119"/>
  <c r="W15" i="119"/>
  <c r="S5" i="52"/>
  <c r="Z14" i="114"/>
  <c r="W6" i="1"/>
  <c r="W6" i="3" s="1"/>
  <c r="R5" i="114" s="1"/>
  <c r="BN16" i="119"/>
  <c r="N19" i="114"/>
  <c r="R23" i="114"/>
  <c r="BO6" i="1"/>
  <c r="AB12" i="114"/>
  <c r="AR25" i="119"/>
  <c r="K4" i="52"/>
  <c r="AI6" i="50"/>
  <c r="AF6" i="51" s="1"/>
  <c r="AD5" i="117" s="1"/>
  <c r="AD25" i="114"/>
  <c r="AG13" i="119"/>
  <c r="T30" i="119"/>
  <c r="AB9" i="114"/>
  <c r="I27" i="119"/>
  <c r="F30" i="119"/>
  <c r="BC30" i="119" s="1"/>
  <c r="T25" i="119"/>
  <c r="V10" i="114"/>
  <c r="T10" i="117"/>
  <c r="X11" i="117"/>
  <c r="Z18" i="114"/>
  <c r="AV15" i="119"/>
  <c r="V5" i="1"/>
  <c r="V5" i="3" s="1"/>
  <c r="P4" i="114" s="1"/>
  <c r="BN29" i="119"/>
  <c r="AB14" i="114"/>
  <c r="AA17" i="119"/>
  <c r="H26" i="119"/>
  <c r="AC7" i="119"/>
  <c r="N13" i="119"/>
  <c r="T17" i="114"/>
  <c r="J20" i="119"/>
  <c r="L29" i="119"/>
  <c r="BD9" i="119"/>
  <c r="Z24" i="117"/>
  <c r="BM12" i="119"/>
  <c r="H30" i="114"/>
  <c r="I7" i="1"/>
  <c r="I7" i="3" s="1"/>
  <c r="AV36" i="119"/>
  <c r="J14" i="119"/>
  <c r="H14" i="117"/>
  <c r="T35" i="117"/>
  <c r="F20" i="119"/>
  <c r="Z20" i="114"/>
  <c r="AT6" i="119"/>
  <c r="N21" i="114"/>
  <c r="J13" i="117"/>
  <c r="V18" i="114"/>
  <c r="T25" i="117"/>
  <c r="V11" i="114"/>
  <c r="F31" i="114"/>
  <c r="T37" i="119"/>
  <c r="V37" i="119" s="1"/>
  <c r="L7" i="119"/>
  <c r="Y5" i="1"/>
  <c r="Y5" i="3" s="1"/>
  <c r="V4" i="114" s="1"/>
  <c r="AU38" i="119"/>
  <c r="AI36" i="119"/>
  <c r="T10" i="114"/>
  <c r="T20" i="119"/>
  <c r="AU14" i="119"/>
  <c r="BD20" i="119"/>
  <c r="Z16" i="117"/>
  <c r="C5" i="52"/>
  <c r="AQ30" i="119"/>
  <c r="AD27" i="114"/>
  <c r="N32" i="119"/>
  <c r="K27" i="119"/>
  <c r="H36" i="114"/>
  <c r="X20" i="117"/>
  <c r="R29" i="114"/>
  <c r="D31" i="117"/>
  <c r="X5" i="50"/>
  <c r="U5" i="51" s="1"/>
  <c r="H4" i="117" s="1"/>
  <c r="R36" i="119"/>
  <c r="J34" i="114"/>
  <c r="Z22" i="114"/>
  <c r="AQ22" i="119"/>
  <c r="AA7" i="1"/>
  <c r="AA7" i="3" s="1"/>
  <c r="Z6" i="114" s="1"/>
  <c r="BI30" i="119"/>
  <c r="AD13" i="117"/>
  <c r="AT26" i="119"/>
  <c r="AJ7" i="50"/>
  <c r="AH5" i="1"/>
  <c r="AJ5" i="1" s="1"/>
  <c r="R27" i="114"/>
  <c r="F22" i="119"/>
  <c r="V22" i="119" s="1"/>
  <c r="AC12" i="119"/>
  <c r="AB18" i="117"/>
  <c r="D25" i="117"/>
  <c r="N37" i="119"/>
  <c r="AA10" i="119"/>
  <c r="BD24" i="119"/>
  <c r="AU9" i="119"/>
  <c r="T30" i="114"/>
  <c r="AH17" i="114"/>
  <c r="BK23" i="119"/>
  <c r="L14" i="119"/>
  <c r="AV30" i="119"/>
  <c r="J6" i="50"/>
  <c r="I6" i="51" s="1"/>
  <c r="D5" i="117" s="1"/>
  <c r="BC7" i="1"/>
  <c r="T22" i="117"/>
  <c r="I3" i="52"/>
  <c r="N25" i="119"/>
  <c r="P26" i="117"/>
  <c r="AI7" i="119"/>
  <c r="F33" i="114"/>
  <c r="P23" i="119"/>
  <c r="Q23" i="119" s="1"/>
  <c r="Y6" i="50"/>
  <c r="V6" i="51" s="1"/>
  <c r="J5" i="117" s="1"/>
  <c r="BG12" i="119"/>
  <c r="AB19" i="117"/>
  <c r="N23" i="119"/>
  <c r="AD17" i="117"/>
  <c r="G20" i="119"/>
  <c r="V17" i="114"/>
  <c r="AC36" i="119"/>
  <c r="I26" i="119"/>
  <c r="BK13" i="119"/>
  <c r="L3" i="53"/>
  <c r="E4" i="53"/>
  <c r="P18" i="117"/>
  <c r="AR37" i="119"/>
  <c r="AZ7" i="50"/>
  <c r="BN14" i="119"/>
  <c r="L22" i="119"/>
  <c r="AQ14" i="119"/>
  <c r="F3" i="52"/>
  <c r="L4" i="53"/>
  <c r="BA6" i="1"/>
  <c r="AB30" i="114"/>
  <c r="M12" i="119"/>
  <c r="P20" i="117"/>
  <c r="F6" i="1"/>
  <c r="F6" i="3" s="1"/>
  <c r="M22" i="119"/>
  <c r="AB21" i="114"/>
  <c r="D7" i="50"/>
  <c r="D7" i="51" s="1"/>
  <c r="AB8" i="114"/>
  <c r="BG17" i="119"/>
  <c r="Z33" i="114"/>
  <c r="AQ18" i="119"/>
  <c r="R7" i="50"/>
  <c r="P7" i="51" s="1"/>
  <c r="AH28" i="117"/>
  <c r="Z6" i="1"/>
  <c r="Z6" i="3" s="1"/>
  <c r="X5" i="114" s="1"/>
  <c r="T12" i="117"/>
  <c r="E6" i="1"/>
  <c r="E6" i="3" s="1"/>
  <c r="F7" i="50"/>
  <c r="F7" i="51" s="1"/>
  <c r="N33" i="119"/>
  <c r="M4" i="52"/>
  <c r="AD22" i="114"/>
  <c r="P11" i="119"/>
  <c r="Q11" i="119" s="1"/>
  <c r="V17" i="117"/>
  <c r="Z10" i="117"/>
  <c r="AG22" i="119"/>
  <c r="N35" i="119"/>
  <c r="AF26" i="119"/>
  <c r="H16" i="117"/>
  <c r="N38" i="114"/>
  <c r="J17" i="114"/>
  <c r="AC30" i="119"/>
  <c r="AA16" i="119"/>
  <c r="O5" i="50"/>
  <c r="R18" i="119"/>
  <c r="AC18" i="119"/>
  <c r="AP30" i="119"/>
  <c r="AR19" i="119"/>
  <c r="AT14" i="119"/>
  <c r="L15" i="114"/>
  <c r="R32" i="117"/>
  <c r="L15" i="117"/>
  <c r="X14" i="117"/>
  <c r="AA20" i="119"/>
  <c r="AU11" i="119"/>
  <c r="J21" i="117"/>
  <c r="AI12" i="119"/>
  <c r="H15" i="117"/>
  <c r="AI38" i="119"/>
  <c r="BN19" i="119"/>
  <c r="P5" i="52"/>
  <c r="T8" i="117"/>
  <c r="E7" i="50"/>
  <c r="E7" i="51" s="1"/>
  <c r="AB23" i="117"/>
  <c r="AD28" i="114"/>
  <c r="Z11" i="117"/>
  <c r="AV29" i="119"/>
  <c r="F33" i="119"/>
  <c r="BC33" i="119" s="1"/>
  <c r="BW6" i="1"/>
  <c r="N25" i="117"/>
  <c r="BM22" i="119"/>
  <c r="H27" i="119"/>
  <c r="AT7" i="1"/>
  <c r="AD7" i="50"/>
  <c r="AA7" i="51" s="1"/>
  <c r="T6" i="117" s="1"/>
  <c r="AD19" i="119"/>
  <c r="AC32" i="119"/>
  <c r="N17" i="114"/>
  <c r="H22" i="114"/>
  <c r="Z7" i="1"/>
  <c r="Z7" i="3" s="1"/>
  <c r="X6" i="114" s="1"/>
  <c r="AP37" i="119"/>
  <c r="BM30" i="119"/>
  <c r="H16" i="119"/>
  <c r="J31" i="119"/>
  <c r="N36" i="117"/>
  <c r="AD36" i="119"/>
  <c r="AD12" i="117"/>
  <c r="N38" i="119"/>
  <c r="V27" i="117"/>
  <c r="H25" i="117"/>
  <c r="BN20" i="119"/>
  <c r="AQ34" i="119"/>
  <c r="BG34" i="119"/>
  <c r="AH29" i="114"/>
  <c r="R15" i="117"/>
  <c r="H19" i="117"/>
  <c r="D6" i="1"/>
  <c r="D6" i="3" s="1"/>
  <c r="BK24" i="119"/>
  <c r="Z23" i="114"/>
  <c r="D11" i="117"/>
  <c r="Z7" i="50"/>
  <c r="W7" i="51" s="1"/>
  <c r="L6" i="117" s="1"/>
  <c r="T6" i="50"/>
  <c r="R6" i="51" s="1"/>
  <c r="N5" i="53"/>
  <c r="BC5" i="50"/>
  <c r="BK28" i="119"/>
  <c r="M24" i="119"/>
  <c r="R24" i="117"/>
  <c r="M7" i="50"/>
  <c r="L7" i="51" s="1"/>
  <c r="T7" i="50"/>
  <c r="R7" i="51" s="1"/>
  <c r="BT6" i="1"/>
  <c r="AD17" i="119"/>
  <c r="R22" i="117"/>
  <c r="D5" i="52"/>
  <c r="F31" i="119"/>
  <c r="E31" i="119" s="1"/>
  <c r="T19" i="117"/>
  <c r="Z23" i="117"/>
  <c r="BH6" i="1"/>
  <c r="J22" i="119"/>
  <c r="BK33" i="119"/>
  <c r="R35" i="117"/>
  <c r="R28" i="117"/>
  <c r="BG33" i="119"/>
  <c r="AP13" i="119"/>
  <c r="AF26" i="114"/>
  <c r="BP7" i="1"/>
  <c r="L27" i="117"/>
  <c r="BD6" i="50"/>
  <c r="AY7" i="50"/>
  <c r="AQ6" i="119"/>
  <c r="C6" i="50"/>
  <c r="I6" i="50" s="1"/>
  <c r="H6" i="51" s="1"/>
  <c r="AQ32" i="119"/>
  <c r="BI26" i="119"/>
  <c r="P25" i="119"/>
  <c r="J8" i="119"/>
  <c r="AK5" i="50"/>
  <c r="AH5" i="51" s="1"/>
  <c r="AH4" i="117" s="1"/>
  <c r="N11" i="119"/>
  <c r="AD6" i="1"/>
  <c r="AD6" i="3" s="1"/>
  <c r="AF5" i="114" s="1"/>
  <c r="D20" i="114"/>
  <c r="BK21" i="119"/>
  <c r="AU30" i="119"/>
  <c r="BI29" i="119"/>
  <c r="J32" i="119"/>
  <c r="BG18" i="119"/>
  <c r="AC7" i="50"/>
  <c r="Z7" i="51" s="1"/>
  <c r="R6" i="117" s="1"/>
  <c r="BG22" i="119"/>
  <c r="AD32" i="117"/>
  <c r="P31" i="117"/>
  <c r="N24" i="114"/>
  <c r="AH9" i="114"/>
  <c r="U6" i="1"/>
  <c r="U6" i="3" s="1"/>
  <c r="N5" i="114" s="1"/>
  <c r="AB32" i="117"/>
  <c r="F34" i="117"/>
  <c r="BD23" i="119"/>
  <c r="H17" i="114"/>
  <c r="T34" i="114"/>
  <c r="V16" i="114"/>
  <c r="H24" i="114"/>
  <c r="F27" i="117"/>
  <c r="AH13" i="114"/>
  <c r="AB10" i="117"/>
  <c r="P10" i="117"/>
  <c r="M33" i="119"/>
  <c r="L20" i="117"/>
  <c r="T28" i="114"/>
  <c r="AD35" i="117"/>
  <c r="P30" i="119"/>
  <c r="V20" i="117"/>
  <c r="AD16" i="119"/>
  <c r="AV27" i="119"/>
  <c r="F13" i="114"/>
  <c r="AH30" i="117"/>
  <c r="F28" i="117"/>
  <c r="L29" i="114"/>
  <c r="M18" i="119"/>
  <c r="R23" i="119"/>
  <c r="S23" i="119" s="1"/>
  <c r="I5" i="52"/>
  <c r="F14" i="117"/>
  <c r="AB11" i="117"/>
  <c r="V5" i="50"/>
  <c r="L28" i="114"/>
  <c r="K15" i="119"/>
  <c r="J16" i="114"/>
  <c r="AU13" i="119"/>
  <c r="K25" i="119"/>
  <c r="F19" i="117"/>
  <c r="J7" i="1"/>
  <c r="J7" i="3" s="1"/>
  <c r="L26" i="117"/>
  <c r="BK18" i="119"/>
  <c r="K3" i="53"/>
  <c r="V6" i="1"/>
  <c r="V6" i="3" s="1"/>
  <c r="P5" i="114" s="1"/>
  <c r="AV26" i="119"/>
  <c r="P17" i="114"/>
  <c r="N18" i="114"/>
  <c r="O18" i="114" s="1"/>
  <c r="K34" i="119"/>
  <c r="AQ13" i="119"/>
  <c r="P19" i="114"/>
  <c r="W35" i="119"/>
  <c r="BU7" i="1"/>
  <c r="T34" i="117"/>
  <c r="BD12" i="119"/>
  <c r="CA6" i="1"/>
  <c r="N30" i="114"/>
  <c r="AD10" i="114"/>
  <c r="D36" i="114"/>
  <c r="F35" i="117"/>
  <c r="AD5" i="1"/>
  <c r="P23" i="114"/>
  <c r="W29" i="119"/>
  <c r="Z25" i="117"/>
  <c r="D24" i="117"/>
  <c r="P24" i="117"/>
  <c r="J38" i="119"/>
  <c r="T32" i="117"/>
  <c r="T29" i="114"/>
  <c r="AH15" i="114"/>
  <c r="P30" i="117"/>
  <c r="Z18" i="117"/>
  <c r="Z25" i="114"/>
  <c r="AW6" i="1"/>
  <c r="O5" i="1"/>
  <c r="O5" i="3" s="1"/>
  <c r="AN7" i="50"/>
  <c r="R33" i="119"/>
  <c r="AI17" i="119"/>
  <c r="J19" i="114"/>
  <c r="BI12" i="119"/>
  <c r="J36" i="119"/>
  <c r="BQ5" i="1"/>
  <c r="AQ36" i="119"/>
  <c r="H6" i="1"/>
  <c r="H6" i="3" s="1"/>
  <c r="D5" i="114" s="1"/>
  <c r="G7" i="119"/>
  <c r="V29" i="117"/>
  <c r="AF32" i="117"/>
  <c r="V3" i="52"/>
  <c r="R29" i="119"/>
  <c r="R34" i="114"/>
  <c r="BI28" i="119"/>
  <c r="L18" i="117"/>
  <c r="V28" i="117"/>
  <c r="AD31" i="119"/>
  <c r="K30" i="119"/>
  <c r="L33" i="119"/>
  <c r="H32" i="119"/>
  <c r="J35" i="114"/>
  <c r="Y6" i="1"/>
  <c r="Y6" i="3" s="1"/>
  <c r="V5" i="114" s="1"/>
  <c r="U4" i="52"/>
  <c r="BG28" i="119"/>
  <c r="AA30" i="119"/>
  <c r="BN34" i="119"/>
  <c r="K17" i="119"/>
  <c r="H33" i="114"/>
  <c r="Z27" i="114"/>
  <c r="L23" i="114"/>
  <c r="K38" i="119"/>
  <c r="AD9" i="117"/>
  <c r="X13" i="117"/>
  <c r="BR7" i="1"/>
  <c r="V30" i="117"/>
  <c r="AE5" i="1"/>
  <c r="AE5" i="3" s="1"/>
  <c r="AH4" i="114" s="1"/>
  <c r="C7" i="50"/>
  <c r="J3" i="52"/>
  <c r="BM13" i="119"/>
  <c r="P16" i="114"/>
  <c r="T5" i="53"/>
  <c r="H9" i="117"/>
  <c r="D16" i="114"/>
  <c r="X7" i="50"/>
  <c r="U7" i="51" s="1"/>
  <c r="H6" i="117" s="1"/>
  <c r="N31" i="114"/>
  <c r="H27" i="117"/>
  <c r="AI28" i="119"/>
  <c r="H22" i="117"/>
  <c r="BG38" i="119"/>
  <c r="T36" i="119"/>
  <c r="AD36" i="117"/>
  <c r="F35" i="119"/>
  <c r="Q35" i="119" s="1"/>
  <c r="T16" i="117"/>
  <c r="AC17" i="119"/>
  <c r="J22" i="117"/>
  <c r="AV32" i="119"/>
  <c r="N33" i="114"/>
  <c r="T34" i="119"/>
  <c r="V34" i="119" s="1"/>
  <c r="H32" i="114"/>
  <c r="W36" i="119"/>
  <c r="J12" i="114"/>
  <c r="Z31" i="114"/>
  <c r="D5" i="53"/>
  <c r="S6" i="50"/>
  <c r="Q6" i="51" s="1"/>
  <c r="AR14" i="119"/>
  <c r="F31" i="117"/>
  <c r="AD11" i="117"/>
  <c r="J9" i="114"/>
  <c r="T20" i="114"/>
  <c r="L33" i="114"/>
  <c r="AQ7" i="50"/>
  <c r="AC11" i="119"/>
  <c r="D12" i="117"/>
  <c r="AQ11" i="119"/>
  <c r="AF10" i="119"/>
  <c r="T5" i="52"/>
  <c r="BI34" i="119"/>
  <c r="C3" i="52"/>
  <c r="J31" i="114"/>
  <c r="C5" i="50"/>
  <c r="C5" i="51" s="1"/>
  <c r="B4" i="117" s="1"/>
  <c r="AP28" i="119"/>
  <c r="X9" i="117"/>
  <c r="R22" i="114"/>
  <c r="X28" i="117"/>
  <c r="BG8" i="119"/>
  <c r="X6" i="1"/>
  <c r="X6" i="3" s="1"/>
  <c r="T5" i="114" s="1"/>
  <c r="H35" i="114"/>
  <c r="Z16" i="114"/>
  <c r="P39" i="117"/>
  <c r="H36" i="119"/>
  <c r="V6" i="50"/>
  <c r="BG24" i="119"/>
  <c r="AH26" i="114"/>
  <c r="AT21" i="119"/>
  <c r="Z14" i="117"/>
  <c r="AC31" i="119"/>
  <c r="AR33" i="119"/>
  <c r="AS6" i="1"/>
  <c r="Z21" i="117"/>
  <c r="AG19" i="119"/>
  <c r="AE6" i="50"/>
  <c r="AB6" i="51" s="1"/>
  <c r="V5" i="117" s="1"/>
  <c r="AR13" i="119"/>
  <c r="T36" i="114"/>
  <c r="CD5" i="1"/>
  <c r="R28" i="114"/>
  <c r="L35" i="114"/>
  <c r="BG23" i="119"/>
  <c r="R33" i="117"/>
  <c r="AG6" i="50"/>
  <c r="AD6" i="51" s="1"/>
  <c r="Z5" i="117" s="1"/>
  <c r="W20" i="119"/>
  <c r="F26" i="117"/>
  <c r="H16" i="114"/>
  <c r="G5" i="52"/>
  <c r="H8" i="117"/>
  <c r="AV25" i="119"/>
  <c r="H3" i="52"/>
  <c r="N16" i="117"/>
  <c r="AD35" i="119"/>
  <c r="BK20" i="119"/>
  <c r="AH34" i="114"/>
  <c r="H31" i="119"/>
  <c r="R30" i="119"/>
  <c r="BI35" i="119"/>
  <c r="AH27" i="117"/>
  <c r="AD25" i="117"/>
  <c r="AB6" i="1"/>
  <c r="AB6" i="3" s="1"/>
  <c r="AB5" i="114" s="1"/>
  <c r="AU22" i="119"/>
  <c r="D15" i="117"/>
  <c r="P11" i="114"/>
  <c r="J12" i="119"/>
  <c r="V31" i="117"/>
  <c r="I6" i="1"/>
  <c r="I6" i="3" s="1"/>
  <c r="K5" i="1"/>
  <c r="K5" i="3" s="1"/>
  <c r="BM25" i="119"/>
  <c r="F36" i="119"/>
  <c r="BC36" i="119" s="1"/>
  <c r="J28" i="114"/>
  <c r="AP20" i="119"/>
  <c r="F4" i="52"/>
  <c r="J12" i="117"/>
  <c r="AQ5" i="50"/>
  <c r="J17" i="119"/>
  <c r="AG32" i="119"/>
  <c r="M4" i="53"/>
  <c r="AF27" i="119"/>
  <c r="BD16" i="119"/>
  <c r="Y7" i="50"/>
  <c r="V7" i="51" s="1"/>
  <c r="J6" i="117" s="1"/>
  <c r="L30" i="114"/>
  <c r="AX7" i="1"/>
  <c r="P36" i="114"/>
  <c r="W14" i="119"/>
  <c r="AD31" i="114"/>
  <c r="W30" i="119"/>
  <c r="J25" i="114"/>
  <c r="Z26" i="114"/>
  <c r="L4" i="52"/>
  <c r="Z15" i="114"/>
  <c r="D28" i="114"/>
  <c r="AD8" i="117"/>
  <c r="D30" i="117"/>
  <c r="K22" i="119"/>
  <c r="R5" i="53"/>
  <c r="AC6" i="50"/>
  <c r="Z6" i="51" s="1"/>
  <c r="R5" i="117" s="1"/>
  <c r="AC20" i="119"/>
  <c r="L10" i="117"/>
  <c r="AB8" i="117"/>
  <c r="F20" i="114"/>
  <c r="X17" i="117"/>
  <c r="BD17" i="119"/>
  <c r="Z28" i="114"/>
  <c r="T24" i="117"/>
  <c r="AR34" i="119"/>
  <c r="AD21" i="117"/>
  <c r="AH16" i="114"/>
  <c r="BQ7" i="1"/>
  <c r="AH5" i="50"/>
  <c r="AE5" i="51" s="1"/>
  <c r="AB4" i="117" s="1"/>
  <c r="AD15" i="119"/>
  <c r="R12" i="117"/>
  <c r="AD15" i="114"/>
  <c r="AA5" i="1"/>
  <c r="AA5" i="3" s="1"/>
  <c r="Z4" i="114" s="1"/>
  <c r="AT16" i="119"/>
  <c r="F33" i="117"/>
  <c r="P8" i="114"/>
  <c r="J21" i="119"/>
  <c r="BO5" i="1"/>
  <c r="BD28" i="119"/>
  <c r="F8" i="117"/>
  <c r="F9" i="117"/>
  <c r="S3" i="52"/>
  <c r="N5" i="50"/>
  <c r="M5" i="51" s="1"/>
  <c r="AR30" i="119"/>
  <c r="V19" i="114"/>
  <c r="BD36" i="119"/>
  <c r="AT25" i="119"/>
  <c r="N28" i="114"/>
  <c r="AK6" i="50"/>
  <c r="AH6" i="51" s="1"/>
  <c r="AH5" i="117" s="1"/>
  <c r="D28" i="117"/>
  <c r="BU6" i="1"/>
  <c r="I32" i="119"/>
  <c r="X33" i="117"/>
  <c r="J16" i="119"/>
  <c r="BM17" i="119"/>
  <c r="BS7" i="1"/>
  <c r="J3" i="53"/>
  <c r="AG7" i="50"/>
  <c r="AD7" i="51" s="1"/>
  <c r="Z6" i="117" s="1"/>
  <c r="J18" i="117"/>
  <c r="S4" i="52"/>
  <c r="AR26" i="119"/>
  <c r="U7" i="50"/>
  <c r="S7" i="51" s="1"/>
  <c r="P25" i="117"/>
  <c r="AH8" i="114"/>
  <c r="N36" i="114"/>
  <c r="R31" i="114"/>
  <c r="L11" i="117"/>
  <c r="BK36" i="119"/>
  <c r="AV14" i="119"/>
  <c r="O7" i="50"/>
  <c r="L30" i="117"/>
  <c r="AJ5" i="50"/>
  <c r="AG5" i="51" s="1"/>
  <c r="AF4" i="117" s="1"/>
  <c r="G32" i="119"/>
  <c r="E32" i="119" s="1"/>
  <c r="M28" i="119"/>
  <c r="T33" i="114"/>
  <c r="T35" i="119"/>
  <c r="Q7" i="1"/>
  <c r="Q7" i="3" s="1"/>
  <c r="D17" i="117"/>
  <c r="T23" i="114"/>
  <c r="F22" i="114"/>
  <c r="J26" i="114"/>
  <c r="AA5" i="50"/>
  <c r="X5" i="51" s="1"/>
  <c r="N4" i="117" s="1"/>
  <c r="G38" i="119"/>
  <c r="E38" i="119" s="1"/>
  <c r="AF17" i="119"/>
  <c r="AP14" i="119"/>
  <c r="P28" i="114"/>
  <c r="P38" i="114"/>
  <c r="AH22" i="117"/>
  <c r="BK5" i="1"/>
  <c r="AN6" i="50"/>
  <c r="T31" i="117"/>
  <c r="O3" i="53"/>
  <c r="U5" i="53"/>
  <c r="J27" i="117"/>
  <c r="L32" i="119"/>
  <c r="BI23" i="119"/>
  <c r="F25" i="119"/>
  <c r="J25" i="117"/>
  <c r="AD30" i="117"/>
  <c r="AA6" i="1"/>
  <c r="AA6" i="3" s="1"/>
  <c r="Z5" i="114" s="1"/>
  <c r="AC15" i="119"/>
  <c r="N24" i="117"/>
  <c r="T24" i="119"/>
  <c r="X16" i="114"/>
  <c r="AT30" i="119"/>
  <c r="L27" i="119"/>
  <c r="T26" i="117"/>
  <c r="AN5" i="50"/>
  <c r="D12" i="114"/>
  <c r="L12" i="119"/>
  <c r="BK17" i="119"/>
  <c r="F34" i="114"/>
  <c r="N7" i="117"/>
  <c r="Q3" i="52"/>
  <c r="D16" i="117"/>
  <c r="K6" i="1"/>
  <c r="K6" i="3" s="1"/>
  <c r="B3" i="52"/>
  <c r="T11" i="117"/>
  <c r="D18" i="117"/>
  <c r="R36" i="117"/>
  <c r="AA6" i="50"/>
  <c r="X6" i="51" s="1"/>
  <c r="N5" i="117" s="1"/>
  <c r="R30" i="117"/>
  <c r="H10" i="117"/>
  <c r="J5" i="50"/>
  <c r="I5" i="51" s="1"/>
  <c r="D4" i="117" s="1"/>
  <c r="D23" i="117"/>
  <c r="BD7" i="50"/>
  <c r="W7" i="50" s="1"/>
  <c r="T7" i="51" s="1"/>
  <c r="F15" i="117"/>
  <c r="Z29" i="114"/>
  <c r="M5" i="53"/>
  <c r="H20" i="117"/>
  <c r="X36" i="114"/>
  <c r="AB28" i="114"/>
  <c r="L7" i="117"/>
  <c r="T3" i="52"/>
  <c r="H17" i="117"/>
  <c r="E5" i="53"/>
  <c r="X6" i="50"/>
  <c r="J24" i="117"/>
  <c r="AB29" i="117"/>
  <c r="AB31" i="114"/>
  <c r="B26" i="117"/>
  <c r="X22" i="117"/>
  <c r="J5" i="53"/>
  <c r="V7" i="50"/>
  <c r="BC7" i="50"/>
  <c r="N35" i="117"/>
  <c r="V5" i="53"/>
  <c r="X19" i="117"/>
  <c r="L36" i="117"/>
  <c r="AH31" i="117"/>
  <c r="J16" i="117"/>
  <c r="BB7" i="50"/>
  <c r="H31" i="117"/>
  <c r="F30" i="114"/>
  <c r="L5" i="52"/>
  <c r="N34" i="114"/>
  <c r="P27" i="117"/>
  <c r="AH14" i="114"/>
  <c r="AH10" i="117"/>
  <c r="H32" i="117"/>
  <c r="J32" i="117"/>
  <c r="K5" i="52"/>
  <c r="Z15" i="117"/>
  <c r="Q4" i="52"/>
  <c r="O5" i="52"/>
  <c r="L6" i="50"/>
  <c r="K6" i="51" s="1"/>
  <c r="L24" i="117"/>
  <c r="AB15" i="117"/>
  <c r="N32" i="117"/>
  <c r="U3" i="53"/>
  <c r="F29" i="117"/>
  <c r="Q5" i="50"/>
  <c r="O5" i="51" s="1"/>
  <c r="F4" i="117" s="1"/>
  <c r="O4" i="52"/>
  <c r="E3" i="53"/>
  <c r="D19" i="117"/>
  <c r="D33" i="117"/>
  <c r="P9" i="117"/>
  <c r="AD31" i="117"/>
  <c r="H5" i="53"/>
  <c r="D3" i="52"/>
  <c r="D34" i="117"/>
  <c r="J29" i="114"/>
  <c r="G4" i="52"/>
  <c r="D8" i="117"/>
  <c r="O5" i="53"/>
  <c r="V8" i="117"/>
  <c r="AB36" i="114"/>
  <c r="AD6" i="50"/>
  <c r="AA6" i="51" s="1"/>
  <c r="T5" i="117" s="1"/>
  <c r="D14" i="117"/>
  <c r="T17" i="117"/>
  <c r="AI33" i="119"/>
  <c r="AF34" i="117"/>
  <c r="C5" i="53"/>
  <c r="AS5" i="1"/>
  <c r="O6" i="1"/>
  <c r="O6" i="3" s="1"/>
  <c r="D5" i="50"/>
  <c r="D5" i="51" s="1"/>
  <c r="N35" i="114"/>
  <c r="P36" i="117"/>
  <c r="W24" i="119"/>
  <c r="AW7" i="1"/>
  <c r="H28" i="117"/>
  <c r="G3" i="52"/>
  <c r="AD5" i="50"/>
  <c r="AA5" i="51" s="1"/>
  <c r="T4" i="117" s="1"/>
  <c r="AF7" i="50"/>
  <c r="AC7" i="51" s="1"/>
  <c r="X6" i="117" s="1"/>
  <c r="AB34" i="117"/>
  <c r="F5" i="53"/>
  <c r="AF5" i="50"/>
  <c r="AC5" i="51" s="1"/>
  <c r="X4" i="117" s="1"/>
  <c r="AD15" i="117"/>
  <c r="V32" i="117"/>
  <c r="R23" i="117"/>
  <c r="M3" i="53"/>
  <c r="F18" i="117"/>
  <c r="K4" i="53"/>
  <c r="R16" i="117"/>
  <c r="N4" i="53"/>
  <c r="I20" i="119"/>
  <c r="O20" i="119" s="1"/>
  <c r="N12" i="119"/>
  <c r="F13" i="117"/>
  <c r="J11" i="119"/>
  <c r="BZ6" i="1"/>
  <c r="H34" i="117"/>
  <c r="R4" i="53"/>
  <c r="R33" i="114"/>
  <c r="H13" i="117"/>
  <c r="AD34" i="117"/>
  <c r="F36" i="117"/>
  <c r="H24" i="117"/>
  <c r="B3" i="53"/>
  <c r="J35" i="117"/>
  <c r="M6" i="50"/>
  <c r="L6" i="51" s="1"/>
  <c r="N12" i="117"/>
  <c r="X32" i="117"/>
  <c r="V26" i="117"/>
  <c r="X34" i="117"/>
  <c r="V21" i="117"/>
  <c r="AZ5" i="50"/>
  <c r="P23" i="117"/>
  <c r="X12" i="117"/>
  <c r="I5" i="53"/>
  <c r="Z29" i="117"/>
  <c r="J24" i="114"/>
  <c r="L10" i="114"/>
  <c r="L32" i="117"/>
  <c r="T3" i="53"/>
  <c r="J10" i="117"/>
  <c r="J17" i="117"/>
  <c r="I4" i="52"/>
  <c r="G3" i="53"/>
  <c r="V4" i="52"/>
  <c r="M5" i="52"/>
  <c r="J31" i="117"/>
  <c r="D3" i="53"/>
  <c r="B33" i="114"/>
  <c r="AD18" i="117"/>
  <c r="B35" i="114"/>
  <c r="T19" i="119"/>
  <c r="V19" i="119" s="1"/>
  <c r="N18" i="119"/>
  <c r="BI17" i="119"/>
  <c r="G6" i="50"/>
  <c r="G6" i="51" s="1"/>
  <c r="V21" i="114"/>
  <c r="BN18" i="119"/>
  <c r="Z30" i="114"/>
  <c r="J23" i="117"/>
  <c r="BI38" i="119"/>
  <c r="P17" i="117"/>
  <c r="AB24" i="117"/>
  <c r="AH21" i="117"/>
  <c r="C6" i="1"/>
  <c r="AP6" i="1" s="1"/>
  <c r="BG5" i="1"/>
  <c r="G16" i="119"/>
  <c r="E16" i="119" s="1"/>
  <c r="AA35" i="119"/>
  <c r="R32" i="114"/>
  <c r="L16" i="117"/>
  <c r="M39" i="117" s="1"/>
  <c r="Q5" i="53"/>
  <c r="J33" i="117"/>
  <c r="Z8" i="117"/>
  <c r="T32" i="114"/>
  <c r="L5" i="50"/>
  <c r="K5" i="51" s="1"/>
  <c r="R18" i="117"/>
  <c r="N30" i="117"/>
  <c r="F3" i="53"/>
  <c r="X24" i="117"/>
  <c r="D9" i="117"/>
  <c r="F22" i="117"/>
  <c r="G5" i="53"/>
  <c r="R35" i="114"/>
  <c r="Z33" i="117"/>
  <c r="V36" i="114"/>
  <c r="F25" i="117"/>
  <c r="T23" i="117"/>
  <c r="AP34" i="119"/>
  <c r="B32" i="117"/>
  <c r="D35" i="117"/>
  <c r="AA7" i="50"/>
  <c r="X7" i="51" s="1"/>
  <c r="N6" i="117" s="1"/>
  <c r="O33" i="117" s="1"/>
  <c r="P18" i="114"/>
  <c r="AB33" i="117"/>
  <c r="AH6" i="50"/>
  <c r="AE6" i="51" s="1"/>
  <c r="AB5" i="117" s="1"/>
  <c r="AH25" i="117"/>
  <c r="V36" i="117"/>
  <c r="AB25" i="117"/>
  <c r="AH11" i="117"/>
  <c r="N9" i="117"/>
  <c r="AH18" i="117"/>
  <c r="P16" i="117"/>
  <c r="R26" i="117"/>
  <c r="P35" i="117"/>
  <c r="E6" i="50"/>
  <c r="E6" i="51" s="1"/>
  <c r="W19" i="119"/>
  <c r="X19" i="119" s="1"/>
  <c r="T36" i="117"/>
  <c r="AB26" i="114"/>
  <c r="J36" i="117"/>
  <c r="R25" i="117"/>
  <c r="S25" i="117" s="1"/>
  <c r="D30" i="114"/>
  <c r="AE7" i="50"/>
  <c r="AB7" i="51" s="1"/>
  <c r="V6" i="117" s="1"/>
  <c r="N32" i="114"/>
  <c r="O19" i="114" s="1"/>
  <c r="H3" i="53"/>
  <c r="R38" i="117"/>
  <c r="AH36" i="117"/>
  <c r="V33" i="117"/>
  <c r="BD27" i="119"/>
  <c r="L32" i="114"/>
  <c r="H4" i="53"/>
  <c r="V19" i="117"/>
  <c r="X8" i="117"/>
  <c r="BN5" i="1"/>
  <c r="Z32" i="117"/>
  <c r="B4" i="52"/>
  <c r="L35" i="117"/>
  <c r="F4" i="53"/>
  <c r="D33" i="114"/>
  <c r="C3" i="53"/>
  <c r="L9" i="117"/>
  <c r="H5" i="52"/>
  <c r="P4" i="52"/>
  <c r="AD26" i="114"/>
  <c r="AD22" i="117"/>
  <c r="P35" i="114"/>
  <c r="AD29" i="117"/>
  <c r="AI5" i="50"/>
  <c r="AF5" i="51" s="1"/>
  <c r="AD4" i="117" s="1"/>
  <c r="Z12" i="114"/>
  <c r="P3" i="53"/>
  <c r="AB22" i="117"/>
  <c r="F5" i="52"/>
  <c r="AH31" i="114"/>
  <c r="AI24" i="114" s="1"/>
  <c r="AF6" i="50"/>
  <c r="AC6" i="51" s="1"/>
  <c r="X5" i="117" s="1"/>
  <c r="Y16" i="117" s="1"/>
  <c r="X15" i="117"/>
  <c r="Y36" i="117" s="1"/>
  <c r="Z22" i="117"/>
  <c r="R9" i="117"/>
  <c r="AF39" i="117"/>
  <c r="H4" i="52"/>
  <c r="AB36" i="117"/>
  <c r="G4" i="53"/>
  <c r="J33" i="114"/>
  <c r="AD10" i="117"/>
  <c r="N4" i="52"/>
  <c r="H29" i="117"/>
  <c r="P25" i="114"/>
  <c r="V5" i="52"/>
  <c r="N13" i="117"/>
  <c r="BE6" i="1"/>
  <c r="L17" i="117"/>
  <c r="N20" i="117"/>
  <c r="R10" i="114"/>
  <c r="U3" i="52"/>
  <c r="AB12" i="117"/>
  <c r="R5" i="50"/>
  <c r="P5" i="51" s="1"/>
  <c r="F32" i="117"/>
  <c r="F27" i="114"/>
  <c r="W34" i="119"/>
  <c r="X34" i="119" s="1"/>
  <c r="R3" i="53"/>
  <c r="N5" i="52"/>
  <c r="X27" i="114"/>
  <c r="J29" i="117"/>
  <c r="P12" i="117"/>
  <c r="P19" i="117"/>
  <c r="J14" i="117"/>
  <c r="H33" i="117"/>
  <c r="BG7" i="1"/>
  <c r="T9" i="117"/>
  <c r="N23" i="117"/>
  <c r="V23" i="117"/>
  <c r="J4" i="52"/>
  <c r="L5" i="53"/>
  <c r="B10" i="117"/>
  <c r="AU19" i="119"/>
  <c r="B17" i="117"/>
  <c r="J32" i="114"/>
  <c r="AH14" i="117"/>
  <c r="L31" i="117"/>
  <c r="G7" i="50"/>
  <c r="G7" i="51" s="1"/>
  <c r="J5" i="52"/>
  <c r="J30" i="117"/>
  <c r="V15" i="117"/>
  <c r="Q3" i="53"/>
  <c r="E3" i="52"/>
  <c r="X29" i="117"/>
  <c r="P30" i="114"/>
  <c r="D26" i="117"/>
  <c r="O4" i="53"/>
  <c r="BN36" i="119"/>
  <c r="K6" i="50"/>
  <c r="J6" i="51" s="1"/>
  <c r="V12" i="117"/>
  <c r="S3" i="53"/>
  <c r="X26" i="117"/>
  <c r="R4" i="52"/>
  <c r="F11" i="117"/>
  <c r="O13" i="119"/>
  <c r="O26" i="119"/>
  <c r="O21" i="119"/>
  <c r="O38" i="114"/>
  <c r="M12" i="114"/>
  <c r="O14" i="114"/>
  <c r="E17" i="119"/>
  <c r="V16" i="119"/>
  <c r="V10" i="119"/>
  <c r="S11" i="119"/>
  <c r="O25" i="114"/>
  <c r="O27" i="114"/>
  <c r="O12" i="114"/>
  <c r="M16" i="114"/>
  <c r="B23" i="117"/>
  <c r="B16" i="114"/>
  <c r="X22" i="114"/>
  <c r="BC27" i="119"/>
  <c r="E27" i="119"/>
  <c r="X17" i="114"/>
  <c r="AF35" i="114"/>
  <c r="O5" i="119"/>
  <c r="AG5" i="1"/>
  <c r="C5" i="3"/>
  <c r="B4" i="114" s="1"/>
  <c r="AO5" i="1"/>
  <c r="BC11" i="119"/>
  <c r="Q32" i="119"/>
  <c r="AF16" i="114"/>
  <c r="X35" i="114"/>
  <c r="X32" i="119"/>
  <c r="AF12" i="117"/>
  <c r="AF14" i="114"/>
  <c r="X13" i="114"/>
  <c r="AF14" i="117"/>
  <c r="B23" i="114"/>
  <c r="X34" i="114"/>
  <c r="BC21" i="119"/>
  <c r="E21" i="119"/>
  <c r="AF31" i="114"/>
  <c r="B12" i="117"/>
  <c r="BC6" i="119"/>
  <c r="B18" i="114"/>
  <c r="AF9" i="117"/>
  <c r="Q26" i="119"/>
  <c r="AF17" i="114"/>
  <c r="AD36" i="114"/>
  <c r="AF28" i="114"/>
  <c r="B26" i="114"/>
  <c r="AF10" i="117"/>
  <c r="B31" i="114"/>
  <c r="AF23" i="117"/>
  <c r="AQ7" i="1"/>
  <c r="AD7" i="3"/>
  <c r="AF6" i="114" s="1"/>
  <c r="V12" i="119"/>
  <c r="AF19" i="117"/>
  <c r="X24" i="114"/>
  <c r="T30" i="117"/>
  <c r="AF30" i="114"/>
  <c r="AF12" i="114"/>
  <c r="E28" i="119"/>
  <c r="BC28" i="119"/>
  <c r="B8" i="114"/>
  <c r="AR4" i="119"/>
  <c r="B8" i="117"/>
  <c r="B28" i="117"/>
  <c r="X28" i="114"/>
  <c r="AF29" i="117"/>
  <c r="AF15" i="114"/>
  <c r="X10" i="114"/>
  <c r="B15" i="117"/>
  <c r="Q10" i="119"/>
  <c r="S14" i="119"/>
  <c r="Q5" i="119"/>
  <c r="X9" i="114"/>
  <c r="Q17" i="119"/>
  <c r="O29" i="119"/>
  <c r="B31" i="117"/>
  <c r="B25" i="114"/>
  <c r="B10" i="114"/>
  <c r="AF36" i="114"/>
  <c r="B28" i="114"/>
  <c r="X31" i="114"/>
  <c r="AF27" i="117"/>
  <c r="E9" i="119"/>
  <c r="BC9" i="119"/>
  <c r="BC23" i="119"/>
  <c r="O36" i="119"/>
  <c r="V7" i="119"/>
  <c r="V23" i="119"/>
  <c r="AF27" i="114"/>
  <c r="AF21" i="117"/>
  <c r="B11" i="117"/>
  <c r="AF13" i="114"/>
  <c r="BC19" i="119"/>
  <c r="E19" i="119"/>
  <c r="X21" i="114"/>
  <c r="B22" i="114"/>
  <c r="V27" i="119"/>
  <c r="S16" i="119"/>
  <c r="Q27" i="119"/>
  <c r="B36" i="114"/>
  <c r="AF22" i="117"/>
  <c r="Z34" i="117"/>
  <c r="AF11" i="117"/>
  <c r="AF10" i="114"/>
  <c r="B11" i="114"/>
  <c r="AF9" i="114"/>
  <c r="AG7" i="51"/>
  <c r="AF6" i="117" s="1"/>
  <c r="AF29" i="114"/>
  <c r="O30" i="119"/>
  <c r="X5" i="119"/>
  <c r="AF33" i="114"/>
  <c r="AF32" i="114"/>
  <c r="E14" i="119"/>
  <c r="BC14" i="119"/>
  <c r="O14" i="119"/>
  <c r="AM5" i="1"/>
  <c r="Z5" i="3"/>
  <c r="X4" i="114" s="1"/>
  <c r="V9" i="119"/>
  <c r="B34" i="117"/>
  <c r="AF18" i="117"/>
  <c r="X14" i="114"/>
  <c r="E10" i="119"/>
  <c r="O10" i="119"/>
  <c r="O15" i="119"/>
  <c r="AF19" i="114"/>
  <c r="BC20" i="119"/>
  <c r="B22" i="117"/>
  <c r="B13" i="114"/>
  <c r="B9" i="117"/>
  <c r="AF13" i="117"/>
  <c r="BC7" i="119"/>
  <c r="O22" i="119"/>
  <c r="B18" i="117"/>
  <c r="AF28" i="117"/>
  <c r="X15" i="114"/>
  <c r="B16" i="117"/>
  <c r="B24" i="114"/>
  <c r="X12" i="114"/>
  <c r="AF15" i="117"/>
  <c r="B17" i="114"/>
  <c r="S9" i="119"/>
  <c r="V21" i="119"/>
  <c r="X11" i="114"/>
  <c r="B25" i="117"/>
  <c r="S10" i="119"/>
  <c r="B15" i="114"/>
  <c r="V6" i="119"/>
  <c r="S28" i="119"/>
  <c r="S34" i="119"/>
  <c r="AF26" i="117"/>
  <c r="Q20" i="119"/>
  <c r="B30" i="117"/>
  <c r="AF8" i="114"/>
  <c r="AF31" i="117"/>
  <c r="AF11" i="114"/>
  <c r="B30" i="114"/>
  <c r="AF16" i="117"/>
  <c r="AF21" i="114"/>
  <c r="B20" i="114"/>
  <c r="X32" i="114"/>
  <c r="X20" i="114"/>
  <c r="X18" i="114"/>
  <c r="B35" i="117"/>
  <c r="B19" i="114"/>
  <c r="S21" i="119"/>
  <c r="X30" i="114"/>
  <c r="B21" i="114"/>
  <c r="X10" i="119"/>
  <c r="O9" i="119"/>
  <c r="V32" i="119"/>
  <c r="O37" i="119"/>
  <c r="AF34" i="114"/>
  <c r="X23" i="114"/>
  <c r="X29" i="114"/>
  <c r="AF8" i="117"/>
  <c r="AF18" i="114"/>
  <c r="B29" i="114"/>
  <c r="O17" i="119"/>
  <c r="X8" i="114"/>
  <c r="BC16" i="119"/>
  <c r="O28" i="119"/>
  <c r="O33" i="119"/>
  <c r="S20" i="119"/>
  <c r="B27" i="114"/>
  <c r="AF33" i="117"/>
  <c r="AF35" i="117"/>
  <c r="AT5" i="50"/>
  <c r="B13" i="117"/>
  <c r="BC32" i="119"/>
  <c r="X26" i="114"/>
  <c r="AF20" i="114"/>
  <c r="B14" i="117"/>
  <c r="B12" i="114"/>
  <c r="B34" i="114"/>
  <c r="O27" i="119"/>
  <c r="S6" i="119"/>
  <c r="X27" i="119"/>
  <c r="BC34" i="119"/>
  <c r="E34" i="119"/>
  <c r="AF22" i="114"/>
  <c r="AF30" i="117"/>
  <c r="AF23" i="114"/>
  <c r="AF25" i="114"/>
  <c r="O25" i="119"/>
  <c r="C7" i="3"/>
  <c r="B6" i="114" s="1"/>
  <c r="AR7" i="1"/>
  <c r="AP7" i="1"/>
  <c r="X19" i="114"/>
  <c r="BC24" i="119"/>
  <c r="BC29" i="119"/>
  <c r="E29" i="119"/>
  <c r="E5" i="119"/>
  <c r="BC5" i="119"/>
  <c r="B14" i="114"/>
  <c r="B36" i="117"/>
  <c r="B29" i="117"/>
  <c r="B9" i="114"/>
  <c r="B33" i="117"/>
  <c r="AF20" i="117"/>
  <c r="X33" i="119"/>
  <c r="O34" i="119"/>
  <c r="B27" i="117"/>
  <c r="AF24" i="114"/>
  <c r="BC13" i="119"/>
  <c r="E13" i="119"/>
  <c r="O8" i="119"/>
  <c r="Q49" i="70"/>
  <c r="Q85" i="70"/>
  <c r="S106" i="70"/>
  <c r="L33" i="70"/>
  <c r="Q83" i="70"/>
  <c r="Q37" i="70"/>
  <c r="M86" i="70"/>
  <c r="M15" i="117"/>
  <c r="AI9" i="114"/>
  <c r="AI37" i="114"/>
  <c r="S32" i="117"/>
  <c r="S8" i="117"/>
  <c r="S10" i="117"/>
  <c r="S33" i="117"/>
  <c r="H38" i="117"/>
  <c r="AB38" i="114"/>
  <c r="AB39" i="114"/>
  <c r="AH39" i="117"/>
  <c r="AF7" i="114"/>
  <c r="AB39" i="117"/>
  <c r="J7" i="117"/>
  <c r="H7" i="114"/>
  <c r="AH38" i="117"/>
  <c r="AD7" i="114"/>
  <c r="AD38" i="117"/>
  <c r="V39" i="114"/>
  <c r="X7" i="114"/>
  <c r="B39" i="117"/>
  <c r="P23" i="70"/>
  <c r="H66" i="70"/>
  <c r="L66" i="70" s="1"/>
  <c r="H86" i="70"/>
  <c r="L86" i="70" s="1"/>
  <c r="AP15" i="46"/>
  <c r="O17" i="70"/>
  <c r="Q17" i="70"/>
  <c r="S17" i="70"/>
  <c r="B39" i="114"/>
  <c r="V7" i="117"/>
  <c r="K19" i="70"/>
  <c r="L19" i="70" s="1"/>
  <c r="Q16" i="70"/>
  <c r="P20" i="70"/>
  <c r="P39" i="70"/>
  <c r="Q39" i="70" s="1"/>
  <c r="P35" i="70"/>
  <c r="Q35" i="70" s="1"/>
  <c r="Q37" i="119"/>
  <c r="S37" i="119"/>
  <c r="BC37" i="119"/>
  <c r="E37" i="119"/>
  <c r="J16" i="70"/>
  <c r="I37" i="70"/>
  <c r="I39" i="70"/>
  <c r="I35" i="70"/>
  <c r="J35" i="70" s="1"/>
  <c r="I158" i="70"/>
  <c r="M107" i="70"/>
  <c r="S107" i="70" s="1"/>
  <c r="S85" i="70"/>
  <c r="O85" i="70"/>
  <c r="AI7" i="114"/>
  <c r="AI21" i="114"/>
  <c r="AI23" i="114"/>
  <c r="T7" i="114"/>
  <c r="O49" i="70"/>
  <c r="I33" i="70"/>
  <c r="J33" i="70" s="1"/>
  <c r="K18" i="70"/>
  <c r="L18" i="70" s="1"/>
  <c r="H20" i="70"/>
  <c r="H39" i="70"/>
  <c r="H37" i="70"/>
  <c r="M18" i="70"/>
  <c r="O16" i="70"/>
  <c r="N20" i="70"/>
  <c r="N37" i="70"/>
  <c r="O37" i="70" s="1"/>
  <c r="N39" i="70"/>
  <c r="O39" i="70" s="1"/>
  <c r="N35" i="70"/>
  <c r="O35" i="70" s="1"/>
  <c r="N33" i="70"/>
  <c r="O33" i="70" s="1"/>
  <c r="AI35" i="114"/>
  <c r="P33" i="70"/>
  <c r="Q33" i="70" s="1"/>
  <c r="S16" i="70"/>
  <c r="R35" i="70"/>
  <c r="S35" i="70" s="1"/>
  <c r="R37" i="70"/>
  <c r="S37" i="70" s="1"/>
  <c r="R39" i="70"/>
  <c r="S39" i="70" s="1"/>
  <c r="R33" i="70"/>
  <c r="S33" i="70" s="1"/>
  <c r="X39" i="114"/>
  <c r="N19" i="70"/>
  <c r="J7" i="70"/>
  <c r="H9" i="70"/>
  <c r="L7" i="70"/>
  <c r="L16" i="70"/>
  <c r="K39" i="70"/>
  <c r="K37" i="70"/>
  <c r="K35" i="70"/>
  <c r="L35" i="70" s="1"/>
  <c r="Q106" i="70"/>
  <c r="P107" i="70"/>
  <c r="Y10" i="117"/>
  <c r="J64" i="70"/>
  <c r="I65" i="70"/>
  <c r="AF7" i="117"/>
  <c r="O106" i="70"/>
  <c r="N107" i="70"/>
  <c r="M19" i="70"/>
  <c r="Q19" i="70" s="1"/>
  <c r="J8" i="70"/>
  <c r="H10" i="70"/>
  <c r="L8" i="70"/>
  <c r="H158" i="70"/>
  <c r="S7" i="70"/>
  <c r="M9" i="70"/>
  <c r="O7" i="70"/>
  <c r="Q7" i="70"/>
  <c r="AI27" i="114"/>
  <c r="I19" i="70"/>
  <c r="J19" i="70" s="1"/>
  <c r="Z7" i="114"/>
  <c r="V39" i="117"/>
  <c r="L17" i="70"/>
  <c r="S114" i="70"/>
  <c r="O114" i="70"/>
  <c r="I159" i="70"/>
  <c r="O141" i="70"/>
  <c r="S141" i="70"/>
  <c r="R19" i="70"/>
  <c r="R20" i="70" s="1"/>
  <c r="B38" i="114"/>
  <c r="P27" i="70"/>
  <c r="Q27" i="70" s="1"/>
  <c r="L65" i="70"/>
  <c r="P65" i="70"/>
  <c r="Q64" i="70"/>
  <c r="AI11" i="114"/>
  <c r="T7" i="117"/>
  <c r="V7" i="114"/>
  <c r="M10" i="70"/>
  <c r="O8" i="70"/>
  <c r="S8" i="70"/>
  <c r="Q8" i="70"/>
  <c r="M23" i="70"/>
  <c r="AU6" i="46"/>
  <c r="AO36" i="46"/>
  <c r="AI19" i="114"/>
  <c r="H159" i="70"/>
  <c r="L106" i="70"/>
  <c r="K107" i="70"/>
  <c r="L107" i="70" s="1"/>
  <c r="K108" i="70"/>
  <c r="K87" i="70"/>
  <c r="S65" i="70"/>
  <c r="R66" i="70"/>
  <c r="S66" i="70" s="1"/>
  <c r="R86" i="70"/>
  <c r="O86" i="70"/>
  <c r="N87" i="70"/>
  <c r="N108" i="70"/>
  <c r="AW34" i="119" a="1"/>
  <c r="BP6" i="119" a="1"/>
  <c r="BP11" i="119" a="1"/>
  <c r="AJ33" i="119" a="1"/>
  <c r="BP29" i="119" a="1"/>
  <c r="BP37" i="119" a="1"/>
  <c r="BP15" i="119" a="1"/>
  <c r="AJ7" i="119" a="1"/>
  <c r="AJ37" i="119" a="1"/>
  <c r="AJ35" i="119" a="1"/>
  <c r="AW15" i="119" a="1"/>
  <c r="AW36" i="119" a="1"/>
  <c r="AW22" i="119" a="1"/>
  <c r="AJ8" i="119" a="1"/>
  <c r="AJ36" i="119" a="1"/>
  <c r="AJ29" i="119" a="1"/>
  <c r="AJ11" i="119" a="1"/>
  <c r="AJ31" i="119" a="1"/>
  <c r="BP16" i="119" a="1"/>
  <c r="AJ34" i="119" a="1"/>
  <c r="AW27" i="119" a="1"/>
  <c r="AJ10" i="119" a="1"/>
  <c r="BP24" i="119" a="1"/>
  <c r="AW8" i="119" a="1"/>
  <c r="AW20" i="119" a="1"/>
  <c r="AJ14" i="119" a="1"/>
  <c r="AJ20" i="119" a="1"/>
  <c r="AJ21" i="119" a="1"/>
  <c r="AW16" i="119" a="1"/>
  <c r="AJ18" i="119" a="1"/>
  <c r="AW23" i="119" a="1"/>
  <c r="BP9" i="119" a="1"/>
  <c r="BP13" i="119" a="1"/>
  <c r="AJ5" i="119" a="1"/>
  <c r="AW38" i="119" a="1"/>
  <c r="AJ16" i="119" a="1"/>
  <c r="BP22" i="119" a="1"/>
  <c r="BP21" i="119" a="1"/>
  <c r="AJ30" i="119" a="1"/>
  <c r="BP7" i="119" a="1"/>
  <c r="BP10" i="119" a="1"/>
  <c r="AW11" i="119" a="1"/>
  <c r="AJ12" i="119" a="1"/>
  <c r="AW19" i="119" a="1"/>
  <c r="AW6" i="119" a="1"/>
  <c r="BP5" i="119" a="1"/>
  <c r="AW12" i="119" a="1"/>
  <c r="AW10" i="119" a="1"/>
  <c r="BP27" i="119" a="1"/>
  <c r="BP31" i="119" a="1"/>
  <c r="BP12" i="119" a="1"/>
  <c r="AW29" i="119" a="1"/>
  <c r="AW35" i="119" a="1"/>
  <c r="AW26" i="119" a="1"/>
  <c r="AW37" i="119" a="1"/>
  <c r="AW24" i="119" a="1"/>
  <c r="BP20" i="119" a="1"/>
  <c r="AJ9" i="119" a="1"/>
  <c r="BP35" i="119" a="1"/>
  <c r="BP30" i="119" a="1"/>
  <c r="AW13" i="119" a="1"/>
  <c r="AW21" i="119" a="1"/>
  <c r="AW18" i="119" a="1"/>
  <c r="AW31" i="119" a="1"/>
  <c r="AJ25" i="119" a="1"/>
  <c r="BP36" i="119" a="1"/>
  <c r="BP26" i="119" a="1"/>
  <c r="AJ32" i="119" a="1"/>
  <c r="AW30" i="119" a="1"/>
  <c r="AJ26" i="119" a="1"/>
  <c r="BP34" i="119" a="1"/>
  <c r="BP28" i="119" a="1"/>
  <c r="BP8" i="119" a="1"/>
  <c r="AJ27" i="119" a="1"/>
  <c r="AJ28" i="119" a="1"/>
  <c r="BP38" i="119" a="1"/>
  <c r="AW28" i="119" a="1"/>
  <c r="AJ19" i="119" a="1"/>
  <c r="BP25" i="119" a="1"/>
  <c r="AW17" i="119" a="1"/>
  <c r="AJ6" i="119" a="1"/>
  <c r="AJ24" i="119" a="1"/>
  <c r="AJ13" i="119" a="1"/>
  <c r="BP18" i="119" a="1"/>
  <c r="AW9" i="119" a="1"/>
  <c r="AJ15" i="119" a="1"/>
  <c r="AW7" i="119" a="1"/>
  <c r="BP14" i="119" a="1"/>
  <c r="AJ22" i="119" a="1"/>
  <c r="BP17" i="119" a="1"/>
  <c r="BP33" i="119" a="1"/>
  <c r="BP23" i="119" a="1"/>
  <c r="AW25" i="119" a="1"/>
  <c r="AW14" i="119" a="1"/>
  <c r="AJ17" i="119" a="1"/>
  <c r="AJ38" i="119" a="1"/>
  <c r="AJ23" i="119" a="1"/>
  <c r="BP32" i="119" a="1"/>
  <c r="AW33" i="119" a="1"/>
  <c r="BP19" i="119" a="1"/>
  <c r="AW5" i="119" a="1"/>
  <c r="AW32" i="119" a="1"/>
  <c r="E20" i="119" l="1"/>
  <c r="F4" i="119"/>
  <c r="Q7" i="119"/>
  <c r="V28" i="119"/>
  <c r="E30" i="119"/>
  <c r="V30" i="119"/>
  <c r="X28" i="119"/>
  <c r="V29" i="119"/>
  <c r="BG4" i="119"/>
  <c r="O6" i="119"/>
  <c r="X18" i="119"/>
  <c r="BM4" i="119"/>
  <c r="L4" i="119"/>
  <c r="AV7" i="50"/>
  <c r="AR5" i="50"/>
  <c r="AJ7" i="1"/>
  <c r="S30" i="119"/>
  <c r="Q30" i="119"/>
  <c r="P6" i="50"/>
  <c r="N6" i="51" s="1"/>
  <c r="I4" i="119"/>
  <c r="V11" i="119"/>
  <c r="M4" i="119"/>
  <c r="C6" i="51"/>
  <c r="B5" i="117" s="1"/>
  <c r="AV6" i="50"/>
  <c r="X24" i="119"/>
  <c r="V24" i="119"/>
  <c r="X11" i="119"/>
  <c r="S31" i="119"/>
  <c r="S22" i="119"/>
  <c r="E18" i="119"/>
  <c r="S35" i="119"/>
  <c r="AV4" i="119"/>
  <c r="X22" i="119"/>
  <c r="S32" i="119"/>
  <c r="Q22" i="119"/>
  <c r="X9" i="119"/>
  <c r="X37" i="119"/>
  <c r="AM5" i="50"/>
  <c r="X7" i="119"/>
  <c r="BC18" i="119"/>
  <c r="E33" i="119"/>
  <c r="S27" i="119"/>
  <c r="E6" i="119"/>
  <c r="S12" i="119"/>
  <c r="E22" i="119"/>
  <c r="Q33" i="119"/>
  <c r="AO7" i="1"/>
  <c r="AO7" i="50"/>
  <c r="X12" i="119"/>
  <c r="V33" i="119"/>
  <c r="AP5" i="1"/>
  <c r="AG7" i="1"/>
  <c r="AL5" i="1"/>
  <c r="AU4" i="119"/>
  <c r="O18" i="119"/>
  <c r="P7" i="50"/>
  <c r="N7" i="51" s="1"/>
  <c r="X15" i="119"/>
  <c r="Q6" i="119"/>
  <c r="AR5" i="1"/>
  <c r="E26" i="119"/>
  <c r="BC26" i="119"/>
  <c r="AI5" i="1"/>
  <c r="AP7" i="50"/>
  <c r="AZ3" i="50"/>
  <c r="X6" i="119"/>
  <c r="X26" i="119"/>
  <c r="O11" i="119"/>
  <c r="V17" i="119"/>
  <c r="X36" i="119"/>
  <c r="O7" i="119"/>
  <c r="S33" i="119"/>
  <c r="Q8" i="119"/>
  <c r="AM7" i="1"/>
  <c r="AW6" i="50"/>
  <c r="AY3" i="50"/>
  <c r="M35" i="114"/>
  <c r="AW7" i="50"/>
  <c r="E7" i="119"/>
  <c r="Q19" i="119"/>
  <c r="Q9" i="119"/>
  <c r="S18" i="119"/>
  <c r="Q25" i="119"/>
  <c r="AI6" i="1"/>
  <c r="S8" i="119"/>
  <c r="Q28" i="119"/>
  <c r="AT6" i="50"/>
  <c r="BC22" i="119"/>
  <c r="AX5" i="50"/>
  <c r="AN5" i="1"/>
  <c r="S29" i="119"/>
  <c r="AQ5" i="1"/>
  <c r="W5" i="50"/>
  <c r="T5" i="51" s="1"/>
  <c r="AR6" i="50"/>
  <c r="Y15" i="117"/>
  <c r="AM7" i="50"/>
  <c r="BC35" i="119"/>
  <c r="E35" i="119"/>
  <c r="AS7" i="50"/>
  <c r="AJ6" i="1"/>
  <c r="E36" i="119"/>
  <c r="AM6" i="1"/>
  <c r="I5" i="50"/>
  <c r="H5" i="51" s="1"/>
  <c r="AN7" i="1"/>
  <c r="AL6" i="1"/>
  <c r="V25" i="119"/>
  <c r="X14" i="119"/>
  <c r="V26" i="119"/>
  <c r="S17" i="119"/>
  <c r="V35" i="119"/>
  <c r="Q29" i="119"/>
  <c r="Q36" i="119"/>
  <c r="X35" i="119"/>
  <c r="X17" i="119"/>
  <c r="AD5" i="3"/>
  <c r="AF4" i="114" s="1"/>
  <c r="AG5" i="114" s="1"/>
  <c r="AU5" i="50"/>
  <c r="AW5" i="50"/>
  <c r="AP5" i="50"/>
  <c r="X30" i="119"/>
  <c r="AO5" i="50"/>
  <c r="X8" i="119"/>
  <c r="AP6" i="50"/>
  <c r="AR7" i="50"/>
  <c r="AU7" i="50"/>
  <c r="C7" i="51"/>
  <c r="B6" i="117" s="1"/>
  <c r="X20" i="119"/>
  <c r="X29" i="119"/>
  <c r="X23" i="119"/>
  <c r="AX6" i="50"/>
  <c r="AX7" i="50"/>
  <c r="AT7" i="50"/>
  <c r="V15" i="119"/>
  <c r="Q34" i="119"/>
  <c r="S25" i="119"/>
  <c r="P5" i="50"/>
  <c r="N5" i="51" s="1"/>
  <c r="AD30" i="114"/>
  <c r="BC25" i="119"/>
  <c r="C6" i="3"/>
  <c r="B5" i="114" s="1"/>
  <c r="AN6" i="1"/>
  <c r="B24" i="117"/>
  <c r="J37" i="70"/>
  <c r="L37" i="70"/>
  <c r="K20" i="70"/>
  <c r="L39" i="70"/>
  <c r="AF36" i="117"/>
  <c r="AG36" i="117" s="1"/>
  <c r="X33" i="114"/>
  <c r="Y33" i="114" s="1"/>
  <c r="AU6" i="50"/>
  <c r="AM6" i="50"/>
  <c r="E25" i="119"/>
  <c r="U6" i="51"/>
  <c r="H5" i="117" s="1"/>
  <c r="I5" i="117" s="1"/>
  <c r="AQ6" i="1"/>
  <c r="Z26" i="117"/>
  <c r="S9" i="117"/>
  <c r="AO6" i="50"/>
  <c r="X25" i="119"/>
  <c r="J159" i="70"/>
  <c r="O24" i="114"/>
  <c r="BN4" i="119"/>
  <c r="M30" i="117"/>
  <c r="V30" i="114"/>
  <c r="W30" i="114" s="1"/>
  <c r="O4" i="114"/>
  <c r="AS5" i="50"/>
  <c r="BT3" i="1"/>
  <c r="AF25" i="117"/>
  <c r="Y37" i="117"/>
  <c r="S30" i="114"/>
  <c r="Y32" i="117"/>
  <c r="Y27" i="117"/>
  <c r="S30" i="117"/>
  <c r="AI33" i="114"/>
  <c r="Y20" i="117"/>
  <c r="F4" i="50"/>
  <c r="S34" i="117"/>
  <c r="J4" i="119"/>
  <c r="Q18" i="119"/>
  <c r="H4" i="50"/>
  <c r="AI18" i="114"/>
  <c r="Y28" i="117"/>
  <c r="Q28" i="114"/>
  <c r="V5" i="119"/>
  <c r="AI12" i="114"/>
  <c r="Y29" i="117"/>
  <c r="AI34" i="114"/>
  <c r="S33" i="114"/>
  <c r="Y12" i="117"/>
  <c r="BB4" i="50"/>
  <c r="AI26" i="114"/>
  <c r="AI17" i="114"/>
  <c r="Y30" i="117"/>
  <c r="Y13" i="117"/>
  <c r="M15" i="114"/>
  <c r="S38" i="117"/>
  <c r="O38" i="119"/>
  <c r="AI29" i="114"/>
  <c r="Y33" i="117"/>
  <c r="E11" i="119"/>
  <c r="AS4" i="1"/>
  <c r="AN3" i="50"/>
  <c r="Y17" i="117"/>
  <c r="M16" i="117"/>
  <c r="Y31" i="117"/>
  <c r="AQ4" i="50"/>
  <c r="AT4" i="1"/>
  <c r="O32" i="119"/>
  <c r="S23" i="117"/>
  <c r="BX4" i="1"/>
  <c r="AH4" i="1"/>
  <c r="AI38" i="114"/>
  <c r="BK4" i="119"/>
  <c r="S36" i="119"/>
  <c r="BW4" i="1"/>
  <c r="Y11" i="117"/>
  <c r="AI22" i="114"/>
  <c r="Y9" i="117"/>
  <c r="AT3" i="1"/>
  <c r="H3" i="50"/>
  <c r="O9" i="114"/>
  <c r="AP4" i="119"/>
  <c r="Y14" i="117"/>
  <c r="O26" i="114"/>
  <c r="M35" i="117"/>
  <c r="AT4" i="119"/>
  <c r="AI39" i="114"/>
  <c r="AI8" i="114"/>
  <c r="S20" i="114"/>
  <c r="M19" i="117"/>
  <c r="AI16" i="114"/>
  <c r="AI20" i="114"/>
  <c r="M29" i="114"/>
  <c r="Q36" i="114"/>
  <c r="Y24" i="117"/>
  <c r="S31" i="114"/>
  <c r="M20" i="117"/>
  <c r="M29" i="117"/>
  <c r="B19" i="117"/>
  <c r="AY4" i="50"/>
  <c r="S7" i="114"/>
  <c r="M21" i="117"/>
  <c r="M23" i="117"/>
  <c r="M10" i="117"/>
  <c r="Y39" i="117"/>
  <c r="S26" i="117"/>
  <c r="S26" i="114"/>
  <c r="S32" i="114"/>
  <c r="Y6" i="117"/>
  <c r="M12" i="117"/>
  <c r="AS6" i="50"/>
  <c r="X25" i="114"/>
  <c r="Y25" i="114" s="1"/>
  <c r="M25" i="114"/>
  <c r="T4" i="119"/>
  <c r="V4" i="119" s="1"/>
  <c r="M10" i="114"/>
  <c r="S37" i="114"/>
  <c r="M36" i="117"/>
  <c r="S19" i="114"/>
  <c r="AE21" i="117"/>
  <c r="S39" i="114"/>
  <c r="M11" i="117"/>
  <c r="M4" i="117"/>
  <c r="S10" i="114"/>
  <c r="M5" i="117"/>
  <c r="C3" i="50"/>
  <c r="S23" i="114"/>
  <c r="M27" i="117"/>
  <c r="M6" i="117"/>
  <c r="G4" i="119"/>
  <c r="Q4" i="117"/>
  <c r="B20" i="117"/>
  <c r="B32" i="114"/>
  <c r="V14" i="119"/>
  <c r="AK3" i="1"/>
  <c r="M33" i="117"/>
  <c r="S38" i="114"/>
  <c r="S18" i="114"/>
  <c r="S22" i="117"/>
  <c r="M31" i="117"/>
  <c r="M28" i="117"/>
  <c r="S12" i="114"/>
  <c r="Y25" i="117"/>
  <c r="AI10" i="114"/>
  <c r="S5" i="114"/>
  <c r="S29" i="114"/>
  <c r="Y4" i="117"/>
  <c r="S27" i="114"/>
  <c r="S28" i="114"/>
  <c r="AN4" i="50"/>
  <c r="S13" i="114"/>
  <c r="S9" i="114"/>
  <c r="S8" i="114"/>
  <c r="M7" i="117"/>
  <c r="M24" i="117"/>
  <c r="BS3" i="1"/>
  <c r="M26" i="117"/>
  <c r="Y35" i="117"/>
  <c r="AI36" i="114"/>
  <c r="AI30" i="114"/>
  <c r="Y38" i="117"/>
  <c r="S5" i="117"/>
  <c r="AI5" i="114"/>
  <c r="Y8" i="117"/>
  <c r="AI4" i="114"/>
  <c r="AI6" i="114"/>
  <c r="S4" i="114"/>
  <c r="S11" i="114"/>
  <c r="S39" i="117"/>
  <c r="AI25" i="114"/>
  <c r="Y21" i="117"/>
  <c r="AI13" i="114"/>
  <c r="M32" i="117"/>
  <c r="S22" i="114"/>
  <c r="M37" i="117"/>
  <c r="AI14" i="114"/>
  <c r="Y26" i="117"/>
  <c r="S37" i="117"/>
  <c r="S6" i="114"/>
  <c r="Y18" i="117"/>
  <c r="AV5" i="50"/>
  <c r="AF17" i="117"/>
  <c r="O8" i="117"/>
  <c r="M25" i="117"/>
  <c r="S21" i="117"/>
  <c r="S21" i="114"/>
  <c r="M18" i="117"/>
  <c r="S17" i="114"/>
  <c r="AK4" i="1"/>
  <c r="M8" i="117"/>
  <c r="S35" i="114"/>
  <c r="AI15" i="114"/>
  <c r="S27" i="117"/>
  <c r="S34" i="114"/>
  <c r="BA3" i="50"/>
  <c r="BZ4" i="1"/>
  <c r="AS3" i="1"/>
  <c r="S16" i="114"/>
  <c r="O9" i="117"/>
  <c r="S19" i="117"/>
  <c r="S14" i="114"/>
  <c r="F4" i="1"/>
  <c r="S16" i="117"/>
  <c r="M14" i="117"/>
  <c r="S25" i="114"/>
  <c r="S15" i="114"/>
  <c r="AI31" i="114"/>
  <c r="M9" i="117"/>
  <c r="S36" i="114"/>
  <c r="M34" i="117"/>
  <c r="Y7" i="117"/>
  <c r="S24" i="114"/>
  <c r="AI32" i="114"/>
  <c r="AI28" i="114"/>
  <c r="Y22" i="117"/>
  <c r="S4" i="117"/>
  <c r="S20" i="117"/>
  <c r="M13" i="117"/>
  <c r="M22" i="117"/>
  <c r="AQ3" i="50"/>
  <c r="M19" i="114"/>
  <c r="C4" i="50"/>
  <c r="BU3" i="1"/>
  <c r="BR3" i="1"/>
  <c r="Q36" i="117"/>
  <c r="O34" i="114"/>
  <c r="O13" i="114"/>
  <c r="S29" i="117"/>
  <c r="S28" i="117"/>
  <c r="S17" i="117"/>
  <c r="S7" i="117"/>
  <c r="O6" i="117"/>
  <c r="Q29" i="117"/>
  <c r="S6" i="117"/>
  <c r="O7" i="114"/>
  <c r="Q12" i="114"/>
  <c r="O36" i="117"/>
  <c r="Q21" i="117"/>
  <c r="S15" i="117"/>
  <c r="O27" i="117"/>
  <c r="AE39" i="114"/>
  <c r="Q29" i="114"/>
  <c r="Q7" i="114"/>
  <c r="BB3" i="50"/>
  <c r="S18" i="117"/>
  <c r="S24" i="117"/>
  <c r="W38" i="114"/>
  <c r="S36" i="117"/>
  <c r="O34" i="117"/>
  <c r="O21" i="114"/>
  <c r="O14" i="117"/>
  <c r="M17" i="114"/>
  <c r="Q15" i="117"/>
  <c r="Y5" i="117"/>
  <c r="CD4" i="1"/>
  <c r="Q9" i="117"/>
  <c r="O25" i="117"/>
  <c r="Y19" i="117"/>
  <c r="S14" i="117"/>
  <c r="Y34" i="117"/>
  <c r="S35" i="117"/>
  <c r="Y23" i="117"/>
  <c r="O7" i="117"/>
  <c r="O29" i="114"/>
  <c r="O38" i="117"/>
  <c r="O36" i="114"/>
  <c r="O29" i="117"/>
  <c r="Q6" i="117"/>
  <c r="O5" i="117"/>
  <c r="O35" i="117"/>
  <c r="AF24" i="117"/>
  <c r="AG24" i="117" s="1"/>
  <c r="M6" i="114"/>
  <c r="O11" i="117"/>
  <c r="BA4" i="50"/>
  <c r="M38" i="117"/>
  <c r="O16" i="119"/>
  <c r="O12" i="117"/>
  <c r="Q38" i="119"/>
  <c r="S11" i="117"/>
  <c r="S13" i="117"/>
  <c r="O30" i="117"/>
  <c r="O10" i="117"/>
  <c r="I11" i="117"/>
  <c r="S12" i="117"/>
  <c r="Q14" i="114"/>
  <c r="CA4" i="1"/>
  <c r="S31" i="117"/>
  <c r="Q6" i="114"/>
  <c r="AZ4" i="50"/>
  <c r="O33" i="114"/>
  <c r="O19" i="117"/>
  <c r="Q22" i="117"/>
  <c r="Q10" i="114"/>
  <c r="AW32" i="119"/>
  <c r="AW5" i="119"/>
  <c r="BP19" i="119"/>
  <c r="AW33" i="119"/>
  <c r="BP32" i="119"/>
  <c r="AJ23" i="119"/>
  <c r="AJ38" i="119"/>
  <c r="AJ17" i="119"/>
  <c r="AW14" i="119"/>
  <c r="AW25" i="119"/>
  <c r="BP23" i="119"/>
  <c r="BP33" i="119"/>
  <c r="BP17" i="119"/>
  <c r="AJ22" i="119"/>
  <c r="BP14" i="119"/>
  <c r="AW7" i="119"/>
  <c r="AJ15" i="119"/>
  <c r="AW9" i="119"/>
  <c r="BP18" i="119"/>
  <c r="AJ13" i="119"/>
  <c r="AJ24" i="119"/>
  <c r="AJ6" i="119"/>
  <c r="AW17" i="119"/>
  <c r="BP25" i="119"/>
  <c r="AJ19" i="119"/>
  <c r="AW28" i="119"/>
  <c r="BP38" i="119"/>
  <c r="AJ28" i="119"/>
  <c r="AJ27" i="119"/>
  <c r="BP8" i="119"/>
  <c r="BP28" i="119"/>
  <c r="BP34" i="119"/>
  <c r="AJ26" i="119"/>
  <c r="AW30" i="119"/>
  <c r="AJ32" i="119"/>
  <c r="BP26" i="119"/>
  <c r="BP36" i="119"/>
  <c r="AJ25" i="119"/>
  <c r="AW31" i="119"/>
  <c r="AW18" i="119"/>
  <c r="AW21" i="119"/>
  <c r="AW13" i="119"/>
  <c r="BP30" i="119"/>
  <c r="BP35" i="119"/>
  <c r="AJ9" i="119"/>
  <c r="BP20" i="119"/>
  <c r="AW24" i="119"/>
  <c r="AW37" i="119"/>
  <c r="AW26" i="119"/>
  <c r="AW35" i="119"/>
  <c r="AW29" i="119"/>
  <c r="BP12" i="119"/>
  <c r="BP31" i="119"/>
  <c r="BP27" i="119"/>
  <c r="AW10" i="119"/>
  <c r="AW12" i="119"/>
  <c r="BP5" i="119"/>
  <c r="AW6" i="119"/>
  <c r="AW19" i="119"/>
  <c r="AJ12" i="119"/>
  <c r="AW11" i="119"/>
  <c r="BP10" i="119"/>
  <c r="BP7" i="119"/>
  <c r="AJ30" i="119"/>
  <c r="BP21" i="119"/>
  <c r="BP22" i="119"/>
  <c r="AJ16" i="119"/>
  <c r="AW38" i="119"/>
  <c r="AJ5" i="119"/>
  <c r="AJ4" i="119" s="1"/>
  <c r="BP13" i="119"/>
  <c r="BP9" i="119"/>
  <c r="AW23" i="119"/>
  <c r="AJ18" i="119"/>
  <c r="AW16" i="119"/>
  <c r="AJ21" i="119"/>
  <c r="AJ20" i="119"/>
  <c r="AJ14" i="119"/>
  <c r="AW20" i="119"/>
  <c r="AW8" i="119"/>
  <c r="BP24" i="119"/>
  <c r="AJ10" i="119"/>
  <c r="AW27" i="119"/>
  <c r="AJ34" i="119"/>
  <c r="BP16" i="119"/>
  <c r="AJ31" i="119"/>
  <c r="AJ11" i="119"/>
  <c r="AJ29" i="119"/>
  <c r="AJ36" i="119"/>
  <c r="AJ8" i="119"/>
  <c r="AW22" i="119"/>
  <c r="AW36" i="119"/>
  <c r="AW15" i="119"/>
  <c r="AJ35" i="119"/>
  <c r="AJ37" i="119"/>
  <c r="AJ7" i="119"/>
  <c r="BP15" i="119"/>
  <c r="BP37" i="119"/>
  <c r="BP29" i="119"/>
  <c r="AJ33" i="119"/>
  <c r="BP11" i="119"/>
  <c r="BP6" i="119"/>
  <c r="AW34" i="119"/>
  <c r="Q39" i="117"/>
  <c r="Q5" i="117"/>
  <c r="Q16" i="117"/>
  <c r="BC15" i="119"/>
  <c r="E15" i="119"/>
  <c r="Q28" i="117"/>
  <c r="O15" i="117"/>
  <c r="O39" i="117"/>
  <c r="O28" i="117"/>
  <c r="Q20" i="117"/>
  <c r="Q26" i="117"/>
  <c r="M31" i="114"/>
  <c r="Q18" i="114"/>
  <c r="O17" i="114"/>
  <c r="AG4" i="119"/>
  <c r="S24" i="119"/>
  <c r="S38" i="119"/>
  <c r="AU3" i="1"/>
  <c r="Q19" i="114"/>
  <c r="O37" i="117"/>
  <c r="Q18" i="117"/>
  <c r="Q23" i="117"/>
  <c r="Q12" i="117"/>
  <c r="M32" i="114"/>
  <c r="M7" i="114"/>
  <c r="O31" i="114"/>
  <c r="O28" i="114"/>
  <c r="S5" i="119"/>
  <c r="R4" i="119"/>
  <c r="S4" i="119" s="1"/>
  <c r="N4" i="119"/>
  <c r="AG6" i="1"/>
  <c r="Q4" i="114"/>
  <c r="O5" i="114"/>
  <c r="O21" i="117"/>
  <c r="O24" i="117"/>
  <c r="Q31" i="117"/>
  <c r="M39" i="114"/>
  <c r="Q25" i="117"/>
  <c r="O30" i="114"/>
  <c r="Q31" i="119"/>
  <c r="BC31" i="119"/>
  <c r="AQ4" i="119"/>
  <c r="AO6" i="1"/>
  <c r="M34" i="114"/>
  <c r="Q32" i="117"/>
  <c r="Q37" i="114"/>
  <c r="Q30" i="114"/>
  <c r="Q11" i="114"/>
  <c r="O15" i="114"/>
  <c r="M24" i="114"/>
  <c r="Q8" i="117"/>
  <c r="Q38" i="117"/>
  <c r="Q7" i="117"/>
  <c r="M33" i="114"/>
  <c r="O20" i="114"/>
  <c r="CC4" i="1"/>
  <c r="Q16" i="119"/>
  <c r="S15" i="119"/>
  <c r="O8" i="114"/>
  <c r="I38" i="114"/>
  <c r="AR6" i="1"/>
  <c r="Q33" i="114"/>
  <c r="M4" i="114"/>
  <c r="H8" i="114"/>
  <c r="I8" i="114" s="1"/>
  <c r="O4" i="117"/>
  <c r="O13" i="117"/>
  <c r="Q34" i="114"/>
  <c r="Q13" i="117"/>
  <c r="Q13" i="114"/>
  <c r="M22" i="114"/>
  <c r="O23" i="114"/>
  <c r="V20" i="119"/>
  <c r="Q21" i="114"/>
  <c r="M18" i="114"/>
  <c r="M27" i="114"/>
  <c r="Q39" i="114"/>
  <c r="M20" i="114"/>
  <c r="Q38" i="114"/>
  <c r="M38" i="114"/>
  <c r="Q23" i="114"/>
  <c r="O32" i="117"/>
  <c r="Q16" i="114"/>
  <c r="O39" i="114"/>
  <c r="O22" i="114"/>
  <c r="O31" i="119"/>
  <c r="AA4" i="119"/>
  <c r="P4" i="119"/>
  <c r="Q4" i="119" s="1"/>
  <c r="X38" i="114"/>
  <c r="Y38" i="114" s="1"/>
  <c r="O24" i="119"/>
  <c r="V31" i="119"/>
  <c r="BC8" i="119"/>
  <c r="E8" i="119"/>
  <c r="O18" i="117"/>
  <c r="O32" i="114"/>
  <c r="O31" i="117"/>
  <c r="M5" i="114"/>
  <c r="Q9" i="114"/>
  <c r="O16" i="114"/>
  <c r="M11" i="114"/>
  <c r="Q34" i="117"/>
  <c r="Q11" i="117"/>
  <c r="AH3" i="1"/>
  <c r="Q22" i="114"/>
  <c r="Q27" i="114"/>
  <c r="BC12" i="119"/>
  <c r="E12" i="119"/>
  <c r="X31" i="119"/>
  <c r="Q37" i="117"/>
  <c r="O10" i="114"/>
  <c r="Q20" i="114"/>
  <c r="O22" i="117"/>
  <c r="O23" i="117"/>
  <c r="Q24" i="117"/>
  <c r="Q5" i="114"/>
  <c r="M9" i="114"/>
  <c r="Q35" i="114"/>
  <c r="O11" i="114"/>
  <c r="O6" i="114"/>
  <c r="I7" i="50"/>
  <c r="H7" i="51" s="1"/>
  <c r="H4" i="119"/>
  <c r="Q32" i="114"/>
  <c r="Q30" i="117"/>
  <c r="M23" i="114"/>
  <c r="Q31" i="114"/>
  <c r="Q19" i="117"/>
  <c r="M21" i="114"/>
  <c r="M26" i="114"/>
  <c r="BI4" i="119"/>
  <c r="AF4" i="119"/>
  <c r="Q24" i="119"/>
  <c r="Q27" i="117"/>
  <c r="Q25" i="114"/>
  <c r="Q35" i="117"/>
  <c r="Q17" i="117"/>
  <c r="Q26" i="114"/>
  <c r="M36" i="114"/>
  <c r="O23" i="119"/>
  <c r="O17" i="117"/>
  <c r="Q10" i="117"/>
  <c r="M14" i="114"/>
  <c r="M13" i="114"/>
  <c r="O37" i="114"/>
  <c r="O16" i="117"/>
  <c r="O20" i="117"/>
  <c r="M37" i="114"/>
  <c r="O35" i="114"/>
  <c r="V18" i="119"/>
  <c r="M17" i="117"/>
  <c r="AU4" i="1"/>
  <c r="Q15" i="114"/>
  <c r="O26" i="117"/>
  <c r="Q33" i="117"/>
  <c r="M8" i="114"/>
  <c r="M30" i="114"/>
  <c r="V36" i="119"/>
  <c r="X16" i="119"/>
  <c r="Q14" i="117"/>
  <c r="Q24" i="114"/>
  <c r="Q8" i="114"/>
  <c r="Q17" i="114"/>
  <c r="M28" i="114"/>
  <c r="W6" i="50"/>
  <c r="T6" i="51" s="1"/>
  <c r="Y39" i="114"/>
  <c r="M108" i="70"/>
  <c r="M87" i="70"/>
  <c r="O87" i="70" s="1"/>
  <c r="M20" i="70"/>
  <c r="S20" i="70" s="1"/>
  <c r="J158" i="70"/>
  <c r="J39" i="70"/>
  <c r="AI13" i="117"/>
  <c r="AE38" i="114"/>
  <c r="I35" i="117"/>
  <c r="I18" i="117"/>
  <c r="AC8" i="114"/>
  <c r="I39" i="114"/>
  <c r="AI22" i="117"/>
  <c r="AI35" i="117"/>
  <c r="AI12" i="117"/>
  <c r="AI34" i="117"/>
  <c r="AI10" i="117"/>
  <c r="AI6" i="117"/>
  <c r="AI29" i="117"/>
  <c r="AI30" i="117"/>
  <c r="AI18" i="117"/>
  <c r="AI33" i="117"/>
  <c r="F3" i="50"/>
  <c r="AC22" i="114"/>
  <c r="AE28" i="117"/>
  <c r="AC13" i="114"/>
  <c r="AC16" i="114"/>
  <c r="AC17" i="114"/>
  <c r="AE26" i="117"/>
  <c r="AC6" i="114"/>
  <c r="AC15" i="114"/>
  <c r="AC34" i="114"/>
  <c r="I17" i="117"/>
  <c r="AC5" i="114"/>
  <c r="AE7" i="117"/>
  <c r="AC25" i="114"/>
  <c r="I9" i="117"/>
  <c r="I39" i="117"/>
  <c r="AE19" i="117"/>
  <c r="AC35" i="114"/>
  <c r="AC33" i="114"/>
  <c r="I12" i="117"/>
  <c r="AC27" i="114"/>
  <c r="AC18" i="114"/>
  <c r="AC30" i="114"/>
  <c r="AC19" i="114"/>
  <c r="AC14" i="114"/>
  <c r="AC11" i="114"/>
  <c r="AC4" i="114"/>
  <c r="AC10" i="114"/>
  <c r="I34" i="117"/>
  <c r="AE17" i="117"/>
  <c r="AC7" i="114"/>
  <c r="AC36" i="114"/>
  <c r="AE4" i="117"/>
  <c r="AC31" i="114"/>
  <c r="I21" i="117"/>
  <c r="AE11" i="117"/>
  <c r="AC24" i="114"/>
  <c r="AC21" i="114"/>
  <c r="I7" i="117"/>
  <c r="W39" i="117"/>
  <c r="AC23" i="114"/>
  <c r="AC32" i="114"/>
  <c r="AC29" i="114"/>
  <c r="AE9" i="117"/>
  <c r="AC20" i="114"/>
  <c r="I10" i="117"/>
  <c r="I36" i="117"/>
  <c r="AE34" i="117"/>
  <c r="AE6" i="117"/>
  <c r="I19" i="117"/>
  <c r="I32" i="117"/>
  <c r="I37" i="117"/>
  <c r="AC9" i="114"/>
  <c r="F3" i="1"/>
  <c r="AC39" i="114"/>
  <c r="D38" i="114"/>
  <c r="J7" i="114"/>
  <c r="D39" i="114"/>
  <c r="AB38" i="117"/>
  <c r="M24" i="70"/>
  <c r="M26" i="70" s="1"/>
  <c r="M29" i="70" s="1"/>
  <c r="M21" i="70"/>
  <c r="O23" i="70"/>
  <c r="S23" i="70"/>
  <c r="K4" i="1"/>
  <c r="H24" i="70"/>
  <c r="H26" i="70" s="1"/>
  <c r="H29" i="70" s="1"/>
  <c r="H21" i="70"/>
  <c r="T38" i="117"/>
  <c r="L20" i="70"/>
  <c r="K24" i="70"/>
  <c r="K21" i="70"/>
  <c r="R24" i="70"/>
  <c r="R21" i="70"/>
  <c r="Y7" i="114"/>
  <c r="Y30" i="114"/>
  <c r="Y6" i="114"/>
  <c r="Y12" i="114"/>
  <c r="Y31" i="114"/>
  <c r="Y34" i="114"/>
  <c r="Y32" i="114"/>
  <c r="Y15" i="114"/>
  <c r="Y21" i="114"/>
  <c r="Y10" i="114"/>
  <c r="Y37" i="114"/>
  <c r="Y35" i="114"/>
  <c r="Y9" i="114"/>
  <c r="Y22" i="114"/>
  <c r="Y24" i="114"/>
  <c r="Y13" i="114"/>
  <c r="Y5" i="114"/>
  <c r="Y16" i="114"/>
  <c r="Y20" i="114"/>
  <c r="Y14" i="114"/>
  <c r="Y36" i="114"/>
  <c r="Y29" i="114"/>
  <c r="Y26" i="114"/>
  <c r="Y17" i="114"/>
  <c r="Y8" i="114"/>
  <c r="Y27" i="114"/>
  <c r="Y28" i="114"/>
  <c r="Y18" i="114"/>
  <c r="Y4" i="114"/>
  <c r="Y19" i="114"/>
  <c r="Y11" i="114"/>
  <c r="Y23" i="114"/>
  <c r="C4" i="1"/>
  <c r="C3" i="1"/>
  <c r="AI38" i="117"/>
  <c r="AI32" i="117"/>
  <c r="AI11" i="117"/>
  <c r="AI26" i="117"/>
  <c r="AI20" i="117"/>
  <c r="AI31" i="117"/>
  <c r="AI27" i="117"/>
  <c r="AI8" i="117"/>
  <c r="AI23" i="117"/>
  <c r="AI9" i="117"/>
  <c r="AI4" i="117"/>
  <c r="AI5" i="117"/>
  <c r="AI21" i="117"/>
  <c r="AI16" i="117"/>
  <c r="AI15" i="117"/>
  <c r="AI37" i="117"/>
  <c r="AI7" i="117"/>
  <c r="AI24" i="117"/>
  <c r="AI36" i="117"/>
  <c r="AI25" i="117"/>
  <c r="AI19" i="117"/>
  <c r="AI14" i="117"/>
  <c r="AI28" i="117"/>
  <c r="D4" i="1"/>
  <c r="D3" i="1"/>
  <c r="P86" i="70"/>
  <c r="P66" i="70"/>
  <c r="Q66" i="70" s="1"/>
  <c r="Q65" i="70"/>
  <c r="I20" i="70"/>
  <c r="AG7" i="117"/>
  <c r="AG34" i="117"/>
  <c r="AG25" i="117"/>
  <c r="AG16" i="117"/>
  <c r="AG11" i="117"/>
  <c r="AG12" i="117"/>
  <c r="AG10" i="117"/>
  <c r="AG19" i="117"/>
  <c r="AG18" i="117"/>
  <c r="AG39" i="117"/>
  <c r="AG35" i="117"/>
  <c r="AG14" i="117"/>
  <c r="AG5" i="117"/>
  <c r="AG20" i="117"/>
  <c r="AG8" i="117"/>
  <c r="AG28" i="117"/>
  <c r="AG38" i="117"/>
  <c r="AG26" i="117"/>
  <c r="AG13" i="117"/>
  <c r="AG32" i="117"/>
  <c r="AG33" i="117"/>
  <c r="AG27" i="117"/>
  <c r="AG21" i="117"/>
  <c r="AG37" i="117"/>
  <c r="AG30" i="117"/>
  <c r="AG6" i="117"/>
  <c r="AG31" i="117"/>
  <c r="AG17" i="117"/>
  <c r="AG29" i="117"/>
  <c r="AG9" i="117"/>
  <c r="AG15" i="117"/>
  <c r="AG23" i="117"/>
  <c r="AG4" i="117"/>
  <c r="AG22" i="117"/>
  <c r="AV15" i="46"/>
  <c r="W39" i="114"/>
  <c r="I7" i="114"/>
  <c r="I21" i="114"/>
  <c r="I34" i="114"/>
  <c r="I15" i="114"/>
  <c r="I18" i="114"/>
  <c r="I6" i="114"/>
  <c r="I14" i="114"/>
  <c r="I29" i="114"/>
  <c r="I36" i="114"/>
  <c r="I23" i="114"/>
  <c r="I19" i="114"/>
  <c r="I11" i="114"/>
  <c r="I28" i="114"/>
  <c r="I26" i="114"/>
  <c r="I27" i="114"/>
  <c r="I4" i="114"/>
  <c r="I16" i="114"/>
  <c r="I32" i="114"/>
  <c r="I9" i="114"/>
  <c r="I37" i="114"/>
  <c r="I33" i="114"/>
  <c r="I31" i="114"/>
  <c r="I24" i="114"/>
  <c r="I20" i="114"/>
  <c r="I25" i="114"/>
  <c r="I35" i="114"/>
  <c r="I30" i="114"/>
  <c r="I5" i="114"/>
  <c r="I12" i="114"/>
  <c r="I10" i="114"/>
  <c r="I17" i="114"/>
  <c r="I13" i="114"/>
  <c r="I22" i="114"/>
  <c r="AI39" i="117"/>
  <c r="F3" i="51"/>
  <c r="F4" i="51"/>
  <c r="L9" i="70"/>
  <c r="J9" i="70"/>
  <c r="BC4" i="119"/>
  <c r="X4" i="119"/>
  <c r="J4" i="50"/>
  <c r="J65" i="70"/>
  <c r="I66" i="70"/>
  <c r="J66" i="70" s="1"/>
  <c r="I86" i="70"/>
  <c r="AC38" i="114"/>
  <c r="AC37" i="114"/>
  <c r="AC28" i="114"/>
  <c r="AC26" i="114"/>
  <c r="AC12" i="114"/>
  <c r="H108" i="70"/>
  <c r="H87" i="70"/>
  <c r="L87" i="70" s="1"/>
  <c r="AE38" i="117"/>
  <c r="AE36" i="117"/>
  <c r="AE29" i="117"/>
  <c r="AE15" i="117"/>
  <c r="AE16" i="117"/>
  <c r="AE22" i="117"/>
  <c r="AE32" i="117"/>
  <c r="AE8" i="117"/>
  <c r="AE33" i="117"/>
  <c r="AE25" i="117"/>
  <c r="AE13" i="117"/>
  <c r="AE24" i="117"/>
  <c r="AE20" i="117"/>
  <c r="AE39" i="117"/>
  <c r="AE14" i="117"/>
  <c r="AE10" i="117"/>
  <c r="AE12" i="117"/>
  <c r="AE27" i="117"/>
  <c r="AE30" i="117"/>
  <c r="AE37" i="117"/>
  <c r="AE23" i="117"/>
  <c r="AE5" i="117"/>
  <c r="AE35" i="117"/>
  <c r="AE31" i="117"/>
  <c r="AE18" i="117"/>
  <c r="BC3" i="50"/>
  <c r="BC4" i="50"/>
  <c r="I38" i="117"/>
  <c r="I8" i="117"/>
  <c r="I29" i="117"/>
  <c r="I15" i="117"/>
  <c r="I22" i="117"/>
  <c r="I20" i="117"/>
  <c r="I24" i="117"/>
  <c r="I25" i="117"/>
  <c r="I28" i="117"/>
  <c r="I27" i="117"/>
  <c r="I13" i="117"/>
  <c r="I23" i="117"/>
  <c r="I14" i="117"/>
  <c r="I16" i="117"/>
  <c r="I33" i="117"/>
  <c r="I26" i="117"/>
  <c r="I30" i="117"/>
  <c r="I31" i="117"/>
  <c r="O19" i="70"/>
  <c r="B7" i="117"/>
  <c r="O4" i="50"/>
  <c r="O3" i="50"/>
  <c r="W13" i="114"/>
  <c r="W23" i="114"/>
  <c r="W16" i="114"/>
  <c r="W10" i="114"/>
  <c r="W18" i="114"/>
  <c r="W24" i="114"/>
  <c r="W7" i="114"/>
  <c r="W6" i="114"/>
  <c r="W4" i="114"/>
  <c r="W34" i="114"/>
  <c r="W17" i="114"/>
  <c r="W19" i="114"/>
  <c r="W37" i="114"/>
  <c r="W12" i="114"/>
  <c r="W32" i="114"/>
  <c r="W29" i="114"/>
  <c r="W9" i="114"/>
  <c r="W8" i="114"/>
  <c r="W35" i="114"/>
  <c r="W5" i="114"/>
  <c r="W21" i="114"/>
  <c r="W22" i="114"/>
  <c r="W36" i="114"/>
  <c r="W27" i="114"/>
  <c r="W20" i="114"/>
  <c r="W11" i="114"/>
  <c r="W25" i="114"/>
  <c r="W26" i="114"/>
  <c r="W33" i="114"/>
  <c r="W15" i="114"/>
  <c r="W28" i="114"/>
  <c r="W14" i="114"/>
  <c r="W31" i="114"/>
  <c r="M158" i="70"/>
  <c r="J10" i="70"/>
  <c r="L10" i="70"/>
  <c r="O20" i="70"/>
  <c r="N24" i="70"/>
  <c r="N21" i="70"/>
  <c r="O21" i="70" s="1"/>
  <c r="Q23" i="70"/>
  <c r="P159" i="70"/>
  <c r="B38" i="117"/>
  <c r="T38" i="114"/>
  <c r="S19" i="70"/>
  <c r="Q20" i="70"/>
  <c r="P24" i="70"/>
  <c r="P21" i="70"/>
  <c r="Q21" i="70" s="1"/>
  <c r="W10" i="117"/>
  <c r="W19" i="117"/>
  <c r="W25" i="117"/>
  <c r="W30" i="117"/>
  <c r="W28" i="117"/>
  <c r="W24" i="117"/>
  <c r="W4" i="117"/>
  <c r="W8" i="117"/>
  <c r="W15" i="117"/>
  <c r="W34" i="117"/>
  <c r="W13" i="117"/>
  <c r="W33" i="117"/>
  <c r="W38" i="117"/>
  <c r="W29" i="117"/>
  <c r="W21" i="117"/>
  <c r="W22" i="117"/>
  <c r="W35" i="117"/>
  <c r="W16" i="117"/>
  <c r="W26" i="117"/>
  <c r="W17" i="117"/>
  <c r="W11" i="117"/>
  <c r="W5" i="117"/>
  <c r="W12" i="117"/>
  <c r="W6" i="117"/>
  <c r="W31" i="117"/>
  <c r="W20" i="117"/>
  <c r="W32" i="117"/>
  <c r="W23" i="117"/>
  <c r="W14" i="117"/>
  <c r="W27" i="117"/>
  <c r="W9" i="117"/>
  <c r="W18" i="117"/>
  <c r="W37" i="117"/>
  <c r="W7" i="117"/>
  <c r="W36" i="117"/>
  <c r="F3" i="3"/>
  <c r="F4" i="3"/>
  <c r="N158" i="70"/>
  <c r="O10" i="70"/>
  <c r="S10" i="70"/>
  <c r="Q10" i="70"/>
  <c r="AI17" i="117"/>
  <c r="AC39" i="117"/>
  <c r="O107" i="70"/>
  <c r="Q107" i="70"/>
  <c r="O18" i="70"/>
  <c r="S18" i="70"/>
  <c r="D4" i="50"/>
  <c r="D3" i="50"/>
  <c r="AX6" i="46"/>
  <c r="AU36" i="46"/>
  <c r="AX36" i="46" s="1"/>
  <c r="O9" i="70"/>
  <c r="S9" i="70"/>
  <c r="Q9" i="70"/>
  <c r="Q18" i="70"/>
  <c r="AE7" i="114"/>
  <c r="AE8" i="114"/>
  <c r="AE10" i="114"/>
  <c r="AE4" i="114"/>
  <c r="AE15" i="114"/>
  <c r="AE13" i="114"/>
  <c r="AE26" i="114"/>
  <c r="AE16" i="114"/>
  <c r="AE11" i="114"/>
  <c r="AE17" i="114"/>
  <c r="AE24" i="114"/>
  <c r="AE18" i="114"/>
  <c r="AE20" i="114"/>
  <c r="AE5" i="114"/>
  <c r="AE28" i="114"/>
  <c r="AE9" i="114"/>
  <c r="AE22" i="114"/>
  <c r="AE37" i="114"/>
  <c r="AE14" i="114"/>
  <c r="AE25" i="114"/>
  <c r="AE30" i="114"/>
  <c r="AE23" i="114"/>
  <c r="AE12" i="114"/>
  <c r="AE32" i="114"/>
  <c r="AE35" i="114"/>
  <c r="AE34" i="114"/>
  <c r="AE29" i="114"/>
  <c r="AE27" i="114"/>
  <c r="AE36" i="114"/>
  <c r="AE6" i="114"/>
  <c r="AE19" i="114"/>
  <c r="AE33" i="114"/>
  <c r="AE21" i="114"/>
  <c r="AE31" i="114"/>
  <c r="AG7" i="114"/>
  <c r="AG27" i="114"/>
  <c r="AG16" i="114"/>
  <c r="AG21" i="114"/>
  <c r="AG32" i="114"/>
  <c r="AG15" i="114"/>
  <c r="AG14" i="114"/>
  <c r="AG39" i="114"/>
  <c r="AG28" i="114"/>
  <c r="AG13" i="114"/>
  <c r="AG26" i="114"/>
  <c r="AG25" i="114"/>
  <c r="AG34" i="114"/>
  <c r="AG17" i="114"/>
  <c r="AG30" i="114"/>
  <c r="AG31" i="114"/>
  <c r="AG18" i="114"/>
  <c r="AG29" i="114"/>
  <c r="AG22" i="114"/>
  <c r="AG19" i="114"/>
  <c r="AG36" i="114"/>
  <c r="AG9" i="114"/>
  <c r="AG12" i="114"/>
  <c r="AG38" i="114"/>
  <c r="AG11" i="114"/>
  <c r="AG33" i="114"/>
  <c r="AG24" i="114"/>
  <c r="AG8" i="114"/>
  <c r="AG23" i="114"/>
  <c r="AG20" i="114"/>
  <c r="AG35" i="114"/>
  <c r="AG10" i="114"/>
  <c r="AG37" i="114"/>
  <c r="M3" i="50"/>
  <c r="M4" i="50"/>
  <c r="S86" i="70"/>
  <c r="R87" i="70"/>
  <c r="S87" i="70" s="1"/>
  <c r="R108" i="70"/>
  <c r="O108" i="70"/>
  <c r="N109" i="70"/>
  <c r="N111" i="70"/>
  <c r="L108" i="70"/>
  <c r="K109" i="70"/>
  <c r="K111" i="70"/>
  <c r="AJ4" i="1" l="1"/>
  <c r="AV4" i="50"/>
  <c r="AL3" i="1"/>
  <c r="O4" i="119"/>
  <c r="AM4" i="1"/>
  <c r="Z3" i="50"/>
  <c r="W3" i="51" s="1"/>
  <c r="AW4" i="50"/>
  <c r="AJ4" i="50" s="1"/>
  <c r="AG4" i="51" s="1"/>
  <c r="AM3" i="50"/>
  <c r="X3" i="50" s="1"/>
  <c r="U3" i="51" s="1"/>
  <c r="AX4" i="50"/>
  <c r="AK4" i="50" s="1"/>
  <c r="AH4" i="51" s="1"/>
  <c r="AN4" i="1"/>
  <c r="AA4" i="1" s="1"/>
  <c r="AA4" i="3" s="1"/>
  <c r="AQ3" i="1"/>
  <c r="AD3" i="1" s="1"/>
  <c r="AD3" i="3" s="1"/>
  <c r="AU4" i="50"/>
  <c r="AH4" i="50" s="1"/>
  <c r="AE4" i="51" s="1"/>
  <c r="AL4" i="1"/>
  <c r="Y4" i="1" s="1"/>
  <c r="Y4" i="3" s="1"/>
  <c r="AP4" i="50"/>
  <c r="AD4" i="50" s="1"/>
  <c r="AA4" i="51" s="1"/>
  <c r="AT4" i="50"/>
  <c r="AG4" i="50" s="1"/>
  <c r="AD4" i="51" s="1"/>
  <c r="AG4" i="114"/>
  <c r="AM3" i="1"/>
  <c r="Z3" i="1" s="1"/>
  <c r="Z3" i="3" s="1"/>
  <c r="AR3" i="50"/>
  <c r="AE3" i="50" s="1"/>
  <c r="AB3" i="51" s="1"/>
  <c r="Y3" i="1"/>
  <c r="Y3" i="3" s="1"/>
  <c r="I6" i="117"/>
  <c r="AO3" i="50"/>
  <c r="AC3" i="50" s="1"/>
  <c r="Z3" i="51" s="1"/>
  <c r="AQ4" i="1"/>
  <c r="AD4" i="1" s="1"/>
  <c r="AD4" i="3" s="1"/>
  <c r="AM4" i="50"/>
  <c r="X4" i="50" s="1"/>
  <c r="U4" i="51" s="1"/>
  <c r="AI4" i="50"/>
  <c r="AF4" i="51" s="1"/>
  <c r="AO4" i="50"/>
  <c r="AC4" i="50" s="1"/>
  <c r="Z4" i="51" s="1"/>
  <c r="AG6" i="114"/>
  <c r="E4" i="50"/>
  <c r="AW3" i="50"/>
  <c r="AJ3" i="50" s="1"/>
  <c r="AG3" i="51" s="1"/>
  <c r="AR4" i="50"/>
  <c r="AE4" i="50" s="1"/>
  <c r="AB4" i="51" s="1"/>
  <c r="Z4" i="1"/>
  <c r="Z4" i="3" s="1"/>
  <c r="X4" i="1"/>
  <c r="X4" i="3" s="1"/>
  <c r="I4" i="50"/>
  <c r="H4" i="51" s="1"/>
  <c r="G4" i="50"/>
  <c r="AS3" i="50"/>
  <c r="AF3" i="50" s="1"/>
  <c r="AC3" i="51" s="1"/>
  <c r="P4" i="50"/>
  <c r="N4" i="51" s="1"/>
  <c r="E3" i="50"/>
  <c r="AV3" i="50"/>
  <c r="AI3" i="50" s="1"/>
  <c r="AF3" i="51" s="1"/>
  <c r="C4" i="51"/>
  <c r="G4" i="51" s="1"/>
  <c r="I4" i="117"/>
  <c r="G3" i="50"/>
  <c r="I3" i="50"/>
  <c r="H3" i="51" s="1"/>
  <c r="N4" i="50"/>
  <c r="Z4" i="50"/>
  <c r="W4" i="51" s="1"/>
  <c r="T4" i="1"/>
  <c r="T4" i="3" s="1"/>
  <c r="T3" i="1"/>
  <c r="T3" i="3" s="1"/>
  <c r="AW4" i="119"/>
  <c r="AS4" i="50"/>
  <c r="AF4" i="50" s="1"/>
  <c r="AC4" i="51" s="1"/>
  <c r="L21" i="70"/>
  <c r="BP4" i="119"/>
  <c r="AI4" i="1"/>
  <c r="W4" i="1" s="1"/>
  <c r="W4" i="3" s="1"/>
  <c r="AI3" i="1"/>
  <c r="W3" i="1" s="1"/>
  <c r="W3" i="3" s="1"/>
  <c r="M111" i="70"/>
  <c r="M113" i="70" s="1"/>
  <c r="M121" i="70" s="1"/>
  <c r="M109" i="70"/>
  <c r="O109" i="70" s="1"/>
  <c r="S21" i="70"/>
  <c r="AX3" i="50"/>
  <c r="AK3" i="50" s="1"/>
  <c r="AH3" i="51" s="1"/>
  <c r="C38" i="117"/>
  <c r="J38" i="114"/>
  <c r="J39" i="114"/>
  <c r="J38" i="117"/>
  <c r="D3" i="51"/>
  <c r="D4" i="51"/>
  <c r="D4" i="3"/>
  <c r="D3" i="3"/>
  <c r="K4" i="3"/>
  <c r="L4" i="51"/>
  <c r="L3" i="51"/>
  <c r="AU3" i="50"/>
  <c r="AH3" i="50" s="1"/>
  <c r="AE3" i="51" s="1"/>
  <c r="M44" i="46"/>
  <c r="N44" i="46" s="1"/>
  <c r="O24" i="70"/>
  <c r="N26" i="70"/>
  <c r="N159" i="70"/>
  <c r="Z38" i="114"/>
  <c r="J44" i="46"/>
  <c r="K44" i="46" s="1"/>
  <c r="H109" i="70"/>
  <c r="L109" i="70" s="1"/>
  <c r="H111" i="70"/>
  <c r="H113" i="70" s="1"/>
  <c r="H121" i="70" s="1"/>
  <c r="AC38" i="117"/>
  <c r="AC37" i="117"/>
  <c r="AC36" i="117"/>
  <c r="AC31" i="117"/>
  <c r="AC11" i="117"/>
  <c r="AC6" i="117"/>
  <c r="AC9" i="117"/>
  <c r="AC10" i="117"/>
  <c r="AC4" i="117"/>
  <c r="AC8" i="117"/>
  <c r="AC13" i="117"/>
  <c r="AC25" i="117"/>
  <c r="AC29" i="117"/>
  <c r="AC28" i="117"/>
  <c r="AC21" i="117"/>
  <c r="AC16" i="117"/>
  <c r="AC18" i="117"/>
  <c r="AC14" i="117"/>
  <c r="AC35" i="117"/>
  <c r="AC32" i="117"/>
  <c r="AC23" i="117"/>
  <c r="AC12" i="117"/>
  <c r="AC17" i="117"/>
  <c r="AC22" i="117"/>
  <c r="AC19" i="117"/>
  <c r="AC27" i="117"/>
  <c r="AC20" i="117"/>
  <c r="AC24" i="117"/>
  <c r="AC30" i="117"/>
  <c r="AC33" i="117"/>
  <c r="AC7" i="117"/>
  <c r="AC34" i="117"/>
  <c r="AC26" i="117"/>
  <c r="AC15" i="117"/>
  <c r="AC5" i="117"/>
  <c r="T39" i="117"/>
  <c r="U38" i="117" s="1"/>
  <c r="AY15" i="46"/>
  <c r="E3" i="1"/>
  <c r="G3" i="1"/>
  <c r="S24" i="70"/>
  <c r="R26" i="70"/>
  <c r="I3" i="1"/>
  <c r="I4" i="1"/>
  <c r="I21" i="70"/>
  <c r="J21" i="70" s="1"/>
  <c r="I24" i="70"/>
  <c r="J20" i="70"/>
  <c r="G4" i="1"/>
  <c r="E4" i="1"/>
  <c r="C39" i="117"/>
  <c r="C3" i="51"/>
  <c r="Y4" i="50"/>
  <c r="V4" i="51" s="1"/>
  <c r="T39" i="114"/>
  <c r="U39" i="114" s="1"/>
  <c r="AJ3" i="1"/>
  <c r="X3" i="1" s="1"/>
  <c r="X3" i="3" s="1"/>
  <c r="C34" i="117"/>
  <c r="C33" i="117"/>
  <c r="C32" i="117"/>
  <c r="C21" i="117"/>
  <c r="C20" i="117"/>
  <c r="C18" i="117"/>
  <c r="C6" i="117"/>
  <c r="C16" i="117"/>
  <c r="C27" i="117"/>
  <c r="C12" i="117"/>
  <c r="C13" i="117"/>
  <c r="C25" i="117"/>
  <c r="C26" i="117"/>
  <c r="C4" i="117"/>
  <c r="C24" i="117"/>
  <c r="C37" i="117"/>
  <c r="C35" i="117"/>
  <c r="C5" i="117"/>
  <c r="C8" i="117"/>
  <c r="C10" i="117"/>
  <c r="C11" i="117"/>
  <c r="C22" i="117"/>
  <c r="C31" i="117"/>
  <c r="C23" i="117"/>
  <c r="C17" i="117"/>
  <c r="C15" i="117"/>
  <c r="C30" i="117"/>
  <c r="C19" i="117"/>
  <c r="C14" i="117"/>
  <c r="C7" i="117"/>
  <c r="C28" i="117"/>
  <c r="C9" i="117"/>
  <c r="C36" i="117"/>
  <c r="C29" i="117"/>
  <c r="AR3" i="1"/>
  <c r="AE3" i="1" s="1"/>
  <c r="AE3" i="3" s="1"/>
  <c r="AR4" i="1"/>
  <c r="AE4" i="1" s="1"/>
  <c r="AE4" i="3" s="1"/>
  <c r="L24" i="70"/>
  <c r="K26" i="70"/>
  <c r="Z39" i="114"/>
  <c r="AA39" i="114" s="1"/>
  <c r="D7" i="117"/>
  <c r="I4" i="51"/>
  <c r="P158" i="70"/>
  <c r="AG4" i="1"/>
  <c r="R4" i="1" s="1"/>
  <c r="R4" i="3" s="1"/>
  <c r="AG3" i="1"/>
  <c r="R3" i="1" s="1"/>
  <c r="R3" i="3" s="1"/>
  <c r="H4" i="1"/>
  <c r="L4" i="1" s="1"/>
  <c r="H3" i="1"/>
  <c r="Q86" i="70"/>
  <c r="P87" i="70"/>
  <c r="Q87" i="70" s="1"/>
  <c r="P108" i="70"/>
  <c r="AP3" i="1"/>
  <c r="AC3" i="1" s="1"/>
  <c r="AC3" i="3" s="1"/>
  <c r="AP4" i="1"/>
  <c r="AC4" i="1" s="1"/>
  <c r="AC4" i="3" s="1"/>
  <c r="K7" i="114"/>
  <c r="K19" i="114"/>
  <c r="K18" i="114"/>
  <c r="K28" i="114"/>
  <c r="K13" i="114"/>
  <c r="K36" i="114"/>
  <c r="K17" i="114"/>
  <c r="K8" i="114"/>
  <c r="K35" i="114"/>
  <c r="K37" i="114"/>
  <c r="K23" i="114"/>
  <c r="K4" i="114"/>
  <c r="K22" i="114"/>
  <c r="K33" i="114"/>
  <c r="K27" i="114"/>
  <c r="K5" i="114"/>
  <c r="K34" i="114"/>
  <c r="K25" i="114"/>
  <c r="K29" i="114"/>
  <c r="K32" i="114"/>
  <c r="K16" i="114"/>
  <c r="K10" i="114"/>
  <c r="K11" i="114"/>
  <c r="K15" i="114"/>
  <c r="K20" i="114"/>
  <c r="K9" i="114"/>
  <c r="K21" i="114"/>
  <c r="K26" i="114"/>
  <c r="K12" i="114"/>
  <c r="K6" i="114"/>
  <c r="K30" i="114"/>
  <c r="K24" i="114"/>
  <c r="K31" i="114"/>
  <c r="K14" i="114"/>
  <c r="I87" i="70"/>
  <c r="J87" i="70" s="1"/>
  <c r="J86" i="70"/>
  <c r="I108" i="70"/>
  <c r="U19" i="114"/>
  <c r="AO4" i="1"/>
  <c r="AB4" i="1" s="1"/>
  <c r="AB4" i="3" s="1"/>
  <c r="AO3" i="1"/>
  <c r="AB3" i="1" s="1"/>
  <c r="AB3" i="3" s="1"/>
  <c r="D38" i="117"/>
  <c r="Q24" i="70"/>
  <c r="P26" i="70"/>
  <c r="U11" i="114"/>
  <c r="U12" i="114"/>
  <c r="B7" i="114"/>
  <c r="C4" i="3"/>
  <c r="C3" i="3"/>
  <c r="M159" i="70"/>
  <c r="Z38" i="117"/>
  <c r="L111" i="70"/>
  <c r="K113" i="70"/>
  <c r="S108" i="70"/>
  <c r="R111" i="70"/>
  <c r="R109" i="70"/>
  <c r="S109" i="70" s="1"/>
  <c r="N113" i="70"/>
  <c r="E4" i="51" l="1"/>
  <c r="O111" i="70"/>
  <c r="U14" i="114"/>
  <c r="M124" i="70"/>
  <c r="M140" i="70" s="1"/>
  <c r="M148" i="70" s="1"/>
  <c r="M122" i="70"/>
  <c r="U31" i="114"/>
  <c r="U4" i="114"/>
  <c r="U36" i="114"/>
  <c r="K39" i="114"/>
  <c r="J39" i="117"/>
  <c r="K39" i="117" s="1"/>
  <c r="D7" i="114"/>
  <c r="H4" i="3"/>
  <c r="H3" i="3"/>
  <c r="U17" i="114"/>
  <c r="U20" i="114"/>
  <c r="U6" i="114"/>
  <c r="U30" i="114"/>
  <c r="H122" i="70"/>
  <c r="H124" i="70"/>
  <c r="H140" i="70" s="1"/>
  <c r="H148" i="70" s="1"/>
  <c r="H150" i="70" s="1"/>
  <c r="U34" i="114"/>
  <c r="K3" i="3"/>
  <c r="K3" i="1"/>
  <c r="L3" i="1" s="1"/>
  <c r="J3" i="1"/>
  <c r="S3" i="1"/>
  <c r="S3" i="3" s="1"/>
  <c r="L26" i="70"/>
  <c r="K29" i="70"/>
  <c r="L29" i="70" s="1"/>
  <c r="U35" i="114"/>
  <c r="U38" i="114"/>
  <c r="J4" i="1"/>
  <c r="S4" i="1"/>
  <c r="S4" i="3" s="1"/>
  <c r="D39" i="117"/>
  <c r="E39" i="117" s="1"/>
  <c r="J3" i="50"/>
  <c r="D44" i="46"/>
  <c r="E44" i="46" s="1"/>
  <c r="G3" i="3"/>
  <c r="E3" i="3"/>
  <c r="G4" i="3"/>
  <c r="E4" i="3"/>
  <c r="U8" i="114"/>
  <c r="U32" i="114"/>
  <c r="U21" i="114"/>
  <c r="U18" i="114"/>
  <c r="C16" i="114"/>
  <c r="C13" i="114"/>
  <c r="C12" i="114"/>
  <c r="C25" i="114"/>
  <c r="C18" i="114"/>
  <c r="C34" i="114"/>
  <c r="C4" i="114"/>
  <c r="C33" i="114"/>
  <c r="C27" i="114"/>
  <c r="C19" i="114"/>
  <c r="C8" i="114"/>
  <c r="C28" i="114"/>
  <c r="C9" i="114"/>
  <c r="C5" i="114"/>
  <c r="C6" i="114"/>
  <c r="C26" i="114"/>
  <c r="C31" i="114"/>
  <c r="C35" i="114"/>
  <c r="C32" i="114"/>
  <c r="C24" i="114"/>
  <c r="C22" i="114"/>
  <c r="C20" i="114"/>
  <c r="C30" i="114"/>
  <c r="C29" i="114"/>
  <c r="C17" i="114"/>
  <c r="C37" i="114"/>
  <c r="C14" i="114"/>
  <c r="C21" i="114"/>
  <c r="C36" i="114"/>
  <c r="C15" i="114"/>
  <c r="C23" i="114"/>
  <c r="C7" i="114"/>
  <c r="C11" i="114"/>
  <c r="C10" i="114"/>
  <c r="C39" i="114"/>
  <c r="C38" i="114"/>
  <c r="E11" i="117"/>
  <c r="E4" i="117"/>
  <c r="E29" i="117"/>
  <c r="E15" i="117"/>
  <c r="E37" i="117"/>
  <c r="E16" i="117"/>
  <c r="E27" i="117"/>
  <c r="E9" i="117"/>
  <c r="E14" i="117"/>
  <c r="E32" i="117"/>
  <c r="E36" i="117"/>
  <c r="E25" i="117"/>
  <c r="E19" i="117"/>
  <c r="E33" i="117"/>
  <c r="E7" i="117"/>
  <c r="E30" i="117"/>
  <c r="E12" i="117"/>
  <c r="E31" i="117"/>
  <c r="E24" i="117"/>
  <c r="E26" i="117"/>
  <c r="E28" i="117"/>
  <c r="E18" i="117"/>
  <c r="E22" i="117"/>
  <c r="E17" i="117"/>
  <c r="E5" i="117"/>
  <c r="E10" i="117"/>
  <c r="E34" i="117"/>
  <c r="E35" i="117"/>
  <c r="E6" i="117"/>
  <c r="E20" i="117"/>
  <c r="E23" i="117"/>
  <c r="E21" i="117"/>
  <c r="E13" i="117"/>
  <c r="E8" i="117"/>
  <c r="I4" i="3"/>
  <c r="I3" i="3"/>
  <c r="M4" i="51"/>
  <c r="U15" i="114"/>
  <c r="U7" i="114"/>
  <c r="G3" i="51"/>
  <c r="E3" i="51"/>
  <c r="G44" i="46"/>
  <c r="H44" i="46" s="1"/>
  <c r="J24" i="70"/>
  <c r="I26" i="70"/>
  <c r="S26" i="70"/>
  <c r="R29" i="70"/>
  <c r="S29" i="70" s="1"/>
  <c r="L4" i="3"/>
  <c r="U29" i="114"/>
  <c r="AP3" i="50"/>
  <c r="AD3" i="50" s="1"/>
  <c r="AA3" i="51" s="1"/>
  <c r="O26" i="70"/>
  <c r="N29" i="70"/>
  <c r="O29" i="70" s="1"/>
  <c r="U28" i="114"/>
  <c r="U39" i="117"/>
  <c r="U8" i="117"/>
  <c r="U21" i="117"/>
  <c r="U37" i="117"/>
  <c r="U16" i="117"/>
  <c r="U32" i="117"/>
  <c r="U10" i="117"/>
  <c r="U12" i="117"/>
  <c r="U22" i="117"/>
  <c r="U24" i="117"/>
  <c r="U14" i="117"/>
  <c r="U23" i="117"/>
  <c r="U28" i="117"/>
  <c r="U4" i="117"/>
  <c r="U35" i="117"/>
  <c r="U25" i="117"/>
  <c r="U19" i="117"/>
  <c r="U26" i="117"/>
  <c r="U27" i="117"/>
  <c r="U13" i="117"/>
  <c r="U5" i="117"/>
  <c r="U7" i="117"/>
  <c r="U34" i="117"/>
  <c r="U9" i="117"/>
  <c r="U30" i="117"/>
  <c r="U36" i="117"/>
  <c r="U33" i="117"/>
  <c r="U20" i="117"/>
  <c r="U15" i="117"/>
  <c r="U11" i="117"/>
  <c r="U31" i="117"/>
  <c r="U29" i="117"/>
  <c r="U18" i="117"/>
  <c r="U17" i="117"/>
  <c r="U6" i="117"/>
  <c r="AA38" i="114"/>
  <c r="AA5" i="114"/>
  <c r="AA30" i="114"/>
  <c r="AA31" i="114"/>
  <c r="AA9" i="114"/>
  <c r="AA29" i="114"/>
  <c r="AA33" i="114"/>
  <c r="AA8" i="114"/>
  <c r="AA6" i="114"/>
  <c r="AA23" i="114"/>
  <c r="AA36" i="114"/>
  <c r="AA26" i="114"/>
  <c r="AA24" i="114"/>
  <c r="AA11" i="114"/>
  <c r="AA22" i="114"/>
  <c r="AA12" i="114"/>
  <c r="AA10" i="114"/>
  <c r="AA37" i="114"/>
  <c r="AA13" i="114"/>
  <c r="AA17" i="114"/>
  <c r="AA18" i="114"/>
  <c r="AA21" i="114"/>
  <c r="AA27" i="114"/>
  <c r="AA32" i="114"/>
  <c r="AA4" i="114"/>
  <c r="AA34" i="114"/>
  <c r="AA16" i="114"/>
  <c r="AA14" i="114"/>
  <c r="AA15" i="114"/>
  <c r="AA25" i="114"/>
  <c r="AA20" i="114"/>
  <c r="AA28" i="114"/>
  <c r="AA7" i="114"/>
  <c r="AA19" i="114"/>
  <c r="AA35" i="114"/>
  <c r="U37" i="114"/>
  <c r="U26" i="114"/>
  <c r="K38" i="117"/>
  <c r="K22" i="117"/>
  <c r="K14" i="117"/>
  <c r="K11" i="117"/>
  <c r="K32" i="117"/>
  <c r="K31" i="117"/>
  <c r="K29" i="117"/>
  <c r="K5" i="117"/>
  <c r="K30" i="117"/>
  <c r="K13" i="117"/>
  <c r="K19" i="117"/>
  <c r="K18" i="117"/>
  <c r="K27" i="117"/>
  <c r="K15" i="117"/>
  <c r="K4" i="117"/>
  <c r="K25" i="117"/>
  <c r="K21" i="117"/>
  <c r="K8" i="117"/>
  <c r="K28" i="117"/>
  <c r="K23" i="117"/>
  <c r="K37" i="117"/>
  <c r="K17" i="117"/>
  <c r="K10" i="117"/>
  <c r="K12" i="117"/>
  <c r="K34" i="117"/>
  <c r="K26" i="117"/>
  <c r="K20" i="117"/>
  <c r="K24" i="117"/>
  <c r="K16" i="117"/>
  <c r="K33" i="117"/>
  <c r="K6" i="117"/>
  <c r="K9" i="117"/>
  <c r="K35" i="117"/>
  <c r="K7" i="117"/>
  <c r="K36" i="117"/>
  <c r="AN3" i="1"/>
  <c r="AA3" i="1" s="1"/>
  <c r="AA3" i="3" s="1"/>
  <c r="U25" i="114"/>
  <c r="K3" i="50"/>
  <c r="K4" i="50"/>
  <c r="L4" i="50" s="1"/>
  <c r="U10" i="114"/>
  <c r="Z39" i="117"/>
  <c r="AA39" i="117" s="1"/>
  <c r="U5" i="114"/>
  <c r="Q26" i="70"/>
  <c r="P29" i="70"/>
  <c r="Q29" i="70" s="1"/>
  <c r="I109" i="70"/>
  <c r="J109" i="70" s="1"/>
  <c r="I111" i="70"/>
  <c r="J108" i="70"/>
  <c r="Q108" i="70"/>
  <c r="P111" i="70"/>
  <c r="P109" i="70"/>
  <c r="Q109" i="70" s="1"/>
  <c r="U22" i="114"/>
  <c r="U23" i="114"/>
  <c r="U27" i="114"/>
  <c r="U24" i="114"/>
  <c r="U13" i="114"/>
  <c r="U9" i="114"/>
  <c r="U33" i="114"/>
  <c r="K38" i="114"/>
  <c r="AA38" i="117"/>
  <c r="AA26" i="117"/>
  <c r="AA23" i="117"/>
  <c r="AA21" i="117"/>
  <c r="AA25" i="117"/>
  <c r="AA16" i="117"/>
  <c r="AA15" i="117"/>
  <c r="AA8" i="117"/>
  <c r="AA30" i="117"/>
  <c r="AA7" i="117"/>
  <c r="AA11" i="117"/>
  <c r="AA33" i="117"/>
  <c r="AA20" i="117"/>
  <c r="AA6" i="117"/>
  <c r="AA4" i="117"/>
  <c r="AA36" i="117"/>
  <c r="AA5" i="117"/>
  <c r="AA35" i="117"/>
  <c r="AA37" i="117"/>
  <c r="AA9" i="117"/>
  <c r="AA24" i="117"/>
  <c r="AA17" i="117"/>
  <c r="AA32" i="117"/>
  <c r="AA14" i="117"/>
  <c r="AA13" i="117"/>
  <c r="AA34" i="117"/>
  <c r="AA18" i="117"/>
  <c r="AA10" i="117"/>
  <c r="AA28" i="117"/>
  <c r="AA22" i="117"/>
  <c r="AA29" i="117"/>
  <c r="U16" i="114"/>
  <c r="R113" i="70"/>
  <c r="S111" i="70"/>
  <c r="L113" i="70"/>
  <c r="K121" i="70"/>
  <c r="O113" i="70"/>
  <c r="N121" i="70"/>
  <c r="M150" i="70" l="1"/>
  <c r="AP34" i="46"/>
  <c r="AV34" i="46" s="1"/>
  <c r="AY34" i="46" s="1"/>
  <c r="J111" i="70"/>
  <c r="I113" i="70"/>
  <c r="AT3" i="50"/>
  <c r="AG3" i="50" s="1"/>
  <c r="AD3" i="51" s="1"/>
  <c r="Y3" i="50"/>
  <c r="V3" i="51" s="1"/>
  <c r="L3" i="50"/>
  <c r="P3" i="50"/>
  <c r="N3" i="51" s="1"/>
  <c r="N3" i="50"/>
  <c r="L3" i="3"/>
  <c r="J3" i="3"/>
  <c r="J4" i="3"/>
  <c r="E4" i="114"/>
  <c r="E7" i="114"/>
  <c r="E37" i="114"/>
  <c r="E5" i="114"/>
  <c r="E19" i="114"/>
  <c r="E11" i="114"/>
  <c r="E10" i="114"/>
  <c r="E27" i="114"/>
  <c r="E21" i="114"/>
  <c r="E33" i="114"/>
  <c r="E31" i="114"/>
  <c r="E15" i="114"/>
  <c r="E25" i="114"/>
  <c r="E35" i="114"/>
  <c r="E30" i="114"/>
  <c r="E20" i="114"/>
  <c r="E6" i="114"/>
  <c r="E34" i="114"/>
  <c r="E9" i="114"/>
  <c r="E32" i="114"/>
  <c r="E8" i="114"/>
  <c r="E18" i="114"/>
  <c r="E29" i="114"/>
  <c r="E16" i="114"/>
  <c r="E26" i="114"/>
  <c r="E28" i="114"/>
  <c r="E23" i="114"/>
  <c r="E13" i="114"/>
  <c r="E22" i="114"/>
  <c r="E12" i="114"/>
  <c r="E36" i="114"/>
  <c r="E14" i="114"/>
  <c r="E17" i="114"/>
  <c r="E24" i="114"/>
  <c r="E39" i="114"/>
  <c r="E38" i="114"/>
  <c r="J4" i="51"/>
  <c r="K4" i="51" s="1"/>
  <c r="J3" i="51"/>
  <c r="E38" i="117"/>
  <c r="J26" i="70"/>
  <c r="I29" i="70"/>
  <c r="J29" i="70" s="1"/>
  <c r="I3" i="51"/>
  <c r="AA12" i="117"/>
  <c r="AA27" i="117"/>
  <c r="Q111" i="70"/>
  <c r="P113" i="70"/>
  <c r="AA19" i="117"/>
  <c r="AA31" i="117"/>
  <c r="O121" i="70"/>
  <c r="N124" i="70"/>
  <c r="N122" i="70"/>
  <c r="O122" i="70" s="1"/>
  <c r="L121" i="70"/>
  <c r="K124" i="70"/>
  <c r="K122" i="70"/>
  <c r="L122" i="70" s="1"/>
  <c r="S113" i="70"/>
  <c r="R121" i="70"/>
  <c r="K3" i="51" l="1"/>
  <c r="M3" i="51"/>
  <c r="J113" i="70"/>
  <c r="I121" i="70"/>
  <c r="Q113" i="70"/>
  <c r="P121" i="70"/>
  <c r="N140" i="70"/>
  <c r="O124" i="70"/>
  <c r="L124" i="70"/>
  <c r="K140" i="70"/>
  <c r="R122" i="70"/>
  <c r="S122" i="70" s="1"/>
  <c r="S121" i="70"/>
  <c r="R124" i="70"/>
  <c r="K130" i="70" l="1"/>
  <c r="R130" i="70"/>
  <c r="Q121" i="70"/>
  <c r="P122" i="70"/>
  <c r="Q122" i="70" s="1"/>
  <c r="P124" i="70"/>
  <c r="I122" i="70"/>
  <c r="J122" i="70" s="1"/>
  <c r="I124" i="70"/>
  <c r="J121" i="70"/>
  <c r="M4" i="1"/>
  <c r="BM4" i="1"/>
  <c r="H130" i="70"/>
  <c r="BL4" i="1"/>
  <c r="Q4" i="50"/>
  <c r="R140" i="70"/>
  <c r="S124" i="70"/>
  <c r="L140" i="70"/>
  <c r="K148" i="70"/>
  <c r="L148" i="70" s="1"/>
  <c r="O140" i="70"/>
  <c r="N148" i="70"/>
  <c r="F7" i="114" l="1"/>
  <c r="M4" i="3"/>
  <c r="J124" i="70"/>
  <c r="I140" i="70"/>
  <c r="L130" i="70"/>
  <c r="K132" i="70"/>
  <c r="M130" i="70"/>
  <c r="M132" i="70" s="1"/>
  <c r="H132" i="70"/>
  <c r="H134" i="70"/>
  <c r="I130" i="70"/>
  <c r="N130" i="70"/>
  <c r="P130" i="70"/>
  <c r="P140" i="70"/>
  <c r="Q124" i="70"/>
  <c r="F7" i="117"/>
  <c r="O4" i="51"/>
  <c r="R132" i="70"/>
  <c r="O148" i="70"/>
  <c r="AQ34" i="46"/>
  <c r="AW34" i="46" s="1"/>
  <c r="R148" i="70"/>
  <c r="S148" i="70" s="1"/>
  <c r="S140" i="70"/>
  <c r="F39" i="114" l="1"/>
  <c r="Q130" i="70"/>
  <c r="P132" i="70"/>
  <c r="AP12" i="46"/>
  <c r="M134" i="70"/>
  <c r="BL3" i="1"/>
  <c r="D47" i="46" s="1"/>
  <c r="E47" i="46" s="1"/>
  <c r="BP4" i="1"/>
  <c r="BP3" i="1"/>
  <c r="J47" i="46" s="1"/>
  <c r="K47" i="46" s="1"/>
  <c r="O130" i="70"/>
  <c r="N132" i="70"/>
  <c r="BD4" i="50"/>
  <c r="W4" i="50" s="1"/>
  <c r="T4" i="51" s="1"/>
  <c r="BD3" i="50"/>
  <c r="R159" i="70"/>
  <c r="U158" i="70"/>
  <c r="S132" i="70"/>
  <c r="BM3" i="1"/>
  <c r="G47" i="46" s="1"/>
  <c r="H47" i="46" s="1"/>
  <c r="R158" i="70"/>
  <c r="I132" i="70"/>
  <c r="J132" i="70" s="1"/>
  <c r="J130" i="70"/>
  <c r="L132" i="70"/>
  <c r="K134" i="70"/>
  <c r="S130" i="70"/>
  <c r="P148" i="70"/>
  <c r="Q140" i="70"/>
  <c r="V4" i="50"/>
  <c r="V3" i="50"/>
  <c r="J140" i="70"/>
  <c r="I148" i="70"/>
  <c r="J148" i="70" s="1"/>
  <c r="BQ4" i="1" l="1"/>
  <c r="BQ3" i="1"/>
  <c r="M47" i="46" s="1"/>
  <c r="N47" i="46" s="1"/>
  <c r="S158" i="70"/>
  <c r="M3" i="1"/>
  <c r="U159" i="70"/>
  <c r="P3" i="1"/>
  <c r="P4" i="1"/>
  <c r="Q4" i="1" s="1"/>
  <c r="Q148" i="70"/>
  <c r="AO34" i="46"/>
  <c r="AU34" i="46" s="1"/>
  <c r="AX34" i="46" s="1"/>
  <c r="Q3" i="50"/>
  <c r="W3" i="50" s="1"/>
  <c r="T3" i="51" s="1"/>
  <c r="S159" i="70"/>
  <c r="AV12" i="46"/>
  <c r="AY12" i="46" s="1"/>
  <c r="AP27" i="46"/>
  <c r="BO4" i="1"/>
  <c r="BO3" i="1"/>
  <c r="BN4" i="1"/>
  <c r="BN3" i="1"/>
  <c r="AQ12" i="46"/>
  <c r="O132" i="70"/>
  <c r="Q132" i="70"/>
  <c r="P134" i="70"/>
  <c r="AO12" i="46"/>
  <c r="Q3" i="1" l="1"/>
  <c r="F38" i="117"/>
  <c r="AW12" i="46"/>
  <c r="AQ27" i="46"/>
  <c r="F39" i="117"/>
  <c r="AV27" i="46"/>
  <c r="AP37" i="46"/>
  <c r="AP38" i="46" s="1"/>
  <c r="AP39" i="46" s="1"/>
  <c r="T4" i="50"/>
  <c r="U4" i="50" s="1"/>
  <c r="T3" i="50"/>
  <c r="U3" i="50" s="1"/>
  <c r="P4" i="3"/>
  <c r="Q4" i="3" s="1"/>
  <c r="P3" i="3"/>
  <c r="R3" i="50"/>
  <c r="S3" i="50" s="1"/>
  <c r="R4" i="50"/>
  <c r="S4" i="50" s="1"/>
  <c r="AO27" i="46"/>
  <c r="AU12" i="46"/>
  <c r="N4" i="1"/>
  <c r="O4" i="1" s="1"/>
  <c r="N3" i="1"/>
  <c r="O3" i="1" s="1"/>
  <c r="F38" i="114"/>
  <c r="M3" i="3"/>
  <c r="G39" i="117" l="1"/>
  <c r="D45" i="46"/>
  <c r="E45" i="46" s="1"/>
  <c r="G38" i="117"/>
  <c r="G10" i="117"/>
  <c r="G25" i="117"/>
  <c r="G15" i="117"/>
  <c r="G34" i="117"/>
  <c r="G14" i="117"/>
  <c r="G30" i="117"/>
  <c r="G8" i="117"/>
  <c r="G29" i="117"/>
  <c r="G12" i="117"/>
  <c r="G18" i="117"/>
  <c r="G9" i="117"/>
  <c r="G32" i="117"/>
  <c r="G24" i="117"/>
  <c r="G4" i="117"/>
  <c r="G37" i="117"/>
  <c r="G31" i="117"/>
  <c r="G33" i="117"/>
  <c r="G27" i="117"/>
  <c r="G20" i="117"/>
  <c r="G5" i="117"/>
  <c r="G28" i="117"/>
  <c r="G11" i="117"/>
  <c r="G35" i="117"/>
  <c r="G21" i="117"/>
  <c r="G17" i="117"/>
  <c r="G19" i="117"/>
  <c r="G22" i="117"/>
  <c r="G7" i="117"/>
  <c r="G23" i="117"/>
  <c r="G26" i="117"/>
  <c r="G6" i="117"/>
  <c r="G13" i="117"/>
  <c r="G16" i="117"/>
  <c r="G36" i="117"/>
  <c r="AY27" i="46"/>
  <c r="AY37" i="46" s="1"/>
  <c r="AY38" i="46" s="1"/>
  <c r="AY39" i="46" s="1"/>
  <c r="AV37" i="46"/>
  <c r="AV38" i="46" s="1"/>
  <c r="AV39" i="46" s="1"/>
  <c r="AQ37" i="46"/>
  <c r="AQ38" i="46" s="1"/>
  <c r="AQ39" i="46" s="1"/>
  <c r="AW27" i="46"/>
  <c r="AW37" i="46" s="1"/>
  <c r="AW38" i="46" s="1"/>
  <c r="AW39" i="46" s="1"/>
  <c r="G38" i="114"/>
  <c r="G13" i="114"/>
  <c r="G26" i="114"/>
  <c r="G35" i="114"/>
  <c r="G4" i="114"/>
  <c r="G31" i="114"/>
  <c r="G6" i="114"/>
  <c r="G25" i="114"/>
  <c r="G24" i="114"/>
  <c r="G27" i="114"/>
  <c r="G20" i="114"/>
  <c r="G5" i="114"/>
  <c r="G12" i="114"/>
  <c r="G33" i="114"/>
  <c r="G21" i="114"/>
  <c r="G7" i="114"/>
  <c r="G37" i="114"/>
  <c r="G29" i="114"/>
  <c r="G28" i="114"/>
  <c r="G10" i="114"/>
  <c r="G32" i="114"/>
  <c r="G14" i="114"/>
  <c r="G23" i="114"/>
  <c r="G30" i="114"/>
  <c r="G36" i="114"/>
  <c r="G34" i="114"/>
  <c r="G18" i="114"/>
  <c r="G22" i="114"/>
  <c r="G9" i="114"/>
  <c r="G15" i="114"/>
  <c r="G8" i="114"/>
  <c r="G11" i="114"/>
  <c r="G16" i="114"/>
  <c r="G19" i="114"/>
  <c r="G17" i="114"/>
  <c r="G39" i="114"/>
  <c r="N3" i="3"/>
  <c r="N4" i="3"/>
  <c r="O4" i="3" s="1"/>
  <c r="AX12" i="46"/>
  <c r="O3" i="51"/>
  <c r="J45" i="46"/>
  <c r="K45" i="46" s="1"/>
  <c r="Q3" i="3"/>
  <c r="R4" i="51"/>
  <c r="S4" i="51" s="1"/>
  <c r="R3" i="51"/>
  <c r="AU27" i="46"/>
  <c r="AO37" i="46"/>
  <c r="AO38" i="46" s="1"/>
  <c r="AO39" i="46" s="1"/>
  <c r="P4" i="51"/>
  <c r="Q4" i="51" s="1"/>
  <c r="P3" i="51"/>
  <c r="O3" i="3" l="1"/>
  <c r="AX27" i="46"/>
  <c r="AU37" i="46"/>
  <c r="M45" i="46"/>
  <c r="N45" i="46" s="1"/>
  <c r="S3" i="51"/>
  <c r="Q3" i="51"/>
  <c r="G45" i="46"/>
  <c r="H45" i="46" s="1"/>
  <c r="AX37" i="46" l="1"/>
  <c r="AU38" i="46"/>
  <c r="AX38" i="46" l="1"/>
  <c r="AU39" i="46"/>
  <c r="AX39" i="4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<sst xmlns="http://schemas.openxmlformats.org/spreadsheetml/2006/main" count="2301" uniqueCount="482">
  <si>
    <t>结算系统酒店名称</t>
  </si>
  <si>
    <t>酒店简称</t>
  </si>
  <si>
    <t>收入</t>
  </si>
  <si>
    <t>经营毛利（行业口径）</t>
  </si>
  <si>
    <t>业主利润返还（上报口径）</t>
  </si>
  <si>
    <t>整体</t>
  </si>
  <si>
    <t>客房</t>
  </si>
  <si>
    <t>餐饮</t>
  </si>
  <si>
    <t>未分配</t>
  </si>
  <si>
    <t>完成</t>
  </si>
  <si>
    <t>指标</t>
  </si>
  <si>
    <t>完成率</t>
  </si>
  <si>
    <t>同期</t>
  </si>
  <si>
    <t>同比率</t>
  </si>
  <si>
    <r>
      <rPr>
        <b/>
        <sz val="10"/>
        <color rgb="FFFFFFFF"/>
        <rFont val="微软雅黑"/>
        <family val="2"/>
        <charset val="134"/>
      </rPr>
      <t>元均创收</t>
    </r>
    <r>
      <rPr>
        <b/>
        <sz val="6"/>
        <color rgb="FFFFFFFF"/>
        <rFont val="微软雅黑"/>
        <family val="2"/>
        <charset val="134"/>
      </rPr>
      <t>（元）</t>
    </r>
  </si>
  <si>
    <t>GOP率</t>
  </si>
  <si>
    <t>OCC</t>
  </si>
  <si>
    <r>
      <rPr>
        <b/>
        <sz val="10"/>
        <color rgb="FFFFFFFF"/>
        <rFont val="微软雅黑"/>
        <family val="2"/>
        <charset val="134"/>
      </rPr>
      <t>ADR</t>
    </r>
    <r>
      <rPr>
        <b/>
        <sz val="6"/>
        <color rgb="FFFFFFFF"/>
        <rFont val="微软雅黑"/>
        <family val="2"/>
        <charset val="134"/>
      </rPr>
      <t>（元）</t>
    </r>
  </si>
  <si>
    <r>
      <rPr>
        <b/>
        <sz val="10"/>
        <color rgb="FFFFFFFF"/>
        <rFont val="微软雅黑"/>
        <family val="2"/>
        <charset val="134"/>
      </rPr>
      <t>RevPAR</t>
    </r>
    <r>
      <rPr>
        <b/>
        <sz val="6"/>
        <color rgb="FFFFFFFF"/>
        <rFont val="微软雅黑"/>
        <family val="2"/>
        <charset val="134"/>
      </rPr>
      <t>（元）</t>
    </r>
  </si>
  <si>
    <t>客房利润率</t>
  </si>
  <si>
    <t>毛利率</t>
  </si>
  <si>
    <t>餐饮利润率</t>
  </si>
  <si>
    <t>能耗占比</t>
  </si>
  <si>
    <t>营销费用率</t>
  </si>
  <si>
    <t>未分配费用占比</t>
  </si>
  <si>
    <t>凤悦军令状合计：</t>
  </si>
  <si>
    <t>凤悦事业部合计：</t>
  </si>
  <si>
    <t>沈阳诺翰酒店</t>
  </si>
  <si>
    <t>于洪酒店</t>
  </si>
  <si>
    <t>碧桂园欧洲城凤凰酒店</t>
  </si>
  <si>
    <t>滁州酒店</t>
  </si>
  <si>
    <t>武汉碧桂园凤凰酒店</t>
  </si>
  <si>
    <t>武汉酒店</t>
  </si>
  <si>
    <t>海南临高</t>
  </si>
  <si>
    <t>三水酒店</t>
  </si>
  <si>
    <t>泰州酒店</t>
  </si>
  <si>
    <t>安庆酒店</t>
  </si>
  <si>
    <t>张家界酒店</t>
  </si>
  <si>
    <t>句容酒店</t>
  </si>
  <si>
    <t>增城逸林酒店</t>
  </si>
  <si>
    <t>云浮酒店</t>
  </si>
  <si>
    <t xml:space="preserve"> 金叶子酒店</t>
  </si>
  <si>
    <t>苏家屯酒店</t>
  </si>
  <si>
    <t>兴安盟酒店</t>
  </si>
  <si>
    <t>顺碧度假村</t>
  </si>
  <si>
    <t>共和酒店</t>
  </si>
  <si>
    <t>韶关西联酒店</t>
  </si>
  <si>
    <t>池州酒店</t>
  </si>
  <si>
    <t>南岸酒店</t>
  </si>
  <si>
    <t>长沙酒店</t>
  </si>
  <si>
    <t>南充酒店</t>
  </si>
  <si>
    <t>龙江酒店</t>
  </si>
  <si>
    <t>芜湖酒店</t>
  </si>
  <si>
    <t>重庆酒店</t>
  </si>
  <si>
    <t>益阳酒店</t>
  </si>
  <si>
    <t>黄山酒店</t>
  </si>
  <si>
    <t xml:space="preserve"> 韶关酒店</t>
  </si>
  <si>
    <t xml:space="preserve"> 高明酒店 </t>
  </si>
  <si>
    <t>增城酒店</t>
  </si>
  <si>
    <t>花城酒店</t>
  </si>
  <si>
    <t>随州酒店</t>
  </si>
  <si>
    <t>新会酒店</t>
  </si>
  <si>
    <t>惠东酒店</t>
  </si>
  <si>
    <t>广州凤凰</t>
  </si>
  <si>
    <t>武汉希尔顿</t>
  </si>
  <si>
    <t>佛山希尔顿</t>
  </si>
  <si>
    <t>全年完成率</t>
  </si>
  <si>
    <t xml:space="preserve"> 三水酒店</t>
  </si>
  <si>
    <t>韶关酒店</t>
  </si>
  <si>
    <t>2025年经营收入分类—万元</t>
  </si>
  <si>
    <t>核心成本项情况</t>
  </si>
  <si>
    <t>2025年经营成本（直接成本）—万元</t>
  </si>
  <si>
    <t>2025年经营成本（未分配费）—万元</t>
  </si>
  <si>
    <t>非经营支出</t>
  </si>
  <si>
    <t>其他经营收入</t>
  </si>
  <si>
    <t>营业外收入</t>
  </si>
  <si>
    <t>合计</t>
  </si>
  <si>
    <t>薪酬及相关</t>
  </si>
  <si>
    <t>能耗</t>
  </si>
  <si>
    <t>洗涤费</t>
  </si>
  <si>
    <t>维修费</t>
  </si>
  <si>
    <t>新零售</t>
  </si>
  <si>
    <t>康乐</t>
  </si>
  <si>
    <t>租赁收入</t>
  </si>
  <si>
    <t>行政费用</t>
  </si>
  <si>
    <t>营销费用</t>
  </si>
  <si>
    <t>物业运营及保养</t>
  </si>
  <si>
    <t>能源优化</t>
  </si>
  <si>
    <t>业主相关费用</t>
  </si>
  <si>
    <t>租金费用</t>
  </si>
  <si>
    <t>FFE</t>
  </si>
  <si>
    <t>非经营税费</t>
  </si>
  <si>
    <t>其他非经营支出</t>
  </si>
  <si>
    <t>酒店简称2</t>
  </si>
  <si>
    <t>酒店全称</t>
  </si>
  <si>
    <t>收入check</t>
  </si>
  <si>
    <t>总收入</t>
  </si>
  <si>
    <t>会议</t>
  </si>
  <si>
    <t>零售</t>
  </si>
  <si>
    <t>康乐温泉收入</t>
  </si>
  <si>
    <t>薪酬及相关总额</t>
  </si>
  <si>
    <t>薪酬及相关占比收入</t>
  </si>
  <si>
    <t>能耗总额</t>
  </si>
  <si>
    <t>能耗及相关占比收入</t>
  </si>
  <si>
    <t>洗涤费总额</t>
  </si>
  <si>
    <t>是否外洗</t>
  </si>
  <si>
    <t>洗涤占比收入</t>
  </si>
  <si>
    <t>维修费用总额</t>
  </si>
  <si>
    <t>维修费用占比收入</t>
  </si>
  <si>
    <t>平均渠道费用</t>
  </si>
  <si>
    <t>销售成本</t>
  </si>
  <si>
    <t>运营费用-薪酬及相关</t>
  </si>
  <si>
    <t>运营费用-洗涤费用</t>
  </si>
  <si>
    <t>运营费用-其他</t>
  </si>
  <si>
    <t>客房费用-check</t>
  </si>
  <si>
    <t>费用-check</t>
  </si>
  <si>
    <t>购入成本</t>
  </si>
  <si>
    <t>运营费用</t>
  </si>
  <si>
    <t>佣金</t>
  </si>
  <si>
    <t>其他</t>
  </si>
  <si>
    <t>营销及推广</t>
  </si>
  <si>
    <t>维修费用</t>
  </si>
  <si>
    <t>电</t>
  </si>
  <si>
    <t>水</t>
  </si>
  <si>
    <t>燃气</t>
  </si>
  <si>
    <t>暖气</t>
  </si>
  <si>
    <t>%</t>
  </si>
  <si>
    <t>能耗check</t>
  </si>
  <si>
    <t>是否安装
光伏、储能</t>
  </si>
  <si>
    <t>是否有计划
安装光伏、储能</t>
  </si>
  <si>
    <t>业主费用总额</t>
  </si>
  <si>
    <t>情况说明
（主要项目、金额和发生原因）</t>
  </si>
  <si>
    <t>租金费用总额</t>
  </si>
  <si>
    <t>情况说明
（租赁原因、租赁成本、原因）</t>
  </si>
  <si>
    <t>FFE总额</t>
  </si>
  <si>
    <t>情况说明
（1、年度投入说明；2、费用超额和差额使用的原因）</t>
  </si>
  <si>
    <t>房产税及其他税费</t>
  </si>
  <si>
    <t>金额</t>
  </si>
  <si>
    <t>特殊情况说明
（如有）</t>
  </si>
  <si>
    <t>非经营check</t>
  </si>
  <si>
    <t>于洪</t>
  </si>
  <si>
    <t>沈阳于洪碧桂园凤凰酒店有限公司</t>
  </si>
  <si>
    <t>滁州</t>
  </si>
  <si>
    <t>滁州碧桂园凤凰酒店管理有限公司</t>
  </si>
  <si>
    <t>武汉</t>
  </si>
  <si>
    <t>武汉市碧桂园凤凰酒店有限公司</t>
  </si>
  <si>
    <t>临高</t>
  </si>
  <si>
    <t>临高酒店</t>
  </si>
  <si>
    <t>临高金碧酒店管理有限公司</t>
  </si>
  <si>
    <t>三水</t>
  </si>
  <si>
    <t>佛山市芯林瑚酒店管理有限公司</t>
  </si>
  <si>
    <t>泰州</t>
  </si>
  <si>
    <t>泰州市碧桂园凤凰酒店有限公司</t>
  </si>
  <si>
    <t>安庆</t>
  </si>
  <si>
    <t>安庆碧桂园凤凰酒店有限公司</t>
  </si>
  <si>
    <t>张家界</t>
  </si>
  <si>
    <t>张家界碧桂园凤凰酒店管理有限公司</t>
  </si>
  <si>
    <t>句容</t>
  </si>
  <si>
    <t>句容碧桂园凤凰城酒店管理有限公司</t>
  </si>
  <si>
    <t>逸林</t>
  </si>
  <si>
    <t>广州市荔碧凤悦酒店有限公司</t>
  </si>
  <si>
    <t>云浮</t>
  </si>
  <si>
    <t>云浮市碧桂园凤凰酒店有限公司</t>
  </si>
  <si>
    <t>金叶子</t>
  </si>
  <si>
    <t>金叶子酒店</t>
  </si>
  <si>
    <t>广州金叶子酒店有限公司</t>
  </si>
  <si>
    <t>苏家屯</t>
  </si>
  <si>
    <t>沈阳南营碧桂园酒店有限公司</t>
  </si>
  <si>
    <t>兴安盟</t>
  </si>
  <si>
    <t>科右前旗碧桂园凤凰置业有限公司</t>
  </si>
  <si>
    <t>度假村</t>
  </si>
  <si>
    <t>佛山市顺德区碧桂园物业发展有限公司渡假村</t>
  </si>
  <si>
    <t>共和</t>
  </si>
  <si>
    <t>鹤山市共和碧桂园房地产开发有限公司酒店分公司</t>
  </si>
  <si>
    <t>西联</t>
  </si>
  <si>
    <t>韶关市碧桂园芙景湾酒店有限公司</t>
  </si>
  <si>
    <t>池州</t>
  </si>
  <si>
    <t>池州市碧桂园凤凰酒店有限公司</t>
  </si>
  <si>
    <t>南岸</t>
  </si>
  <si>
    <t>巢湖南岸碧桂园凤凰酒店有限公司</t>
  </si>
  <si>
    <t>长沙</t>
  </si>
  <si>
    <t>长沙经济技术开发区威尼斯酒店有限公司</t>
  </si>
  <si>
    <t>南充</t>
  </si>
  <si>
    <t>南充市碧桂园房地产开发有限公司酒店分公司</t>
  </si>
  <si>
    <t>龙江</t>
  </si>
  <si>
    <t>佛山市顺德区龙江镇碧桂园凤凰酒店有限公司</t>
  </si>
  <si>
    <t>芜湖</t>
  </si>
  <si>
    <t>芜湖碧桂园凤凰酒店有限公司</t>
  </si>
  <si>
    <t>重庆</t>
  </si>
  <si>
    <t>重庆市碧桂园凤城酒店有限公司</t>
  </si>
  <si>
    <t>益阳</t>
  </si>
  <si>
    <t>益阳市碧桂园凤凰酒店有限公司</t>
  </si>
  <si>
    <t>黄山</t>
  </si>
  <si>
    <t>黄山碧桂园凤凰酒店有限公司</t>
  </si>
  <si>
    <t>韶关</t>
  </si>
  <si>
    <t>韶关凤凰酒店</t>
  </si>
  <si>
    <t>韶关市碧桂园凤凰酒店有限公司</t>
  </si>
  <si>
    <t>高明</t>
  </si>
  <si>
    <t>高明酒店</t>
  </si>
  <si>
    <t>佛山市高明区碧桂园凤凰酒店有限公司</t>
  </si>
  <si>
    <t>增城</t>
  </si>
  <si>
    <t>增城市碧桂园凤凰城酒店有限公司</t>
  </si>
  <si>
    <t>随州</t>
  </si>
  <si>
    <t>随州碧桂园凤凰酒店有限公司</t>
  </si>
  <si>
    <t>新会</t>
  </si>
  <si>
    <t>江门市新会碧桂园凤凰酒店有限公司</t>
  </si>
  <si>
    <t>惠东</t>
  </si>
  <si>
    <t>惠东县凤悦酒店有限公司</t>
  </si>
  <si>
    <t>武汉生态城碧桂园投资有限公司希尔顿酒店管理分公司</t>
  </si>
  <si>
    <t>佛山碧桂园酒店有限公司希尔顿酒店管理分公司</t>
  </si>
  <si>
    <t>经营毛利</t>
  </si>
  <si>
    <t>总</t>
  </si>
  <si>
    <t>当月</t>
  </si>
  <si>
    <t>累计</t>
  </si>
  <si>
    <t>当月-完成</t>
  </si>
  <si>
    <t>当月-预算</t>
  </si>
  <si>
    <t>累计-完成</t>
  </si>
  <si>
    <t>累计-预算</t>
  </si>
  <si>
    <t>完成-当月</t>
  </si>
  <si>
    <t>完成-累计</t>
  </si>
  <si>
    <t>预算-当月</t>
  </si>
  <si>
    <t>预算-累计</t>
  </si>
  <si>
    <t>去年-当月</t>
  </si>
  <si>
    <t>去年-累计</t>
  </si>
  <si>
    <t>今年-折旧摊销</t>
  </si>
  <si>
    <t>去年-折旧摊销</t>
  </si>
  <si>
    <t>元均创收</t>
  </si>
  <si>
    <t>ADR</t>
  </si>
  <si>
    <t>RevPAR</t>
  </si>
  <si>
    <t>人工</t>
  </si>
  <si>
    <t>利润</t>
  </si>
  <si>
    <t>餐饮毛利</t>
  </si>
  <si>
    <t>预订费</t>
  </si>
  <si>
    <t>未分配合计</t>
  </si>
  <si>
    <t>可出租房</t>
  </si>
  <si>
    <t>实际出租房</t>
  </si>
  <si>
    <t>房间数</t>
  </si>
  <si>
    <t>非经营收入-当月</t>
  </si>
  <si>
    <t>非经营收入-累计</t>
  </si>
  <si>
    <t>调整经营毛利</t>
  </si>
  <si>
    <t>低值易耗品摊销</t>
  </si>
  <si>
    <t>业主利润返还</t>
  </si>
  <si>
    <t>净利润</t>
  </si>
  <si>
    <t>业主费用</t>
  </si>
  <si>
    <t>政府补助</t>
  </si>
  <si>
    <t>全年预算</t>
  </si>
  <si>
    <t>全年目标</t>
  </si>
  <si>
    <t>预定费</t>
  </si>
  <si>
    <t>业主返还利润（上报）</t>
  </si>
  <si>
    <t>预算</t>
  </si>
  <si>
    <t>上年同期</t>
  </si>
  <si>
    <t>开房数</t>
  </si>
  <si>
    <t>开房率</t>
  </si>
  <si>
    <t>总收入（不含税）</t>
  </si>
  <si>
    <t>不动产租赁（不含税）</t>
  </si>
  <si>
    <t>能源消耗汇总</t>
  </si>
  <si>
    <t xml:space="preserve">  维修费用汇总</t>
  </si>
  <si>
    <t>酒店</t>
  </si>
  <si>
    <t>排名</t>
  </si>
  <si>
    <t>元均创收（元）</t>
  </si>
  <si>
    <t>ADR（元）</t>
  </si>
  <si>
    <t>RevPAR（元）</t>
  </si>
  <si>
    <t>当月完成</t>
  </si>
  <si>
    <t>业主利润返还（上报）</t>
  </si>
  <si>
    <t>累计完成</t>
  </si>
  <si>
    <t>取净利润</t>
  </si>
  <si>
    <t>已上报</t>
  </si>
  <si>
    <t>取数</t>
  </si>
  <si>
    <t>实际应上报</t>
  </si>
  <si>
    <t>倒挤上报</t>
  </si>
  <si>
    <t>去年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</si>
  <si>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</si>
  <si>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</si>
  <si>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</si>
  <si>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</si>
  <si>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</si>
  <si>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</si>
  <si>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</si>
  <si>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</si>
  <si>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</si>
  <si>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</si>
  <si>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</si>
  <si>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</si>
  <si>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新零售及食品</t>
  </si>
  <si>
    <t>租金</t>
  </si>
  <si>
    <t>温泉</t>
  </si>
  <si>
    <t>其他收入</t>
  </si>
  <si>
    <t>经营性现金流净额</t>
  </si>
  <si>
    <t>折旧摊销</t>
  </si>
  <si>
    <t>成本</t>
  </si>
  <si>
    <t>材料成本</t>
  </si>
  <si>
    <t>分包成本</t>
  </si>
  <si>
    <t>人工成本-固定部分</t>
  </si>
  <si>
    <t>人工成本-变动部分（随收入变动或绩效奖金）</t>
  </si>
  <si>
    <t>制造费用</t>
  </si>
  <si>
    <t>……</t>
  </si>
  <si>
    <t>费用</t>
  </si>
  <si>
    <t>人工成本-变动部分</t>
  </si>
  <si>
    <t>能耗费</t>
  </si>
  <si>
    <t>税金</t>
  </si>
  <si>
    <t>酒店管理费</t>
  </si>
  <si>
    <t>其他费用</t>
  </si>
  <si>
    <t>宣传推广费（含渠道费）</t>
  </si>
  <si>
    <t>其他费用（控制在总成本费用的10%以内，并提供大致的费用性质）</t>
  </si>
  <si>
    <t>业主返还利润</t>
  </si>
  <si>
    <t>check</t>
  </si>
  <si>
    <t>当期</t>
  </si>
  <si>
    <t>新事业部表</t>
  </si>
  <si>
    <t>汇总-X月</t>
  </si>
  <si>
    <t>差异</t>
  </si>
  <si>
    <t>汇总-累计</t>
  </si>
  <si>
    <t>业主利润返还-广州凤凰</t>
  </si>
  <si>
    <t>net;</t>
  </si>
  <si>
    <t>MtdAdj;</t>
  </si>
  <si>
    <t>MtdAct;</t>
  </si>
  <si>
    <t>Budget;</t>
  </si>
  <si>
    <t>LastYearMtd;</t>
  </si>
  <si>
    <t>YtdNet;</t>
  </si>
  <si>
    <t>YtdAdj;</t>
  </si>
  <si>
    <t>YtdAct;</t>
  </si>
  <si>
    <t>YtdBudget;</t>
  </si>
  <si>
    <t>LastYearYtd;</t>
  </si>
  <si>
    <t>Total;</t>
  </si>
  <si>
    <t>军令状</t>
  </si>
  <si>
    <t>预算行业损益总表</t>
  </si>
  <si>
    <t>单位：</t>
  </si>
  <si>
    <t>元</t>
  </si>
  <si>
    <t>DESCRIPTION</t>
  </si>
  <si>
    <t>本月</t>
  </si>
  <si>
    <t>本年累计</t>
  </si>
  <si>
    <t>全年预算指标完成进度</t>
  </si>
  <si>
    <t>实际</t>
  </si>
  <si>
    <t>差异率</t>
  </si>
  <si>
    <t>Total  Rooms 总房量</t>
  </si>
  <si>
    <t>Available Room 可出租房</t>
  </si>
  <si>
    <t>Occupied Room Nights 已售间夜</t>
  </si>
  <si>
    <t>Occupied Room Nights 已售间夜-有价</t>
  </si>
  <si>
    <t>NoCalc</t>
  </si>
  <si>
    <t>Occupancy %  已售间夜OCC</t>
  </si>
  <si>
    <t>Occupancy %  已售间夜OCC-有价</t>
  </si>
  <si>
    <t>Average Daily Rate 已售间夜ADR</t>
  </si>
  <si>
    <t>Average Daily Rate 已售间夜ADR-有价</t>
  </si>
  <si>
    <t>RevPAR 平均可出租房收入（总房量）</t>
  </si>
  <si>
    <t>预算科目</t>
  </si>
  <si>
    <t>Total Revenue 总收入</t>
  </si>
  <si>
    <t>注意不含客房销售成本</t>
  </si>
  <si>
    <t>Total Cost of Sales 总销售成本</t>
  </si>
  <si>
    <t>Total Operating Depts Expenses 总运营费用</t>
  </si>
  <si>
    <t>Total Undistributed Expenses 总未分配费用</t>
  </si>
  <si>
    <t>Gross Operating Profit 经营毛利</t>
  </si>
  <si>
    <t>Gop %  经营毛利率</t>
  </si>
  <si>
    <t>Total Management Fee 酒店管理费合计</t>
  </si>
  <si>
    <t>Non-operating Income and Expenses 非经营相关收入及支出</t>
  </si>
  <si>
    <t>EBITDA 息税前利润</t>
  </si>
  <si>
    <t>FFE 资产重置基金</t>
  </si>
  <si>
    <t>Owner's Return 业主返还利润</t>
  </si>
  <si>
    <t>Interest, Depreciation, and Amorization 利息、折旧、摊销</t>
  </si>
  <si>
    <t>Corporate Income Tax 企业所得税</t>
  </si>
  <si>
    <t>Net Profit 净利润</t>
  </si>
  <si>
    <t>KPI's重要指标</t>
  </si>
  <si>
    <t>Payroll&amp;Rel Expenses 工资及相关费用</t>
  </si>
  <si>
    <t xml:space="preserve">       其中：Year-end bonus 年终奖</t>
  </si>
  <si>
    <t>Payroll&amp;Rel Expenses % 工资及相关费用占比</t>
  </si>
  <si>
    <t>Energy 能源费用</t>
  </si>
  <si>
    <t>Energy % 能源费用占比</t>
  </si>
  <si>
    <t>Maintenance Expense 维修费用</t>
  </si>
  <si>
    <t>Maintenance Expense % 维修费用占比</t>
  </si>
  <si>
    <t>Laundry 洗涤费</t>
  </si>
  <si>
    <t>Laundry % 洗涤费占比</t>
  </si>
  <si>
    <t>预算明细组成</t>
  </si>
  <si>
    <t>ROOMS    客房</t>
  </si>
  <si>
    <t>Rooms  Revenue 客房收入</t>
  </si>
  <si>
    <t xml:space="preserve">  Salary &amp; Wages 薪资</t>
  </si>
  <si>
    <t xml:space="preserve">  Payroll Related Exp. 薪资相关费用</t>
  </si>
  <si>
    <t xml:space="preserve">  All Other Rooms Expenses (including Reservation Fees)
  其他客房支出(包括订房系统费用)</t>
  </si>
  <si>
    <t>Total Rooms Expenses 客房总支出</t>
  </si>
  <si>
    <t>Departmental Profit 客房经营利润</t>
  </si>
  <si>
    <t>Departmental Profit % 客房经营利润率</t>
  </si>
  <si>
    <t>FOOD &amp; BEVERAGE 餐饮</t>
  </si>
  <si>
    <t xml:space="preserve">  Food Revenue  食品收入</t>
  </si>
  <si>
    <t xml:space="preserve">  </t>
  </si>
  <si>
    <t xml:space="preserve">  Beverage Revenue 酒水收入</t>
  </si>
  <si>
    <t xml:space="preserve">  Retail Revenue 零售收入</t>
  </si>
  <si>
    <t xml:space="preserve">  Other Food&amp;Beverage Revenue 其他餐饮收入</t>
  </si>
  <si>
    <r>
      <rPr>
        <b/>
        <sz val="11"/>
        <color indexed="8"/>
        <rFont val="微软雅黑"/>
        <family val="2"/>
        <charset val="134"/>
      </rPr>
      <t>Total F&amp;B Revenue  餐饮</t>
    </r>
    <r>
      <rPr>
        <b/>
        <sz val="11"/>
        <rFont val="微软雅黑"/>
        <family val="2"/>
        <charset val="134"/>
      </rPr>
      <t>收入合计</t>
    </r>
  </si>
  <si>
    <r>
      <rPr>
        <sz val="11"/>
        <color indexed="8"/>
        <rFont val="微软雅黑"/>
        <family val="2"/>
        <charset val="134"/>
      </rPr>
      <t xml:space="preserve">  Cost of Sales Food </t>
    </r>
    <r>
      <rPr>
        <sz val="11"/>
        <rFont val="微软雅黑"/>
        <family val="2"/>
        <charset val="134"/>
      </rPr>
      <t>食品</t>
    </r>
  </si>
  <si>
    <r>
      <rPr>
        <sz val="11"/>
        <color indexed="8"/>
        <rFont val="微软雅黑"/>
        <family val="2"/>
        <charset val="134"/>
      </rPr>
      <t xml:space="preserve">  Cost of Sales Beverage </t>
    </r>
    <r>
      <rPr>
        <sz val="11"/>
        <rFont val="微软雅黑"/>
        <family val="2"/>
        <charset val="134"/>
      </rPr>
      <t>酒水</t>
    </r>
  </si>
  <si>
    <r>
      <rPr>
        <sz val="11"/>
        <color indexed="8"/>
        <rFont val="微软雅黑"/>
        <family val="2"/>
        <charset val="134"/>
      </rPr>
      <t xml:space="preserve">  Cost of Sales Others </t>
    </r>
    <r>
      <rPr>
        <sz val="11"/>
        <color theme="1"/>
        <rFont val="微软雅黑"/>
        <family val="2"/>
        <charset val="134"/>
      </rPr>
      <t>其他成本</t>
    </r>
  </si>
  <si>
    <r>
      <rPr>
        <b/>
        <sz val="11"/>
        <color indexed="8"/>
        <rFont val="微软雅黑"/>
        <family val="2"/>
        <charset val="134"/>
      </rPr>
      <t xml:space="preserve">Total Cost of Sales  </t>
    </r>
    <r>
      <rPr>
        <b/>
        <sz val="11"/>
        <rFont val="微软雅黑"/>
        <family val="2"/>
        <charset val="134"/>
      </rPr>
      <t>销售成本合计</t>
    </r>
  </si>
  <si>
    <t>Salary &amp; Wages 薪资</t>
  </si>
  <si>
    <t>Payroll Related Exp. 薪资相关费用</t>
  </si>
  <si>
    <r>
      <rPr>
        <sz val="11"/>
        <color indexed="8"/>
        <rFont val="微软雅黑"/>
        <family val="2"/>
        <charset val="134"/>
      </rPr>
      <t xml:space="preserve">Other Expenses </t>
    </r>
    <r>
      <rPr>
        <sz val="11"/>
        <rFont val="微软雅黑"/>
        <family val="2"/>
        <charset val="134"/>
      </rPr>
      <t>其他费用</t>
    </r>
  </si>
  <si>
    <r>
      <rPr>
        <b/>
        <sz val="11"/>
        <color indexed="8"/>
        <rFont val="微软雅黑"/>
        <family val="2"/>
        <charset val="134"/>
      </rPr>
      <t xml:space="preserve">Total F&amp;B Cost/Expenses </t>
    </r>
    <r>
      <rPr>
        <b/>
        <sz val="11"/>
        <rFont val="微软雅黑"/>
        <family val="2"/>
        <charset val="134"/>
      </rPr>
      <t>餐饮成本及费用合计</t>
    </r>
  </si>
  <si>
    <t>Departmental Profit 餐饮经营利润</t>
  </si>
  <si>
    <t>Departmental Profit % 餐饮经营利润率</t>
  </si>
  <si>
    <t>OTHER OPERATING DEPTS 其他营运部门</t>
  </si>
  <si>
    <t xml:space="preserve">  Health Club Revenue 康体</t>
  </si>
  <si>
    <t xml:space="preserve">  Hot Spring Revenue 温泉</t>
  </si>
  <si>
    <t xml:space="preserve">  SPA Revenue 水疗</t>
  </si>
  <si>
    <t xml:space="preserve">  KTV Revenue 卡拉OK</t>
  </si>
  <si>
    <t xml:space="preserve">  Group Training 拓展培训</t>
  </si>
  <si>
    <t xml:space="preserve">  Business Center 商务中心</t>
  </si>
  <si>
    <t xml:space="preserve">  Rental Revenue 租赁收入</t>
  </si>
  <si>
    <t xml:space="preserve">  Other Revenue 其他</t>
  </si>
  <si>
    <t>Total Other Revenue 其他收入合计</t>
  </si>
  <si>
    <t xml:space="preserve">  Cost of Sales OOD 销售成本</t>
  </si>
  <si>
    <t xml:space="preserve">  Other Expenses 其他费用</t>
  </si>
  <si>
    <t>Total Other Operating Depts Expenses. 其他营运部门成本及费用合计</t>
  </si>
  <si>
    <t>Departmental Profit 其他营运部门经营利润</t>
  </si>
  <si>
    <t>TOTAL REVENUE 总收入</t>
  </si>
  <si>
    <t>GROSS OPERATING INCOME  各营业部门毛利合计</t>
  </si>
  <si>
    <t>GROSS OPERATING INCOME% 各营业部门毛利率</t>
  </si>
  <si>
    <t>UNDISTRIBUTED EXPENSES 未分配费用</t>
  </si>
  <si>
    <t>A&amp;G 行政部</t>
  </si>
  <si>
    <t xml:space="preserve">  Bank Commission 银行手续费</t>
  </si>
  <si>
    <t xml:space="preserve">  Bad Debt Reserve 坏账准备</t>
  </si>
  <si>
    <t xml:space="preserve">  Tax And Associate Charge 税金及附加</t>
  </si>
  <si>
    <t>Sales &amp; Marketing 营销</t>
  </si>
  <si>
    <t>Utility 能源费用</t>
  </si>
  <si>
    <t>POM 物业运营及保养</t>
  </si>
  <si>
    <t>Total Undistributed Expenses 未分配费用合计</t>
  </si>
  <si>
    <t>Total Undistributed Expenses % 未分配费用占比</t>
  </si>
  <si>
    <t>Gross Operating Profit   经营毛利</t>
  </si>
  <si>
    <t>GOP %  经营毛利率</t>
  </si>
  <si>
    <t xml:space="preserve">  Total Management Fee 综合管理费</t>
  </si>
  <si>
    <t>Adjusted Gross Operating Profit   调整经营毛利</t>
  </si>
  <si>
    <t xml:space="preserve">  Incentive Management Fee 奖励管理费</t>
  </si>
  <si>
    <t>Income Before Non-operating Income and Expenses
非经营相关收入及支出前收益</t>
  </si>
  <si>
    <t xml:space="preserve">  Income 收入</t>
  </si>
  <si>
    <t xml:space="preserve">  Rent  租金费用</t>
  </si>
  <si>
    <t xml:space="preserve">  Property and Other Taxes 房产税及其他税费</t>
  </si>
  <si>
    <t xml:space="preserve">  Insurance 保险费</t>
  </si>
  <si>
    <t xml:space="preserve">  Owner's Related Expenses  业主相关费用</t>
  </si>
  <si>
    <t xml:space="preserve">  Other Non-operating Expenses 其他非经营支出</t>
  </si>
  <si>
    <t>EBITDA   息税前利润</t>
  </si>
  <si>
    <t>EBITDA %</t>
  </si>
  <si>
    <t xml:space="preserve">  FFE 资产重置基金</t>
  </si>
  <si>
    <t xml:space="preserve">  Interest 融资利息</t>
  </si>
  <si>
    <t xml:space="preserve">  Amortization Intangible 长期待摊销费用</t>
  </si>
  <si>
    <t xml:space="preserve">  Depreciation 折旧费及土地摊销</t>
  </si>
  <si>
    <t xml:space="preserve">  Amortization Of Low Value Articles 低值易耗品摊销</t>
  </si>
  <si>
    <t>Income Before Income Taxes 利润总额（还原FFE）</t>
  </si>
  <si>
    <t xml:space="preserve">  Corporate Income Tax  企业所得税</t>
  </si>
  <si>
    <t>NET PROFIT 净利润</t>
  </si>
  <si>
    <t>NET PROFIT 净利润（其他主体）</t>
  </si>
  <si>
    <t>凤凰</t>
  </si>
  <si>
    <t>9995;</t>
  </si>
  <si>
    <t>Z;</t>
  </si>
  <si>
    <t>取利润表</t>
  </si>
  <si>
    <t>NET PROFIT 净利润（账面）</t>
  </si>
  <si>
    <t>附表1：业主返还利润</t>
  </si>
  <si>
    <r>
      <rPr>
        <b/>
        <sz val="11"/>
        <color theme="0"/>
        <rFont val="Arial"/>
        <family val="2"/>
      </rPr>
      <t>本年累计</t>
    </r>
  </si>
  <si>
    <r>
      <rPr>
        <b/>
        <sz val="11"/>
        <color theme="1"/>
        <rFont val="Arial"/>
        <family val="2"/>
      </rPr>
      <t xml:space="preserve">Owner's Return </t>
    </r>
    <r>
      <rPr>
        <b/>
        <sz val="11"/>
        <color theme="1"/>
        <rFont val="Arial"/>
        <family val="2"/>
      </rPr>
      <t>业主返还利润</t>
    </r>
  </si>
  <si>
    <t>总表</t>
  </si>
  <si>
    <t>加：Property and Other Taxes 房产税及其他税费</t>
  </si>
  <si>
    <t>加：Rent  租金费用</t>
  </si>
  <si>
    <t>加：FFE 资产重置基金</t>
  </si>
  <si>
    <t>取账面此科目所有数据</t>
  </si>
  <si>
    <r>
      <rPr>
        <sz val="11"/>
        <color theme="1"/>
        <rFont val="微软雅黑"/>
        <family val="2"/>
        <charset val="134"/>
      </rPr>
      <t>加：</t>
    </r>
    <r>
      <rPr>
        <sz val="11"/>
        <color theme="1"/>
        <rFont val="Arial"/>
        <family val="2"/>
      </rPr>
      <t xml:space="preserve">Other Non-operating Expenses </t>
    </r>
    <r>
      <rPr>
        <sz val="11"/>
        <color theme="1"/>
        <rFont val="微软雅黑"/>
        <family val="2"/>
        <charset val="134"/>
      </rPr>
      <t>其他非经营支出</t>
    </r>
  </si>
  <si>
    <r>
      <rPr>
        <sz val="11"/>
        <color theme="1"/>
        <rFont val="微软雅黑"/>
        <family val="2"/>
        <charset val="134"/>
      </rPr>
      <t>减：</t>
    </r>
    <r>
      <rPr>
        <sz val="11"/>
        <color theme="1"/>
        <rFont val="Arial"/>
        <family val="2"/>
      </rPr>
      <t xml:space="preserve">Non-operating Income </t>
    </r>
    <r>
      <rPr>
        <sz val="11"/>
        <color theme="1"/>
        <rFont val="微软雅黑"/>
        <family val="2"/>
        <charset val="134"/>
      </rPr>
      <t>其他非经营收入</t>
    </r>
  </si>
  <si>
    <t>减：Amortization Of Low Value Articles 低值易耗品摊销</t>
  </si>
  <si>
    <t>财务</t>
  </si>
  <si>
    <t>减：普通存款利息收入+合约存款利息收入</t>
  </si>
  <si>
    <r>
      <rPr>
        <b/>
        <sz val="11"/>
        <color theme="1"/>
        <rFont val="Arial"/>
        <family val="2"/>
      </rPr>
      <t xml:space="preserve">Owner's Return </t>
    </r>
    <r>
      <rPr>
        <b/>
        <sz val="11"/>
        <color theme="1"/>
        <rFont val="微软雅黑"/>
        <family val="2"/>
        <charset val="134"/>
      </rPr>
      <t>业主返还利润（上报）</t>
    </r>
  </si>
  <si>
    <t>附表2：FFE 资产重置基金</t>
  </si>
  <si>
    <t>上年结余</t>
  </si>
  <si>
    <t>本年结余</t>
  </si>
  <si>
    <t>本月计提</t>
  </si>
  <si>
    <t>本月使用</t>
  </si>
  <si>
    <t>本年计提</t>
  </si>
  <si>
    <t>本年使用</t>
  </si>
  <si>
    <t>附表3：关键指标完成情况</t>
  </si>
  <si>
    <t>政策性减免</t>
  </si>
  <si>
    <t>累计数</t>
  </si>
  <si>
    <t>A</t>
  </si>
  <si>
    <t>返回</t>
  </si>
  <si>
    <t>全年累计</t>
    <phoneticPr fontId="54" type="noConversion"/>
  </si>
  <si>
    <t>汇总</t>
    <phoneticPr fontId="54" type="noConversion"/>
  </si>
  <si>
    <t>汇总</t>
    <phoneticPr fontId="54" type="noConversion"/>
  </si>
  <si>
    <t>汇总</t>
    <phoneticPr fontId="53" type="noConversion"/>
  </si>
  <si>
    <t>汇总</t>
    <phoneticPr fontId="54" type="noConversion"/>
  </si>
  <si>
    <t>酒店</t>
    <phoneticPr fontId="5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</si>
</sst>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76" formatCode="[$-407]mmmm\ yy;@"/>
    <numFmt numFmtId="177" formatCode="_(* #,##0.00_);_(* \(#,##0.00\);_(* &quot;-&quot;??_);_(@_)"/>
    <numFmt numFmtId="178" formatCode="#,##0.00_ "/>
    <numFmt numFmtId="179" formatCode="#,##0_ "/>
    <numFmt numFmtId="180" formatCode="#,##0_ ;[Red]\-#,##0\ "/>
    <numFmt numFmtId="181" formatCode="#,##0.00_ ;[Red]\-#,##0.00\ "/>
    <numFmt numFmtId="182" formatCode="0_ ;[Red]\-0\ "/>
    <numFmt numFmtId="183" formatCode="_ * #,##0_ ;_ * \-#,##0_ ;_ * &quot;-&quot;??_ ;_ @_ "/>
    <numFmt numFmtId="185" formatCode="0.00_);[Red]\(0.00\)"/>
    <numFmt numFmtId="186" formatCode="0.00_ ;[Red]\-0.00\ "/>
    <numFmt numFmtId="187" formatCode="0.00_ "/>
    <numFmt numFmtId="188" formatCode="0_);[Red]\(0\)"/>
  </numFmts>
  <fonts count="56">
    <font>
      <sz val="11"/>
      <color theme="1"/>
      <name val="等线"/>
      <charset val="134"/>
      <scheme val="minor"/>
    </font>
    <font>
      <sz val="1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Microsoft YaHei Light"/>
      <family val="1"/>
    </font>
    <font>
      <b/>
      <sz val="11"/>
      <color theme="1"/>
      <name val="Microsoft YaHei Light"/>
      <family val="2"/>
    </font>
    <font>
      <sz val="10"/>
      <color theme="1"/>
      <name val="Microsoft YaHei Light"/>
      <family val="2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theme="5" tint="-0.249977111117893"/>
      <name val="微软雅黑"/>
      <family val="2"/>
      <charset val="134"/>
    </font>
    <font>
      <b/>
      <sz val="10"/>
      <name val="Microsoft YaHei Light"/>
      <family val="2"/>
    </font>
    <font>
      <sz val="10"/>
      <name val="Microsoft YaHei Light"/>
      <family val="2"/>
    </font>
    <font>
      <sz val="11"/>
      <name val="微软雅黑"/>
      <family val="2"/>
      <charset val="134"/>
    </font>
    <font>
      <sz val="11"/>
      <color theme="1"/>
      <name val="Arial"/>
      <family val="2"/>
    </font>
    <font>
      <sz val="11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Arial"/>
      <family val="2"/>
    </font>
    <font>
      <sz val="11"/>
      <name val="Microsoft YaHei Light"/>
      <family val="2"/>
    </font>
    <font>
      <sz val="11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name val="Microsoft YaHei Light"/>
      <family val="2"/>
    </font>
    <font>
      <b/>
      <sz val="10"/>
      <color theme="1"/>
      <name val="Microsoft YaHei Light"/>
      <family val="2"/>
    </font>
    <font>
      <b/>
      <sz val="11"/>
      <name val="Arial"/>
      <family val="2"/>
    </font>
    <font>
      <sz val="11"/>
      <color rgb="FFFF0000"/>
      <name val="Microsoft YaHei Light"/>
      <family val="2"/>
    </font>
    <font>
      <b/>
      <sz val="12"/>
      <color theme="0"/>
      <name val="微软雅黑"/>
      <family val="2"/>
      <charset val="134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2"/>
      <color rgb="FFFFFFFF"/>
      <name val="微软雅黑"/>
      <family val="2"/>
      <charset val="134"/>
    </font>
    <font>
      <sz val="12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i/>
      <sz val="10"/>
      <color rgb="FFFFFFFF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color theme="0"/>
      <name val="Arial"/>
      <family val="2"/>
    </font>
    <font>
      <sz val="10"/>
      <name val="微软雅黑"/>
      <family val="2"/>
      <charset val="134"/>
    </font>
    <font>
      <b/>
      <sz val="11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i/>
      <sz val="10"/>
      <color theme="1"/>
      <name val="微软雅黑"/>
      <family val="2"/>
      <charset val="134"/>
    </font>
    <font>
      <sz val="11"/>
      <color theme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2"/>
      <name val="Helv"/>
      <family val="2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0"/>
      <name val="MS Sans Serif"/>
      <family val="2"/>
    </font>
    <font>
      <u/>
      <sz val="10"/>
      <color theme="10"/>
      <name val="Arial"/>
      <family val="2"/>
    </font>
    <font>
      <b/>
      <sz val="6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-0.249977111117893"/>
        <bgColor indexed="64"/>
      </patternFill>
    </fill>
  </fills>
  <borders count="17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theme="0"/>
      </right>
      <top style="medium">
        <color auto="1"/>
      </top>
      <bottom style="thin">
        <color theme="0"/>
      </bottom>
      <diagonal/>
    </border>
    <border>
      <left style="medium">
        <color theme="0"/>
      </left>
      <right/>
      <top style="medium">
        <color auto="1"/>
      </top>
      <bottom style="thin">
        <color theme="0"/>
      </bottom>
      <diagonal/>
    </border>
    <border>
      <left/>
      <right style="medium">
        <color theme="1"/>
      </right>
      <top style="medium">
        <color auto="1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/>
      </top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 tint="-0.249977111117893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medium">
        <color auto="1"/>
      </left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theme="0" tint="-0.249977111117893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theme="0" tint="-0.249977111117893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0" tint="-0.249977111117893"/>
      </right>
      <top/>
      <bottom style="medium">
        <color auto="1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theme="0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249977111117893"/>
      </right>
      <top style="medium">
        <color auto="1"/>
      </top>
      <bottom style="medium">
        <color theme="1"/>
      </bottom>
      <diagonal/>
    </border>
    <border>
      <left style="thin">
        <color theme="0" tint="-0.249977111117893"/>
      </left>
      <right style="medium">
        <color auto="1"/>
      </right>
      <top style="medium">
        <color auto="1"/>
      </top>
      <bottom style="medium">
        <color theme="1"/>
      </bottom>
      <diagonal/>
    </border>
    <border>
      <left/>
      <right style="medium">
        <color auto="1"/>
      </right>
      <top/>
      <bottom style="thin">
        <color theme="0" tint="-0.249977111117893"/>
      </bottom>
      <diagonal/>
    </border>
    <border>
      <left/>
      <right style="thin">
        <color auto="1"/>
      </right>
      <top/>
      <bottom style="thin">
        <color theme="0" tint="-0.249977111117893"/>
      </bottom>
      <diagonal/>
    </border>
    <border>
      <left style="thin">
        <color auto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double">
        <color auto="1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/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theme="0" tint="-0.249977111117893"/>
      </right>
      <top/>
      <bottom style="double">
        <color auto="1"/>
      </bottom>
      <diagonal/>
    </border>
    <border>
      <left/>
      <right style="double">
        <color indexed="8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theme="0" tint="-0.249977111117893"/>
      </bottom>
      <diagonal/>
    </border>
    <border>
      <left/>
      <right/>
      <top style="double">
        <color auto="1"/>
      </top>
      <bottom style="thin">
        <color theme="0" tint="-0.249977111117893"/>
      </bottom>
      <diagonal/>
    </border>
    <border>
      <left/>
      <right style="double">
        <color auto="1"/>
      </right>
      <top style="double">
        <color auto="1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medium">
        <color theme="1"/>
      </left>
      <right style="thin">
        <color theme="0" tint="-0.249977111117893"/>
      </right>
      <top style="medium">
        <color theme="1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49977111117893"/>
      </bottom>
      <diagonal/>
    </border>
    <border>
      <left/>
      <right/>
      <top style="medium">
        <color auto="1"/>
      </top>
      <bottom style="thin">
        <color theme="0" tint="-0.249977111117893"/>
      </bottom>
      <diagonal/>
    </border>
    <border>
      <left/>
      <right style="double">
        <color auto="1"/>
      </right>
      <top style="medium">
        <color auto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 style="medium">
        <color auto="1"/>
      </left>
      <right style="medium">
        <color auto="1"/>
      </right>
      <top/>
      <bottom style="thin">
        <color theme="0" tint="-0.249977111117893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theme="1"/>
      </left>
      <right style="thin">
        <color theme="0" tint="-0.249977111117893"/>
      </right>
      <top/>
      <bottom style="double">
        <color auto="1"/>
      </bottom>
      <diagonal/>
    </border>
    <border>
      <left style="thin">
        <color theme="0" tint="-0.249977111117893"/>
      </left>
      <right style="medium">
        <color theme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thin">
        <color theme="0" tint="-0.249977111117893"/>
      </bottom>
      <diagonal/>
    </border>
    <border>
      <left/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/>
      <top/>
      <bottom style="double">
        <color auto="1"/>
      </bottom>
      <diagonal/>
    </border>
    <border>
      <left/>
      <right style="medium">
        <color theme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auto="1"/>
      </right>
      <top style="medium">
        <color auto="1"/>
      </top>
      <bottom style="thin">
        <color theme="0"/>
      </bottom>
      <diagonal/>
    </border>
    <border>
      <left style="thin">
        <color auto="1"/>
      </left>
      <right style="medium">
        <color theme="0"/>
      </right>
      <top style="medium">
        <color auto="1"/>
      </top>
      <bottom style="thin">
        <color theme="0"/>
      </bottom>
      <diagonal/>
    </border>
    <border>
      <left style="medium">
        <color theme="0"/>
      </left>
      <right style="double">
        <color auto="1"/>
      </right>
      <top style="medium">
        <color auto="1"/>
      </top>
      <bottom style="thin">
        <color theme="0"/>
      </bottom>
      <diagonal/>
    </border>
    <border>
      <left style="medium">
        <color theme="1"/>
      </left>
      <right style="medium">
        <color theme="0"/>
      </right>
      <top style="medium">
        <color auto="1"/>
      </top>
      <bottom style="thin">
        <color theme="0"/>
      </bottom>
      <diagonal/>
    </border>
    <border>
      <left style="thin">
        <color auto="1"/>
      </left>
      <right style="medium">
        <color theme="1"/>
      </right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double">
        <color auto="1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medium">
        <color theme="0"/>
      </right>
      <top/>
      <bottom style="medium">
        <color auto="1"/>
      </bottom>
      <diagonal/>
    </border>
    <border>
      <left/>
      <right style="medium">
        <color theme="0"/>
      </right>
      <top/>
      <bottom style="medium">
        <color auto="1"/>
      </bottom>
      <diagonal/>
    </border>
    <border>
      <left style="medium">
        <color theme="0"/>
      </left>
      <right style="double">
        <color auto="1"/>
      </right>
      <top/>
      <bottom style="medium">
        <color auto="1"/>
      </bottom>
      <diagonal/>
    </border>
    <border>
      <left style="medium">
        <color theme="0"/>
      </left>
      <right/>
      <top/>
      <bottom style="medium">
        <color auto="1"/>
      </bottom>
      <diagonal/>
    </border>
    <border>
      <left style="medium">
        <color theme="1"/>
      </left>
      <right style="medium">
        <color theme="0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auto="1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auto="1"/>
      </right>
      <top style="medium">
        <color theme="0"/>
      </top>
      <bottom/>
      <diagonal/>
    </border>
    <border>
      <left style="thin">
        <color auto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medium">
        <color theme="0"/>
      </right>
      <top/>
      <bottom style="thin">
        <color theme="0"/>
      </bottom>
      <diagonal/>
    </border>
    <border>
      <left style="thin">
        <color auto="1"/>
      </left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medium">
        <color theme="0"/>
      </left>
      <right style="thin">
        <color auto="1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medium">
        <color theme="0"/>
      </right>
      <top style="thin">
        <color theme="0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theme="0"/>
      </top>
      <bottom style="medium">
        <color auto="1"/>
      </bottom>
      <diagonal/>
    </border>
    <border>
      <left style="medium">
        <color theme="0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medium">
        <color auto="1"/>
      </left>
      <right style="medium">
        <color theme="0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77111117893"/>
      </bottom>
      <diagonal/>
    </border>
    <border>
      <left/>
      <right style="medium">
        <color auto="1"/>
      </right>
      <top style="medium">
        <color auto="1"/>
      </top>
      <bottom style="thin">
        <color theme="0" tint="-0.249977111117893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theme="0"/>
      </top>
      <bottom/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medium">
        <color auto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/>
      <top style="thin">
        <color theme="0" tint="-0.249977111117893"/>
      </top>
      <bottom style="medium">
        <color auto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77111117893"/>
      </top>
      <bottom style="medium">
        <color auto="1"/>
      </bottom>
      <diagonal/>
    </border>
    <border>
      <left style="thin">
        <color theme="0" tint="-0.249977111117893"/>
      </left>
      <right/>
      <top style="medium">
        <color auto="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auto="1"/>
      </top>
      <bottom style="thin">
        <color theme="0" tint="-0.249977111117893"/>
      </bottom>
      <diagonal/>
    </border>
    <border>
      <left style="medium">
        <color auto="1"/>
      </left>
      <right/>
      <top/>
      <bottom style="thin">
        <color theme="0" tint="-0.249977111117893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 tint="-0.249977111117893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66">
    <xf numFmtId="0" fontId="0" fillId="0" borderId="0"/>
    <xf numFmtId="43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176" fontId="32" fillId="0" borderId="0" applyNumberFormat="0" applyFill="0" applyBorder="0" applyAlignment="0" applyProtection="0"/>
    <xf numFmtId="176" fontId="46" fillId="0" borderId="0"/>
    <xf numFmtId="9" fontId="47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0" fontId="45" fillId="0" borderId="0"/>
    <xf numFmtId="176" fontId="48" fillId="0" borderId="0">
      <alignment vertical="center"/>
    </xf>
    <xf numFmtId="176" fontId="50" fillId="0" borderId="0"/>
    <xf numFmtId="176" fontId="45" fillId="0" borderId="0">
      <alignment vertical="center"/>
    </xf>
    <xf numFmtId="176" fontId="48" fillId="0" borderId="0"/>
    <xf numFmtId="176" fontId="48" fillId="0" borderId="0"/>
    <xf numFmtId="176" fontId="49" fillId="0" borderId="0">
      <alignment vertical="center"/>
    </xf>
    <xf numFmtId="176" fontId="45" fillId="0" borderId="0">
      <alignment vertical="center"/>
    </xf>
    <xf numFmtId="176" fontId="45" fillId="0" borderId="0">
      <alignment vertical="center"/>
    </xf>
    <xf numFmtId="176" fontId="47" fillId="0" borderId="0">
      <alignment vertical="center"/>
    </xf>
    <xf numFmtId="176" fontId="48" fillId="0" borderId="0"/>
    <xf numFmtId="176" fontId="45" fillId="0" borderId="0">
      <alignment vertical="center"/>
    </xf>
    <xf numFmtId="176" fontId="45" fillId="0" borderId="0"/>
    <xf numFmtId="176" fontId="48" fillId="0" borderId="0">
      <alignment vertical="center"/>
    </xf>
    <xf numFmtId="0" fontId="45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</cellStyleXfs>
  <cellXfs count="967">
    <xf numFmtId="0" fontId="0" fillId="0" borderId="0" xfId="0"/>
    <xf numFmtId="176" fontId="1" fillId="0" borderId="0" xfId="24" applyFont="1"/>
    <xf numFmtId="176" fontId="2" fillId="0" borderId="0" xfId="24" applyFont="1" applyAlignment="1">
      <alignment horizontal="center" vertical="center"/>
    </xf>
    <xf numFmtId="176" fontId="3" fillId="0" borderId="0" xfId="24" applyFont="1" applyAlignment="1">
      <alignment horizontal="center"/>
    </xf>
    <xf numFmtId="176" fontId="4" fillId="0" borderId="0" xfId="24" applyFont="1" applyAlignment="1">
      <alignment horizontal="center" vertical="center"/>
    </xf>
    <xf numFmtId="176" fontId="4" fillId="0" borderId="0" xfId="24" applyFont="1"/>
    <xf numFmtId="9" fontId="4" fillId="0" borderId="0" xfId="2" applyFont="1" applyAlignment="1"/>
    <xf numFmtId="9" fontId="0" fillId="0" borderId="0" xfId="2" applyFont="1">
      <alignment vertical="center"/>
    </xf>
    <xf numFmtId="9" fontId="4" fillId="0" borderId="0" xfId="24" applyNumberFormat="1" applyFont="1"/>
    <xf numFmtId="9" fontId="4" fillId="0" borderId="0" xfId="2" applyFont="1" applyFill="1" applyBorder="1" applyAlignment="1" applyProtection="1"/>
    <xf numFmtId="176" fontId="5" fillId="0" borderId="0" xfId="24" applyFont="1"/>
    <xf numFmtId="9" fontId="3" fillId="0" borderId="0" xfId="2" applyFont="1" applyFill="1" applyBorder="1" applyAlignment="1" applyProtection="1"/>
    <xf numFmtId="176" fontId="3" fillId="0" borderId="0" xfId="24" applyFont="1" applyAlignment="1">
      <alignment horizontal="center" vertical="center" shrinkToFit="1"/>
    </xf>
    <xf numFmtId="176" fontId="3" fillId="2" borderId="0" xfId="24" applyFont="1" applyFill="1"/>
    <xf numFmtId="176" fontId="5" fillId="2" borderId="0" xfId="24" applyFont="1" applyFill="1" applyAlignment="1">
      <alignment horizontal="center" vertical="center" shrinkToFit="1"/>
    </xf>
    <xf numFmtId="176" fontId="5" fillId="2" borderId="0" xfId="24" applyFont="1" applyFill="1" applyAlignment="1">
      <alignment horizontal="center" vertical="center"/>
    </xf>
    <xf numFmtId="176" fontId="6" fillId="2" borderId="0" xfId="24" applyFont="1" applyFill="1" applyAlignment="1">
      <alignment horizontal="center" vertical="center"/>
    </xf>
    <xf numFmtId="176" fontId="2" fillId="0" borderId="0" xfId="24" applyFont="1" applyAlignment="1">
      <alignment vertical="center" wrapText="1"/>
    </xf>
    <xf numFmtId="178" fontId="3" fillId="0" borderId="0" xfId="24" applyNumberFormat="1" applyFont="1" applyAlignment="1">
      <alignment horizontal="right" vertical="center"/>
    </xf>
    <xf numFmtId="176" fontId="3" fillId="0" borderId="0" xfId="24" applyFont="1" applyAlignment="1">
      <alignment horizontal="right" vertical="center"/>
    </xf>
    <xf numFmtId="10" fontId="3" fillId="0" borderId="0" xfId="2" applyNumberFormat="1" applyFont="1" applyAlignment="1">
      <alignment horizontal="right" vertical="center"/>
    </xf>
    <xf numFmtId="176" fontId="3" fillId="0" borderId="0" xfId="24" applyFont="1"/>
    <xf numFmtId="176" fontId="1" fillId="2" borderId="0" xfId="24" applyFont="1" applyFill="1"/>
    <xf numFmtId="176" fontId="1" fillId="2" borderId="0" xfId="24" applyFont="1" applyFill="1" applyAlignment="1">
      <alignment horizontal="center" vertical="center" shrinkToFit="1"/>
    </xf>
    <xf numFmtId="176" fontId="1" fillId="2" borderId="0" xfId="24" applyFont="1" applyFill="1" applyAlignment="1">
      <alignment horizontal="center" vertical="center"/>
    </xf>
    <xf numFmtId="176" fontId="1" fillId="2" borderId="0" xfId="24" applyFont="1" applyFill="1" applyAlignment="1">
      <alignment horizontal="right"/>
    </xf>
    <xf numFmtId="176" fontId="7" fillId="0" borderId="0" xfId="24" applyFont="1" applyAlignment="1">
      <alignment vertical="center" wrapText="1"/>
    </xf>
    <xf numFmtId="176" fontId="7" fillId="0" borderId="0" xfId="24" applyFont="1" applyAlignment="1">
      <alignment horizontal="center" vertical="center"/>
    </xf>
    <xf numFmtId="178" fontId="4" fillId="0" borderId="0" xfId="24" applyNumberFormat="1" applyFont="1" applyAlignment="1">
      <alignment horizontal="right" vertical="center"/>
    </xf>
    <xf numFmtId="176" fontId="4" fillId="0" borderId="0" xfId="24" applyFont="1" applyAlignment="1">
      <alignment horizontal="right" vertical="center"/>
    </xf>
    <xf numFmtId="176" fontId="4" fillId="2" borderId="0" xfId="24" applyFont="1" applyFill="1" applyAlignment="1">
      <alignment horizontal="right" vertical="center"/>
    </xf>
    <xf numFmtId="10" fontId="3" fillId="2" borderId="0" xfId="2" applyNumberFormat="1" applyFont="1" applyFill="1" applyAlignment="1"/>
    <xf numFmtId="176" fontId="2" fillId="2" borderId="0" xfId="24" applyFont="1" applyFill="1" applyAlignment="1">
      <alignment horizontal="center" vertical="center" shrinkToFit="1"/>
    </xf>
    <xf numFmtId="176" fontId="2" fillId="2" borderId="0" xfId="24" applyFont="1" applyFill="1" applyAlignment="1">
      <alignment horizontal="center" vertical="center"/>
    </xf>
    <xf numFmtId="176" fontId="6" fillId="2" borderId="2" xfId="24" applyFont="1" applyFill="1" applyBorder="1" applyAlignment="1">
      <alignment horizontal="center" vertical="center"/>
    </xf>
    <xf numFmtId="176" fontId="9" fillId="6" borderId="0" xfId="3" applyFont="1" applyFill="1" applyAlignment="1">
      <alignment horizontal="center" vertical="center"/>
    </xf>
    <xf numFmtId="176" fontId="6" fillId="2" borderId="9" xfId="24" applyFont="1" applyFill="1" applyBorder="1" applyAlignment="1">
      <alignment horizontal="center" vertical="center"/>
    </xf>
    <xf numFmtId="178" fontId="8" fillId="3" borderId="10" xfId="24" applyNumberFormat="1" applyFont="1" applyFill="1" applyBorder="1" applyAlignment="1" applyProtection="1">
      <alignment horizontal="center" vertical="center"/>
      <protection locked="0"/>
    </xf>
    <xf numFmtId="178" fontId="8" fillId="3" borderId="11" xfId="24" applyNumberFormat="1" applyFont="1" applyFill="1" applyBorder="1" applyAlignment="1" applyProtection="1">
      <alignment horizontal="center" vertical="center"/>
      <protection locked="0"/>
    </xf>
    <xf numFmtId="179" fontId="8" fillId="3" borderId="12" xfId="24" applyNumberFormat="1" applyFont="1" applyFill="1" applyBorder="1" applyAlignment="1" applyProtection="1">
      <alignment horizontal="center" vertical="center"/>
      <protection locked="0"/>
    </xf>
    <xf numFmtId="178" fontId="8" fillId="3" borderId="13" xfId="24" applyNumberFormat="1" applyFont="1" applyFill="1" applyBorder="1" applyAlignment="1" applyProtection="1">
      <alignment horizontal="center" vertical="center"/>
      <protection locked="0"/>
    </xf>
    <xf numFmtId="179" fontId="8" fillId="3" borderId="14" xfId="24" applyNumberFormat="1" applyFont="1" applyFill="1" applyBorder="1" applyAlignment="1" applyProtection="1">
      <alignment horizontal="center" vertical="center"/>
      <protection locked="0"/>
    </xf>
    <xf numFmtId="178" fontId="8" fillId="4" borderId="15" xfId="24" applyNumberFormat="1" applyFont="1" applyFill="1" applyBorder="1" applyAlignment="1" applyProtection="1">
      <alignment horizontal="center" vertical="center"/>
      <protection locked="0"/>
    </xf>
    <xf numFmtId="178" fontId="8" fillId="4" borderId="16" xfId="24" applyNumberFormat="1" applyFont="1" applyFill="1" applyBorder="1" applyAlignment="1" applyProtection="1">
      <alignment horizontal="center" vertical="center"/>
      <protection locked="0"/>
    </xf>
    <xf numFmtId="179" fontId="8" fillId="4" borderId="15" xfId="24" applyNumberFormat="1" applyFont="1" applyFill="1" applyBorder="1" applyAlignment="1" applyProtection="1">
      <alignment horizontal="center" vertical="center"/>
      <protection locked="0"/>
    </xf>
    <xf numFmtId="178" fontId="8" fillId="7" borderId="17" xfId="24" applyNumberFormat="1" applyFont="1" applyFill="1" applyBorder="1" applyAlignment="1" applyProtection="1">
      <alignment horizontal="center" vertical="center"/>
      <protection locked="0"/>
    </xf>
    <xf numFmtId="10" fontId="8" fillId="7" borderId="18" xfId="2" applyNumberFormat="1" applyFont="1" applyFill="1" applyBorder="1" applyAlignment="1" applyProtection="1">
      <alignment horizontal="center" vertical="center"/>
      <protection locked="0"/>
    </xf>
    <xf numFmtId="176" fontId="10" fillId="2" borderId="0" xfId="29" applyNumberFormat="1" applyFont="1" applyFill="1" applyBorder="1" applyAlignment="1">
      <alignment horizontal="center" vertical="center" shrinkToFit="1"/>
    </xf>
    <xf numFmtId="176" fontId="11" fillId="2" borderId="0" xfId="29" applyNumberFormat="1" applyFont="1" applyFill="1" applyBorder="1" applyAlignment="1">
      <alignment horizontal="center" vertical="center" shrinkToFit="1"/>
    </xf>
    <xf numFmtId="176" fontId="11" fillId="2" borderId="0" xfId="29" applyNumberFormat="1" applyFont="1" applyFill="1" applyBorder="1" applyAlignment="1">
      <alignment horizontal="center" vertical="center"/>
    </xf>
    <xf numFmtId="3" fontId="12" fillId="2" borderId="19" xfId="24" applyNumberFormat="1" applyFont="1" applyFill="1" applyBorder="1" applyAlignment="1">
      <alignment vertical="center" wrapText="1" shrinkToFit="1"/>
    </xf>
    <xf numFmtId="180" fontId="13" fillId="2" borderId="20" xfId="24" applyNumberFormat="1" applyFont="1" applyFill="1" applyBorder="1" applyAlignment="1">
      <alignment horizontal="right" vertical="center"/>
    </xf>
    <xf numFmtId="180" fontId="13" fillId="2" borderId="21" xfId="24" applyNumberFormat="1" applyFont="1" applyFill="1" applyBorder="1" applyAlignment="1">
      <alignment horizontal="right" vertical="center"/>
    </xf>
    <xf numFmtId="9" fontId="13" fillId="2" borderId="20" xfId="24" applyNumberFormat="1" applyFont="1" applyFill="1" applyBorder="1" applyAlignment="1">
      <alignment horizontal="right" vertical="center"/>
    </xf>
    <xf numFmtId="9" fontId="13" fillId="2" borderId="22" xfId="24" applyNumberFormat="1" applyFont="1" applyFill="1" applyBorder="1" applyAlignment="1">
      <alignment horizontal="right" vertical="center"/>
    </xf>
    <xf numFmtId="180" fontId="13" fillId="2" borderId="23" xfId="24" applyNumberFormat="1" applyFont="1" applyFill="1" applyBorder="1" applyAlignment="1">
      <alignment horizontal="right" vertical="center"/>
    </xf>
    <xf numFmtId="9" fontId="13" fillId="2" borderId="24" xfId="24" applyNumberFormat="1" applyFont="1" applyFill="1" applyBorder="1" applyAlignment="1">
      <alignment horizontal="right" vertical="center"/>
    </xf>
    <xf numFmtId="180" fontId="13" fillId="2" borderId="25" xfId="24" applyNumberFormat="1" applyFont="1" applyFill="1" applyBorder="1" applyAlignment="1">
      <alignment horizontal="right" vertical="center"/>
    </xf>
    <xf numFmtId="9" fontId="13" fillId="2" borderId="26" xfId="2" applyFont="1" applyFill="1" applyBorder="1" applyAlignment="1">
      <alignment horizontal="right" vertical="center"/>
    </xf>
    <xf numFmtId="3" fontId="14" fillId="2" borderId="9" xfId="24" applyNumberFormat="1" applyFont="1" applyFill="1" applyBorder="1" applyAlignment="1">
      <alignment vertical="center" wrapText="1" shrinkToFit="1"/>
    </xf>
    <xf numFmtId="180" fontId="13" fillId="2" borderId="27" xfId="24" applyNumberFormat="1" applyFont="1" applyFill="1" applyBorder="1" applyAlignment="1">
      <alignment horizontal="right" vertical="center"/>
    </xf>
    <xf numFmtId="180" fontId="13" fillId="2" borderId="28" xfId="24" applyNumberFormat="1" applyFont="1" applyFill="1" applyBorder="1" applyAlignment="1">
      <alignment horizontal="right" vertical="center"/>
    </xf>
    <xf numFmtId="9" fontId="13" fillId="2" borderId="27" xfId="24" applyNumberFormat="1" applyFont="1" applyFill="1" applyBorder="1" applyAlignment="1">
      <alignment horizontal="right" vertical="center"/>
    </xf>
    <xf numFmtId="9" fontId="13" fillId="2" borderId="29" xfId="24" applyNumberFormat="1" applyFont="1" applyFill="1" applyBorder="1" applyAlignment="1">
      <alignment horizontal="right" vertical="center"/>
    </xf>
    <xf numFmtId="180" fontId="13" fillId="2" borderId="30" xfId="24" applyNumberFormat="1" applyFont="1" applyFill="1" applyBorder="1" applyAlignment="1">
      <alignment horizontal="right" vertical="center"/>
    </xf>
    <xf numFmtId="9" fontId="13" fillId="2" borderId="0" xfId="24" applyNumberFormat="1" applyFont="1" applyFill="1" applyAlignment="1">
      <alignment horizontal="right" vertical="center"/>
    </xf>
    <xf numFmtId="3" fontId="14" fillId="2" borderId="19" xfId="24" applyNumberFormat="1" applyFont="1" applyFill="1" applyBorder="1" applyAlignment="1">
      <alignment vertical="center" wrapText="1" shrinkToFit="1"/>
    </xf>
    <xf numFmtId="9" fontId="13" fillId="2" borderId="20" xfId="2" applyFont="1" applyFill="1" applyBorder="1" applyAlignment="1">
      <alignment horizontal="right" vertical="center"/>
    </xf>
    <xf numFmtId="9" fontId="13" fillId="2" borderId="21" xfId="2" applyFont="1" applyFill="1" applyBorder="1" applyAlignment="1">
      <alignment horizontal="right" vertical="center"/>
    </xf>
    <xf numFmtId="9" fontId="13" fillId="2" borderId="22" xfId="2" applyFont="1" applyFill="1" applyBorder="1" applyAlignment="1">
      <alignment horizontal="right" vertical="center"/>
    </xf>
    <xf numFmtId="9" fontId="13" fillId="2" borderId="23" xfId="2" applyFont="1" applyFill="1" applyBorder="1" applyAlignment="1">
      <alignment horizontal="right" vertical="center"/>
    </xf>
    <xf numFmtId="9" fontId="13" fillId="2" borderId="24" xfId="2" applyFont="1" applyFill="1" applyBorder="1" applyAlignment="1">
      <alignment horizontal="right" vertical="center"/>
    </xf>
    <xf numFmtId="9" fontId="13" fillId="2" borderId="25" xfId="2" applyFont="1" applyFill="1" applyBorder="1" applyAlignment="1">
      <alignment horizontal="right" vertical="center"/>
    </xf>
    <xf numFmtId="176" fontId="11" fillId="2" borderId="0" xfId="24" applyFont="1" applyFill="1" applyAlignment="1">
      <alignment horizontal="center" vertical="center" shrinkToFit="1"/>
    </xf>
    <xf numFmtId="3" fontId="14" fillId="2" borderId="31" xfId="24" applyNumberFormat="1" applyFont="1" applyFill="1" applyBorder="1" applyAlignment="1">
      <alignment vertical="center" wrapText="1" shrinkToFit="1"/>
    </xf>
    <xf numFmtId="180" fontId="13" fillId="2" borderId="32" xfId="24" applyNumberFormat="1" applyFont="1" applyFill="1" applyBorder="1" applyAlignment="1">
      <alignment horizontal="right" vertical="center"/>
    </xf>
    <xf numFmtId="180" fontId="13" fillId="2" borderId="33" xfId="24" applyNumberFormat="1" applyFont="1" applyFill="1" applyBorder="1" applyAlignment="1">
      <alignment horizontal="right" vertical="center"/>
    </xf>
    <xf numFmtId="9" fontId="13" fillId="2" borderId="32" xfId="24" applyNumberFormat="1" applyFont="1" applyFill="1" applyBorder="1" applyAlignment="1">
      <alignment horizontal="right" vertical="center"/>
    </xf>
    <xf numFmtId="9" fontId="13" fillId="2" borderId="34" xfId="24" applyNumberFormat="1" applyFont="1" applyFill="1" applyBorder="1" applyAlignment="1">
      <alignment horizontal="right" vertical="center"/>
    </xf>
    <xf numFmtId="180" fontId="13" fillId="2" borderId="35" xfId="24" applyNumberFormat="1" applyFont="1" applyFill="1" applyBorder="1" applyAlignment="1">
      <alignment horizontal="right" vertical="center"/>
    </xf>
    <xf numFmtId="9" fontId="13" fillId="2" borderId="1" xfId="24" applyNumberFormat="1" applyFont="1" applyFill="1" applyBorder="1" applyAlignment="1">
      <alignment horizontal="right" vertical="center"/>
    </xf>
    <xf numFmtId="180" fontId="13" fillId="2" borderId="36" xfId="24" applyNumberFormat="1" applyFont="1" applyFill="1" applyBorder="1" applyAlignment="1">
      <alignment horizontal="right" vertical="center"/>
    </xf>
    <xf numFmtId="9" fontId="13" fillId="2" borderId="37" xfId="2" applyFont="1" applyFill="1" applyBorder="1" applyAlignment="1">
      <alignment horizontal="right" vertical="center"/>
    </xf>
    <xf numFmtId="3" fontId="12" fillId="2" borderId="0" xfId="24" applyNumberFormat="1" applyFont="1" applyFill="1" applyAlignment="1">
      <alignment vertical="center" wrapText="1" shrinkToFit="1"/>
    </xf>
    <xf numFmtId="178" fontId="3" fillId="2" borderId="0" xfId="24" applyNumberFormat="1" applyFont="1" applyFill="1" applyAlignment="1">
      <alignment horizontal="right" vertical="center"/>
    </xf>
    <xf numFmtId="9" fontId="3" fillId="2" borderId="0" xfId="24" applyNumberFormat="1" applyFont="1" applyFill="1" applyAlignment="1">
      <alignment horizontal="right" vertical="center"/>
    </xf>
    <xf numFmtId="9" fontId="3" fillId="2" borderId="0" xfId="2" applyFont="1" applyFill="1" applyAlignment="1">
      <alignment horizontal="right" vertical="center"/>
    </xf>
    <xf numFmtId="176" fontId="8" fillId="3" borderId="38" xfId="24" applyFont="1" applyFill="1" applyBorder="1" applyAlignment="1" applyProtection="1">
      <alignment horizontal="left" vertical="center" wrapText="1"/>
      <protection locked="0"/>
    </xf>
    <xf numFmtId="178" fontId="8" fillId="3" borderId="39" xfId="24" applyNumberFormat="1" applyFont="1" applyFill="1" applyBorder="1" applyAlignment="1" applyProtection="1">
      <alignment horizontal="center" vertical="center"/>
      <protection locked="0"/>
    </xf>
    <xf numFmtId="178" fontId="8" fillId="3" borderId="40" xfId="24" applyNumberFormat="1" applyFont="1" applyFill="1" applyBorder="1" applyAlignment="1" applyProtection="1">
      <alignment horizontal="center" vertical="center"/>
      <protection locked="0"/>
    </xf>
    <xf numFmtId="9" fontId="8" fillId="3" borderId="40" xfId="24" applyNumberFormat="1" applyFont="1" applyFill="1" applyBorder="1" applyAlignment="1" applyProtection="1">
      <alignment horizontal="center" vertical="center"/>
      <protection locked="0"/>
    </xf>
    <xf numFmtId="178" fontId="8" fillId="3" borderId="41" xfId="24" applyNumberFormat="1" applyFont="1" applyFill="1" applyBorder="1" applyAlignment="1" applyProtection="1">
      <alignment horizontal="center" vertical="center"/>
      <protection locked="0"/>
    </xf>
    <xf numFmtId="178" fontId="8" fillId="4" borderId="39" xfId="24" applyNumberFormat="1" applyFont="1" applyFill="1" applyBorder="1" applyAlignment="1" applyProtection="1">
      <alignment horizontal="center" vertical="center"/>
      <protection locked="0"/>
    </xf>
    <xf numFmtId="178" fontId="8" fillId="4" borderId="41" xfId="24" applyNumberFormat="1" applyFont="1" applyFill="1" applyBorder="1" applyAlignment="1" applyProtection="1">
      <alignment horizontal="center" vertical="center"/>
      <protection locked="0"/>
    </xf>
    <xf numFmtId="9" fontId="8" fillId="4" borderId="39" xfId="24" applyNumberFormat="1" applyFont="1" applyFill="1" applyBorder="1" applyAlignment="1" applyProtection="1">
      <alignment horizontal="center" vertical="center"/>
      <protection locked="0"/>
    </xf>
    <xf numFmtId="9" fontId="8" fillId="4" borderId="40" xfId="24" applyNumberFormat="1" applyFont="1" applyFill="1" applyBorder="1" applyAlignment="1" applyProtection="1">
      <alignment horizontal="center" vertical="center"/>
      <protection locked="0"/>
    </xf>
    <xf numFmtId="178" fontId="8" fillId="7" borderId="42" xfId="24" applyNumberFormat="1" applyFont="1" applyFill="1" applyBorder="1" applyAlignment="1" applyProtection="1">
      <alignment horizontal="center" vertical="center"/>
      <protection locked="0"/>
    </xf>
    <xf numFmtId="9" fontId="8" fillId="7" borderId="43" xfId="2" applyFont="1" applyFill="1" applyBorder="1" applyAlignment="1" applyProtection="1">
      <alignment horizontal="center" vertical="center"/>
      <protection locked="0"/>
    </xf>
    <xf numFmtId="176" fontId="3" fillId="2" borderId="0" xfId="24" applyFont="1" applyFill="1" applyAlignment="1">
      <alignment horizontal="center"/>
    </xf>
    <xf numFmtId="176" fontId="10" fillId="2" borderId="0" xfId="24" applyFont="1" applyFill="1" applyAlignment="1">
      <alignment horizontal="center" vertical="center" shrinkToFit="1"/>
    </xf>
    <xf numFmtId="176" fontId="11" fillId="2" borderId="0" xfId="24" applyFont="1" applyFill="1" applyAlignment="1">
      <alignment horizontal="center" vertical="center"/>
    </xf>
    <xf numFmtId="176" fontId="4" fillId="2" borderId="0" xfId="24" applyFont="1" applyFill="1" applyAlignment="1">
      <alignment horizontal="center" vertical="center"/>
    </xf>
    <xf numFmtId="176" fontId="12" fillId="2" borderId="44" xfId="24" applyFont="1" applyFill="1" applyBorder="1" applyAlignment="1">
      <alignment vertical="center" wrapText="1" shrinkToFit="1"/>
    </xf>
    <xf numFmtId="180" fontId="13" fillId="2" borderId="45" xfId="24" applyNumberFormat="1" applyFont="1" applyFill="1" applyBorder="1" applyAlignment="1">
      <alignment horizontal="right" vertical="center"/>
    </xf>
    <xf numFmtId="180" fontId="13" fillId="2" borderId="46" xfId="24" applyNumberFormat="1" applyFont="1" applyFill="1" applyBorder="1" applyAlignment="1">
      <alignment horizontal="right" vertical="center"/>
    </xf>
    <xf numFmtId="9" fontId="13" fillId="2" borderId="45" xfId="9" applyFont="1" applyFill="1" applyBorder="1" applyAlignment="1">
      <alignment horizontal="right" vertical="center"/>
    </xf>
    <xf numFmtId="9" fontId="13" fillId="2" borderId="47" xfId="9" applyFont="1" applyFill="1" applyBorder="1" applyAlignment="1">
      <alignment horizontal="right" vertical="center"/>
    </xf>
    <xf numFmtId="9" fontId="13" fillId="2" borderId="48" xfId="9" applyFont="1" applyFill="1" applyBorder="1" applyAlignment="1">
      <alignment horizontal="right" vertical="center"/>
    </xf>
    <xf numFmtId="180" fontId="13" fillId="2" borderId="51" xfId="24" applyNumberFormat="1" applyFont="1" applyFill="1" applyBorder="1" applyAlignment="1">
      <alignment horizontal="right" vertical="center"/>
    </xf>
    <xf numFmtId="9" fontId="13" fillId="2" borderId="52" xfId="2" applyFont="1" applyFill="1" applyBorder="1" applyAlignment="1">
      <alignment horizontal="right" vertical="center"/>
    </xf>
    <xf numFmtId="179" fontId="12" fillId="2" borderId="53" xfId="24" applyNumberFormat="1" applyFont="1" applyFill="1" applyBorder="1" applyAlignment="1">
      <alignment vertical="center" wrapText="1" shrinkToFit="1"/>
    </xf>
    <xf numFmtId="9" fontId="13" fillId="2" borderId="20" xfId="9" applyFont="1" applyFill="1" applyBorder="1" applyAlignment="1">
      <alignment horizontal="right" vertical="center"/>
    </xf>
    <xf numFmtId="9" fontId="13" fillId="2" borderId="22" xfId="9" applyFont="1" applyFill="1" applyBorder="1" applyAlignment="1">
      <alignment horizontal="right" vertical="center"/>
    </xf>
    <xf numFmtId="9" fontId="13" fillId="2" borderId="24" xfId="9" applyFont="1" applyFill="1" applyBorder="1" applyAlignment="1">
      <alignment horizontal="right" vertical="center"/>
    </xf>
    <xf numFmtId="176" fontId="12" fillId="2" borderId="53" xfId="24" applyFont="1" applyFill="1" applyBorder="1" applyAlignment="1">
      <alignment vertical="center" wrapText="1" shrinkToFit="1"/>
    </xf>
    <xf numFmtId="176" fontId="6" fillId="2" borderId="31" xfId="24" applyFont="1" applyFill="1" applyBorder="1" applyAlignment="1">
      <alignment horizontal="center" vertical="center"/>
    </xf>
    <xf numFmtId="176" fontId="15" fillId="8" borderId="54" xfId="24" applyFont="1" applyFill="1" applyBorder="1" applyAlignment="1">
      <alignment horizontal="left" vertical="center" wrapText="1" shrinkToFit="1"/>
    </xf>
    <xf numFmtId="180" fontId="16" fillId="8" borderId="27" xfId="24" applyNumberFormat="1" applyFont="1" applyFill="1" applyBorder="1" applyAlignment="1">
      <alignment horizontal="right" vertical="center"/>
    </xf>
    <xf numFmtId="180" fontId="16" fillId="8" borderId="30" xfId="24" applyNumberFormat="1" applyFont="1" applyFill="1" applyBorder="1" applyAlignment="1">
      <alignment horizontal="right" vertical="center"/>
    </xf>
    <xf numFmtId="9" fontId="16" fillId="8" borderId="27" xfId="24" applyNumberFormat="1" applyFont="1" applyFill="1" applyBorder="1" applyAlignment="1">
      <alignment horizontal="right" vertical="center"/>
    </xf>
    <xf numFmtId="9" fontId="16" fillId="8" borderId="29" xfId="24" applyNumberFormat="1" applyFont="1" applyFill="1" applyBorder="1" applyAlignment="1">
      <alignment horizontal="right" vertical="center"/>
    </xf>
    <xf numFmtId="9" fontId="16" fillId="8" borderId="0" xfId="24" applyNumberFormat="1" applyFont="1" applyFill="1" applyAlignment="1">
      <alignment horizontal="right" vertical="center"/>
    </xf>
    <xf numFmtId="180" fontId="16" fillId="8" borderId="51" xfId="24" applyNumberFormat="1" applyFont="1" applyFill="1" applyBorder="1" applyAlignment="1">
      <alignment horizontal="right" vertical="center"/>
    </xf>
    <xf numFmtId="9" fontId="16" fillId="8" borderId="52" xfId="2" applyFont="1" applyFill="1" applyBorder="1" applyAlignment="1">
      <alignment horizontal="right" vertical="center"/>
    </xf>
    <xf numFmtId="176" fontId="4" fillId="2" borderId="0" xfId="24" applyFont="1" applyFill="1"/>
    <xf numFmtId="9" fontId="10" fillId="2" borderId="0" xfId="2" applyFont="1" applyFill="1" applyBorder="1" applyAlignment="1">
      <alignment horizontal="center" vertical="center" shrinkToFit="1"/>
    </xf>
    <xf numFmtId="9" fontId="11" fillId="2" borderId="0" xfId="2" applyFont="1" applyFill="1" applyBorder="1" applyAlignment="1">
      <alignment horizontal="center" vertical="center" shrinkToFit="1"/>
    </xf>
    <xf numFmtId="9" fontId="11" fillId="2" borderId="0" xfId="2" applyFont="1" applyFill="1" applyBorder="1" applyAlignment="1">
      <alignment horizontal="center" vertical="center"/>
    </xf>
    <xf numFmtId="9" fontId="6" fillId="2" borderId="0" xfId="2" applyFont="1" applyFill="1" applyBorder="1" applyAlignment="1" applyProtection="1">
      <alignment horizontal="center" vertical="center"/>
    </xf>
    <xf numFmtId="9" fontId="15" fillId="2" borderId="19" xfId="2" applyFont="1" applyFill="1" applyBorder="1" applyAlignment="1">
      <alignment vertical="center" wrapText="1" shrinkToFit="1"/>
    </xf>
    <xf numFmtId="9" fontId="16" fillId="2" borderId="20" xfId="2" applyFont="1" applyFill="1" applyBorder="1" applyAlignment="1">
      <alignment horizontal="right" vertical="center"/>
    </xf>
    <xf numFmtId="9" fontId="16" fillId="2" borderId="23" xfId="2" applyFont="1" applyFill="1" applyBorder="1" applyAlignment="1">
      <alignment horizontal="right" vertical="center"/>
    </xf>
    <xf numFmtId="9" fontId="16" fillId="2" borderId="22" xfId="2" applyFont="1" applyFill="1" applyBorder="1" applyAlignment="1">
      <alignment horizontal="right" vertical="center"/>
    </xf>
    <xf numFmtId="9" fontId="16" fillId="2" borderId="24" xfId="2" applyFont="1" applyFill="1" applyBorder="1" applyAlignment="1">
      <alignment horizontal="right" vertical="center"/>
    </xf>
    <xf numFmtId="9" fontId="16" fillId="2" borderId="51" xfId="2" applyFont="1" applyFill="1" applyBorder="1" applyAlignment="1">
      <alignment horizontal="right" vertical="center"/>
    </xf>
    <xf numFmtId="9" fontId="16" fillId="2" borderId="52" xfId="2" applyFont="1" applyFill="1" applyBorder="1" applyAlignment="1">
      <alignment horizontal="right" vertical="center"/>
    </xf>
    <xf numFmtId="9" fontId="3" fillId="2" borderId="0" xfId="2" applyFont="1" applyFill="1" applyBorder="1" applyAlignment="1" applyProtection="1"/>
    <xf numFmtId="9" fontId="4" fillId="2" borderId="0" xfId="2" applyFont="1" applyFill="1" applyAlignment="1"/>
    <xf numFmtId="176" fontId="12" fillId="2" borderId="19" xfId="24" applyFont="1" applyFill="1" applyBorder="1" applyAlignment="1">
      <alignment vertical="center" wrapText="1" shrinkToFit="1"/>
    </xf>
    <xf numFmtId="176" fontId="15" fillId="8" borderId="19" xfId="24" applyFont="1" applyFill="1" applyBorder="1" applyAlignment="1">
      <alignment horizontal="left" vertical="center" wrapText="1" shrinkToFit="1"/>
    </xf>
    <xf numFmtId="180" fontId="16" fillId="8" borderId="20" xfId="24" applyNumberFormat="1" applyFont="1" applyFill="1" applyBorder="1" applyAlignment="1">
      <alignment horizontal="right" vertical="center"/>
    </xf>
    <xf numFmtId="180" fontId="16" fillId="8" borderId="23" xfId="24" applyNumberFormat="1" applyFont="1" applyFill="1" applyBorder="1" applyAlignment="1">
      <alignment horizontal="right" vertical="center"/>
    </xf>
    <xf numFmtId="9" fontId="16" fillId="8" borderId="20" xfId="9" applyFont="1" applyFill="1" applyBorder="1" applyAlignment="1">
      <alignment horizontal="right" vertical="center"/>
    </xf>
    <xf numFmtId="9" fontId="16" fillId="8" borderId="22" xfId="9" applyFont="1" applyFill="1" applyBorder="1" applyAlignment="1">
      <alignment horizontal="right" vertical="center"/>
    </xf>
    <xf numFmtId="9" fontId="16" fillId="8" borderId="24" xfId="9" applyFont="1" applyFill="1" applyBorder="1" applyAlignment="1">
      <alignment horizontal="right" vertical="center"/>
    </xf>
    <xf numFmtId="176" fontId="15" fillId="8" borderId="9" xfId="24" applyFont="1" applyFill="1" applyBorder="1" applyAlignment="1">
      <alignment horizontal="left" vertical="center" wrapText="1" shrinkToFit="1"/>
    </xf>
    <xf numFmtId="9" fontId="16" fillId="8" borderId="27" xfId="9" applyFont="1" applyFill="1" applyBorder="1" applyAlignment="1">
      <alignment horizontal="right" vertical="center"/>
    </xf>
    <xf numFmtId="9" fontId="16" fillId="8" borderId="29" xfId="9" applyFont="1" applyFill="1" applyBorder="1" applyAlignment="1">
      <alignment horizontal="right" vertical="center"/>
    </xf>
    <xf numFmtId="9" fontId="16" fillId="8" borderId="0" xfId="9" applyFont="1" applyFill="1" applyBorder="1" applyAlignment="1">
      <alignment horizontal="right" vertical="center"/>
    </xf>
    <xf numFmtId="3" fontId="15" fillId="8" borderId="55" xfId="24" applyNumberFormat="1" applyFont="1" applyFill="1" applyBorder="1" applyAlignment="1">
      <alignment horizontal="left" vertical="center" wrapText="1" shrinkToFit="1"/>
    </xf>
    <xf numFmtId="180" fontId="16" fillId="8" borderId="56" xfId="24" applyNumberFormat="1" applyFont="1" applyFill="1" applyBorder="1" applyAlignment="1">
      <alignment horizontal="right" vertical="center"/>
    </xf>
    <xf numFmtId="180" fontId="16" fillId="8" borderId="57" xfId="24" applyNumberFormat="1" applyFont="1" applyFill="1" applyBorder="1" applyAlignment="1">
      <alignment horizontal="right" vertical="center"/>
    </xf>
    <xf numFmtId="9" fontId="16" fillId="8" borderId="56" xfId="9" applyFont="1" applyFill="1" applyBorder="1" applyAlignment="1">
      <alignment horizontal="right" vertical="center"/>
    </xf>
    <xf numFmtId="9" fontId="16" fillId="8" borderId="58" xfId="9" applyFont="1" applyFill="1" applyBorder="1" applyAlignment="1">
      <alignment horizontal="right" vertical="center"/>
    </xf>
    <xf numFmtId="9" fontId="16" fillId="8" borderId="59" xfId="9" applyFont="1" applyFill="1" applyBorder="1" applyAlignment="1">
      <alignment horizontal="right" vertical="center"/>
    </xf>
    <xf numFmtId="180" fontId="16" fillId="8" borderId="60" xfId="9" applyNumberFormat="1" applyFont="1" applyFill="1" applyBorder="1" applyAlignment="1">
      <alignment horizontal="right" vertical="center"/>
    </xf>
    <xf numFmtId="9" fontId="16" fillId="8" borderId="61" xfId="9" applyFont="1" applyFill="1" applyBorder="1" applyAlignment="1">
      <alignment horizontal="right" vertical="center"/>
    </xf>
    <xf numFmtId="181" fontId="13" fillId="2" borderId="63" xfId="24" applyNumberFormat="1" applyFont="1" applyFill="1" applyBorder="1" applyAlignment="1">
      <alignment horizontal="right" vertical="center"/>
    </xf>
    <xf numFmtId="9" fontId="13" fillId="2" borderId="63" xfId="24" applyNumberFormat="1" applyFont="1" applyFill="1" applyBorder="1" applyAlignment="1">
      <alignment horizontal="right" vertical="center"/>
    </xf>
    <xf numFmtId="9" fontId="13" fillId="2" borderId="64" xfId="24" applyNumberFormat="1" applyFont="1" applyFill="1" applyBorder="1" applyAlignment="1">
      <alignment horizontal="right" vertical="center"/>
    </xf>
    <xf numFmtId="181" fontId="13" fillId="2" borderId="51" xfId="24" applyNumberFormat="1" applyFont="1" applyFill="1" applyBorder="1" applyAlignment="1">
      <alignment horizontal="right" vertical="center"/>
    </xf>
    <xf numFmtId="176" fontId="12" fillId="2" borderId="19" xfId="24" applyFont="1" applyFill="1" applyBorder="1" applyAlignment="1">
      <alignment vertical="center" wrapText="1"/>
    </xf>
    <xf numFmtId="9" fontId="15" fillId="9" borderId="19" xfId="2" applyFont="1" applyFill="1" applyBorder="1" applyAlignment="1" applyProtection="1">
      <alignment vertical="center" wrapText="1"/>
    </xf>
    <xf numFmtId="9" fontId="16" fillId="9" borderId="20" xfId="2" applyFont="1" applyFill="1" applyBorder="1" applyAlignment="1">
      <alignment horizontal="right" vertical="center"/>
    </xf>
    <xf numFmtId="9" fontId="16" fillId="9" borderId="23" xfId="2" applyFont="1" applyFill="1" applyBorder="1" applyAlignment="1">
      <alignment horizontal="right" vertical="center"/>
    </xf>
    <xf numFmtId="9" fontId="16" fillId="9" borderId="22" xfId="2" applyFont="1" applyFill="1" applyBorder="1" applyAlignment="1">
      <alignment horizontal="right" vertical="center"/>
    </xf>
    <xf numFmtId="9" fontId="16" fillId="9" borderId="24" xfId="2" applyFont="1" applyFill="1" applyBorder="1" applyAlignment="1">
      <alignment horizontal="right" vertical="center"/>
    </xf>
    <xf numFmtId="9" fontId="16" fillId="9" borderId="51" xfId="2" applyFont="1" applyFill="1" applyBorder="1" applyAlignment="1">
      <alignment horizontal="right" vertical="center"/>
    </xf>
    <xf numFmtId="9" fontId="16" fillId="9" borderId="52" xfId="2" applyFont="1" applyFill="1" applyBorder="1" applyAlignment="1">
      <alignment horizontal="right" vertical="center"/>
    </xf>
    <xf numFmtId="9" fontId="0" fillId="2" borderId="0" xfId="2" applyFont="1" applyFill="1">
      <alignment vertical="center"/>
    </xf>
    <xf numFmtId="9" fontId="15" fillId="9" borderId="9" xfId="2" applyFont="1" applyFill="1" applyBorder="1" applyAlignment="1" applyProtection="1">
      <alignment vertical="center" wrapText="1"/>
    </xf>
    <xf numFmtId="9" fontId="16" fillId="9" borderId="27" xfId="2" applyFont="1" applyFill="1" applyBorder="1" applyAlignment="1">
      <alignment horizontal="right" vertical="center"/>
    </xf>
    <xf numFmtId="9" fontId="16" fillId="9" borderId="30" xfId="2" applyFont="1" applyFill="1" applyBorder="1" applyAlignment="1">
      <alignment horizontal="right" vertical="center"/>
    </xf>
    <xf numFmtId="9" fontId="16" fillId="9" borderId="29" xfId="2" applyFont="1" applyFill="1" applyBorder="1" applyAlignment="1">
      <alignment horizontal="right" vertical="center"/>
    </xf>
    <xf numFmtId="9" fontId="16" fillId="9" borderId="0" xfId="2" applyFont="1" applyFill="1" applyBorder="1" applyAlignment="1">
      <alignment horizontal="right" vertical="center"/>
    </xf>
    <xf numFmtId="9" fontId="15" fillId="9" borderId="31" xfId="2" applyFont="1" applyFill="1" applyBorder="1" applyAlignment="1" applyProtection="1">
      <alignment vertical="center" wrapText="1"/>
    </xf>
    <xf numFmtId="9" fontId="16" fillId="9" borderId="32" xfId="2" applyFont="1" applyFill="1" applyBorder="1" applyAlignment="1">
      <alignment horizontal="right" vertical="center"/>
    </xf>
    <xf numFmtId="9" fontId="16" fillId="9" borderId="35" xfId="2" applyFont="1" applyFill="1" applyBorder="1" applyAlignment="1">
      <alignment horizontal="right" vertical="center"/>
    </xf>
    <xf numFmtId="9" fontId="16" fillId="9" borderId="34" xfId="2" applyFont="1" applyFill="1" applyBorder="1" applyAlignment="1">
      <alignment horizontal="right" vertical="center"/>
    </xf>
    <xf numFmtId="9" fontId="16" fillId="9" borderId="1" xfId="2" applyFont="1" applyFill="1" applyBorder="1" applyAlignment="1">
      <alignment horizontal="right" vertical="center"/>
    </xf>
    <xf numFmtId="9" fontId="16" fillId="9" borderId="65" xfId="2" applyFont="1" applyFill="1" applyBorder="1" applyAlignment="1">
      <alignment horizontal="right" vertical="center"/>
    </xf>
    <xf numFmtId="9" fontId="16" fillId="9" borderId="66" xfId="2" applyFont="1" applyFill="1" applyBorder="1" applyAlignment="1">
      <alignment horizontal="right" vertical="center"/>
    </xf>
    <xf numFmtId="176" fontId="12" fillId="2" borderId="0" xfId="24" applyFont="1" applyFill="1" applyAlignment="1">
      <alignment vertical="center" wrapText="1"/>
    </xf>
    <xf numFmtId="9" fontId="3" fillId="2" borderId="0" xfId="9" applyFont="1" applyFill="1" applyBorder="1" applyAlignment="1">
      <alignment horizontal="right" vertical="center"/>
    </xf>
    <xf numFmtId="176" fontId="6" fillId="2" borderId="54" xfId="24" applyFont="1" applyFill="1" applyBorder="1" applyAlignment="1">
      <alignment horizontal="center" vertical="center"/>
    </xf>
    <xf numFmtId="176" fontId="8" fillId="3" borderId="67" xfId="24" applyFont="1" applyFill="1" applyBorder="1" applyAlignment="1" applyProtection="1">
      <alignment horizontal="left" vertical="center" wrapText="1"/>
      <protection locked="0"/>
    </xf>
    <xf numFmtId="178" fontId="8" fillId="3" borderId="68" xfId="24" applyNumberFormat="1" applyFont="1" applyFill="1" applyBorder="1" applyAlignment="1" applyProtection="1">
      <alignment horizontal="center" vertical="center"/>
      <protection locked="0"/>
    </xf>
    <xf numFmtId="178" fontId="8" fillId="3" borderId="69" xfId="24" applyNumberFormat="1" applyFont="1" applyFill="1" applyBorder="1" applyAlignment="1" applyProtection="1">
      <alignment horizontal="center" vertical="center"/>
      <protection locked="0"/>
    </xf>
    <xf numFmtId="9" fontId="8" fillId="3" borderId="68" xfId="24" applyNumberFormat="1" applyFont="1" applyFill="1" applyBorder="1" applyAlignment="1" applyProtection="1">
      <alignment horizontal="center" vertical="center"/>
      <protection locked="0"/>
    </xf>
    <xf numFmtId="178" fontId="8" fillId="4" borderId="68" xfId="24" applyNumberFormat="1" applyFont="1" applyFill="1" applyBorder="1" applyAlignment="1" applyProtection="1">
      <alignment horizontal="center" vertical="center"/>
      <protection locked="0"/>
    </xf>
    <xf numFmtId="178" fontId="8" fillId="4" borderId="69" xfId="24" applyNumberFormat="1" applyFont="1" applyFill="1" applyBorder="1" applyAlignment="1" applyProtection="1">
      <alignment horizontal="center" vertical="center"/>
      <protection locked="0"/>
    </xf>
    <xf numFmtId="9" fontId="8" fillId="4" borderId="68" xfId="24" applyNumberFormat="1" applyFont="1" applyFill="1" applyBorder="1" applyAlignment="1" applyProtection="1">
      <alignment horizontal="center" vertical="center"/>
      <protection locked="0"/>
    </xf>
    <xf numFmtId="178" fontId="8" fillId="7" borderId="70" xfId="24" applyNumberFormat="1" applyFont="1" applyFill="1" applyBorder="1" applyAlignment="1" applyProtection="1">
      <alignment horizontal="center" vertical="center"/>
      <protection locked="0"/>
    </xf>
    <xf numFmtId="9" fontId="8" fillId="7" borderId="71" xfId="2" applyFont="1" applyFill="1" applyBorder="1" applyAlignment="1" applyProtection="1">
      <alignment horizontal="center" vertical="center"/>
      <protection locked="0"/>
    </xf>
    <xf numFmtId="181" fontId="13" fillId="2" borderId="73" xfId="24" applyNumberFormat="1" applyFont="1" applyFill="1" applyBorder="1" applyAlignment="1">
      <alignment horizontal="right" vertical="center"/>
    </xf>
    <xf numFmtId="9" fontId="13" fillId="2" borderId="73" xfId="24" applyNumberFormat="1" applyFont="1" applyFill="1" applyBorder="1" applyAlignment="1">
      <alignment horizontal="right" vertical="center"/>
    </xf>
    <xf numFmtId="9" fontId="13" fillId="2" borderId="74" xfId="24" applyNumberFormat="1" applyFont="1" applyFill="1" applyBorder="1" applyAlignment="1">
      <alignment horizontal="right" vertical="center"/>
    </xf>
    <xf numFmtId="181" fontId="13" fillId="2" borderId="75" xfId="24" applyNumberFormat="1" applyFont="1" applyFill="1" applyBorder="1" applyAlignment="1">
      <alignment horizontal="right" vertical="center"/>
    </xf>
    <xf numFmtId="9" fontId="13" fillId="2" borderId="76" xfId="2" applyFont="1" applyFill="1" applyBorder="1" applyAlignment="1">
      <alignment horizontal="right" vertical="center"/>
    </xf>
    <xf numFmtId="3" fontId="17" fillId="2" borderId="0" xfId="24" applyNumberFormat="1" applyFont="1" applyFill="1" applyAlignment="1">
      <alignment vertical="center" shrinkToFit="1"/>
    </xf>
    <xf numFmtId="3" fontId="17" fillId="2" borderId="0" xfId="24" applyNumberFormat="1" applyFont="1" applyFill="1" applyAlignment="1">
      <alignment horizontal="center" vertical="center" shrinkToFit="1"/>
    </xf>
    <xf numFmtId="3" fontId="12" fillId="2" borderId="77" xfId="24" applyNumberFormat="1" applyFont="1" applyFill="1" applyBorder="1" applyAlignment="1">
      <alignment vertical="center" wrapText="1"/>
    </xf>
    <xf numFmtId="3" fontId="12" fillId="2" borderId="19" xfId="24" applyNumberFormat="1" applyFont="1" applyFill="1" applyBorder="1" applyAlignment="1">
      <alignment vertical="center" wrapText="1"/>
    </xf>
    <xf numFmtId="3" fontId="2" fillId="2" borderId="19" xfId="24" applyNumberFormat="1" applyFont="1" applyFill="1" applyBorder="1" applyAlignment="1">
      <alignment vertical="center" wrapText="1"/>
    </xf>
    <xf numFmtId="176" fontId="3" fillId="2" borderId="0" xfId="24" applyFont="1" applyFill="1" applyAlignment="1">
      <alignment vertical="center" shrinkToFit="1"/>
    </xf>
    <xf numFmtId="9" fontId="10" fillId="2" borderId="0" xfId="29" applyNumberFormat="1" applyFont="1" applyFill="1" applyBorder="1" applyAlignment="1">
      <alignment horizontal="center" vertical="center" shrinkToFit="1"/>
    </xf>
    <xf numFmtId="9" fontId="3" fillId="2" borderId="0" xfId="24" applyNumberFormat="1" applyFont="1" applyFill="1" applyAlignment="1">
      <alignment vertical="center" shrinkToFit="1"/>
    </xf>
    <xf numFmtId="9" fontId="11" fillId="2" borderId="0" xfId="29" applyNumberFormat="1" applyFont="1" applyFill="1" applyBorder="1" applyAlignment="1">
      <alignment horizontal="center" vertical="center" shrinkToFit="1"/>
    </xf>
    <xf numFmtId="9" fontId="11" fillId="2" borderId="0" xfId="29" applyNumberFormat="1" applyFont="1" applyFill="1" applyBorder="1" applyAlignment="1">
      <alignment horizontal="center" vertical="center"/>
    </xf>
    <xf numFmtId="9" fontId="6" fillId="2" borderId="54" xfId="24" applyNumberFormat="1" applyFont="1" applyFill="1" applyBorder="1" applyAlignment="1">
      <alignment horizontal="center" vertical="center"/>
    </xf>
    <xf numFmtId="9" fontId="4" fillId="2" borderId="0" xfId="24" applyNumberFormat="1" applyFont="1" applyFill="1"/>
    <xf numFmtId="176" fontId="2" fillId="0" borderId="9" xfId="24" applyFont="1" applyBorder="1" applyAlignment="1">
      <alignment vertical="center" wrapText="1"/>
    </xf>
    <xf numFmtId="178" fontId="13" fillId="2" borderId="81" xfId="24" applyNumberFormat="1" applyFont="1" applyFill="1" applyBorder="1" applyAlignment="1">
      <alignment horizontal="right" vertical="center"/>
    </xf>
    <xf numFmtId="9" fontId="13" fillId="2" borderId="81" xfId="24" applyNumberFormat="1" applyFont="1" applyFill="1" applyBorder="1" applyAlignment="1">
      <alignment horizontal="right" vertical="center"/>
    </xf>
    <xf numFmtId="10" fontId="13" fillId="2" borderId="82" xfId="24" applyNumberFormat="1" applyFont="1" applyFill="1" applyBorder="1" applyAlignment="1">
      <alignment horizontal="right" vertical="center"/>
    </xf>
    <xf numFmtId="9" fontId="13" fillId="2" borderId="83" xfId="24" applyNumberFormat="1" applyFont="1" applyFill="1" applyBorder="1" applyAlignment="1">
      <alignment horizontal="right" vertical="center"/>
    </xf>
    <xf numFmtId="178" fontId="13" fillId="2" borderId="48" xfId="24" applyNumberFormat="1" applyFont="1" applyFill="1" applyBorder="1" applyAlignment="1">
      <alignment horizontal="right" vertical="center"/>
    </xf>
    <xf numFmtId="9" fontId="13" fillId="2" borderId="48" xfId="24" applyNumberFormat="1" applyFont="1" applyFill="1" applyBorder="1" applyAlignment="1">
      <alignment horizontal="right" vertical="center"/>
    </xf>
    <xf numFmtId="9" fontId="13" fillId="2" borderId="47" xfId="24" applyNumberFormat="1" applyFont="1" applyFill="1" applyBorder="1" applyAlignment="1">
      <alignment horizontal="right" vertical="center"/>
    </xf>
    <xf numFmtId="10" fontId="13" fillId="2" borderId="84" xfId="24" applyNumberFormat="1" applyFont="1" applyFill="1" applyBorder="1" applyAlignment="1">
      <alignment horizontal="right" vertical="center"/>
    </xf>
    <xf numFmtId="9" fontId="13" fillId="2" borderId="85" xfId="24" applyNumberFormat="1" applyFont="1" applyFill="1" applyBorder="1" applyAlignment="1">
      <alignment horizontal="right" vertical="center"/>
    </xf>
    <xf numFmtId="176" fontId="3" fillId="2" borderId="0" xfId="24" applyFont="1" applyFill="1" applyAlignment="1">
      <alignment horizontal="center" vertical="center" shrinkToFit="1"/>
    </xf>
    <xf numFmtId="176" fontId="18" fillId="2" borderId="53" xfId="19" applyFont="1" applyFill="1" applyBorder="1" applyAlignment="1" applyProtection="1">
      <alignment horizontal="left" vertical="center" wrapText="1"/>
      <protection locked="0"/>
    </xf>
    <xf numFmtId="176" fontId="2" fillId="2" borderId="53" xfId="19" applyFont="1" applyFill="1" applyBorder="1" applyAlignment="1" applyProtection="1">
      <alignment horizontal="left" vertical="center" wrapText="1"/>
      <protection locked="0"/>
    </xf>
    <xf numFmtId="176" fontId="3" fillId="2" borderId="0" xfId="24" applyFont="1" applyFill="1" applyAlignment="1">
      <alignment horizontal="left" vertical="center" shrinkToFit="1"/>
    </xf>
    <xf numFmtId="176" fontId="19" fillId="9" borderId="53" xfId="19" applyFont="1" applyFill="1" applyBorder="1" applyAlignment="1" applyProtection="1">
      <alignment horizontal="left" vertical="center" wrapText="1"/>
      <protection locked="0"/>
    </xf>
    <xf numFmtId="180" fontId="16" fillId="9" borderId="24" xfId="24" applyNumberFormat="1" applyFont="1" applyFill="1" applyBorder="1" applyAlignment="1">
      <alignment horizontal="right" vertical="center"/>
    </xf>
    <xf numFmtId="180" fontId="16" fillId="9" borderId="23" xfId="24" applyNumberFormat="1" applyFont="1" applyFill="1" applyBorder="1" applyAlignment="1">
      <alignment horizontal="right" vertical="center"/>
    </xf>
    <xf numFmtId="9" fontId="16" fillId="9" borderId="20" xfId="9" applyFont="1" applyFill="1" applyBorder="1" applyAlignment="1">
      <alignment horizontal="right" vertical="center"/>
    </xf>
    <xf numFmtId="9" fontId="16" fillId="9" borderId="22" xfId="9" applyFont="1" applyFill="1" applyBorder="1" applyAlignment="1">
      <alignment horizontal="right" vertical="center"/>
    </xf>
    <xf numFmtId="180" fontId="16" fillId="9" borderId="20" xfId="24" applyNumberFormat="1" applyFont="1" applyFill="1" applyBorder="1" applyAlignment="1">
      <alignment horizontal="right" vertical="center"/>
    </xf>
    <xf numFmtId="9" fontId="16" fillId="9" borderId="24" xfId="9" applyFont="1" applyFill="1" applyBorder="1" applyAlignment="1">
      <alignment horizontal="right" vertical="center"/>
    </xf>
    <xf numFmtId="180" fontId="16" fillId="9" borderId="25" xfId="24" applyNumberFormat="1" applyFont="1" applyFill="1" applyBorder="1" applyAlignment="1">
      <alignment horizontal="right" vertical="center"/>
    </xf>
    <xf numFmtId="9" fontId="16" fillId="9" borderId="26" xfId="2" applyFont="1" applyFill="1" applyBorder="1" applyAlignment="1">
      <alignment horizontal="right" vertical="center"/>
    </xf>
    <xf numFmtId="176" fontId="12" fillId="2" borderId="53" xfId="19" applyFont="1" applyFill="1" applyBorder="1" applyAlignment="1" applyProtection="1">
      <alignment horizontal="left" vertical="center" wrapText="1"/>
      <protection locked="0"/>
    </xf>
    <xf numFmtId="9" fontId="3" fillId="2" borderId="0" xfId="2" applyFont="1" applyFill="1" applyBorder="1" applyAlignment="1" applyProtection="1">
      <alignment vertical="center" shrinkToFit="1"/>
    </xf>
    <xf numFmtId="9" fontId="6" fillId="2" borderId="54" xfId="2" applyFont="1" applyFill="1" applyBorder="1" applyAlignment="1" applyProtection="1">
      <alignment horizontal="center" vertical="center"/>
    </xf>
    <xf numFmtId="9" fontId="4" fillId="2" borderId="0" xfId="2" applyFont="1" applyFill="1" applyBorder="1" applyAlignment="1" applyProtection="1"/>
    <xf numFmtId="176" fontId="2" fillId="0" borderId="88" xfId="24" applyFont="1" applyBorder="1" applyAlignment="1">
      <alignment vertical="center" wrapText="1"/>
    </xf>
    <xf numFmtId="178" fontId="13" fillId="2" borderId="0" xfId="24" applyNumberFormat="1" applyFont="1" applyFill="1" applyAlignment="1">
      <alignment horizontal="right" vertical="center"/>
    </xf>
    <xf numFmtId="178" fontId="13" fillId="2" borderId="82" xfId="24" applyNumberFormat="1" applyFont="1" applyFill="1" applyBorder="1" applyAlignment="1">
      <alignment horizontal="right" vertical="center"/>
    </xf>
    <xf numFmtId="9" fontId="13" fillId="2" borderId="83" xfId="2" applyFont="1" applyFill="1" applyBorder="1" applyAlignment="1">
      <alignment horizontal="right" vertical="center"/>
    </xf>
    <xf numFmtId="178" fontId="13" fillId="2" borderId="84" xfId="24" applyNumberFormat="1" applyFont="1" applyFill="1" applyBorder="1" applyAlignment="1">
      <alignment horizontal="right" vertical="center"/>
    </xf>
    <xf numFmtId="9" fontId="13" fillId="2" borderId="85" xfId="2" applyFont="1" applyFill="1" applyBorder="1" applyAlignment="1">
      <alignment horizontal="right" vertical="center"/>
    </xf>
    <xf numFmtId="176" fontId="5" fillId="2" borderId="0" xfId="24" applyFont="1" applyFill="1" applyAlignment="1">
      <alignment vertical="center" shrinkToFit="1"/>
    </xf>
    <xf numFmtId="176" fontId="2" fillId="2" borderId="53" xfId="3" applyFont="1" applyFill="1" applyBorder="1" applyAlignment="1">
      <alignment vertical="center" wrapText="1"/>
    </xf>
    <xf numFmtId="9" fontId="13" fillId="2" borderId="89" xfId="9" applyFont="1" applyFill="1" applyBorder="1" applyAlignment="1">
      <alignment horizontal="right" vertical="center"/>
    </xf>
    <xf numFmtId="176" fontId="5" fillId="2" borderId="0" xfId="24" applyFont="1" applyFill="1"/>
    <xf numFmtId="176" fontId="2" fillId="2" borderId="54" xfId="3" applyFont="1" applyFill="1" applyBorder="1" applyAlignment="1">
      <alignment vertical="center" wrapText="1"/>
    </xf>
    <xf numFmtId="9" fontId="13" fillId="2" borderId="90" xfId="9" applyFont="1" applyFill="1" applyBorder="1" applyAlignment="1">
      <alignment horizontal="right" vertical="center"/>
    </xf>
    <xf numFmtId="9" fontId="13" fillId="2" borderId="29" xfId="9" applyFont="1" applyFill="1" applyBorder="1" applyAlignment="1">
      <alignment horizontal="right" vertical="center"/>
    </xf>
    <xf numFmtId="9" fontId="13" fillId="2" borderId="27" xfId="9" applyFont="1" applyFill="1" applyBorder="1" applyAlignment="1">
      <alignment horizontal="right" vertical="center"/>
    </xf>
    <xf numFmtId="9" fontId="13" fillId="2" borderId="0" xfId="9" applyFont="1" applyFill="1" applyBorder="1" applyAlignment="1">
      <alignment horizontal="right" vertical="center"/>
    </xf>
    <xf numFmtId="176" fontId="20" fillId="2" borderId="0" xfId="29" applyNumberFormat="1" applyFont="1" applyFill="1" applyBorder="1" applyAlignment="1">
      <alignment horizontal="center" vertical="center" shrinkToFit="1"/>
    </xf>
    <xf numFmtId="176" fontId="17" fillId="2" borderId="0" xfId="29" applyNumberFormat="1" applyFont="1" applyFill="1" applyBorder="1" applyAlignment="1">
      <alignment horizontal="center" vertical="center"/>
    </xf>
    <xf numFmtId="176" fontId="15" fillId="9" borderId="53" xfId="19" applyFont="1" applyFill="1" applyBorder="1" applyAlignment="1" applyProtection="1">
      <alignment horizontal="left" vertical="center" wrapText="1"/>
      <protection locked="0"/>
    </xf>
    <xf numFmtId="9" fontId="16" fillId="9" borderId="89" xfId="9" applyFont="1" applyFill="1" applyBorder="1" applyAlignment="1">
      <alignment horizontal="right" vertical="center"/>
    </xf>
    <xf numFmtId="176" fontId="2" fillId="0" borderId="54" xfId="24" applyFont="1" applyBorder="1" applyAlignment="1">
      <alignment vertical="center" wrapText="1"/>
    </xf>
    <xf numFmtId="182" fontId="13" fillId="0" borderId="0" xfId="24" applyNumberFormat="1" applyFont="1" applyAlignment="1">
      <alignment horizontal="right" vertical="center"/>
    </xf>
    <xf numFmtId="9" fontId="13" fillId="0" borderId="0" xfId="24" applyNumberFormat="1" applyFont="1" applyAlignment="1">
      <alignment horizontal="right" vertical="center"/>
    </xf>
    <xf numFmtId="9" fontId="13" fillId="0" borderId="29" xfId="24" applyNumberFormat="1" applyFont="1" applyBorder="1" applyAlignment="1">
      <alignment horizontal="right" vertical="center"/>
    </xf>
    <xf numFmtId="182" fontId="13" fillId="0" borderId="82" xfId="24" applyNumberFormat="1" applyFont="1" applyBorder="1" applyAlignment="1">
      <alignment horizontal="right" vertical="center"/>
    </xf>
    <xf numFmtId="9" fontId="13" fillId="0" borderId="83" xfId="2" applyFont="1" applyBorder="1" applyAlignment="1">
      <alignment horizontal="right" vertical="center"/>
    </xf>
    <xf numFmtId="9" fontId="20" fillId="2" borderId="0" xfId="2" applyFont="1" applyFill="1" applyBorder="1" applyAlignment="1">
      <alignment horizontal="center" vertical="center" shrinkToFit="1"/>
    </xf>
    <xf numFmtId="9" fontId="17" fillId="2" borderId="0" xfId="2" applyFont="1" applyFill="1" applyBorder="1" applyAlignment="1">
      <alignment horizontal="center" vertical="center" shrinkToFit="1"/>
    </xf>
    <xf numFmtId="9" fontId="17" fillId="2" borderId="0" xfId="2" applyFont="1" applyFill="1" applyBorder="1" applyAlignment="1">
      <alignment horizontal="center" vertical="center"/>
    </xf>
    <xf numFmtId="176" fontId="2" fillId="2" borderId="0" xfId="24" applyFont="1" applyFill="1" applyAlignment="1">
      <alignment vertical="center" wrapText="1"/>
    </xf>
    <xf numFmtId="9" fontId="13" fillId="2" borderId="0" xfId="2" applyFont="1" applyFill="1" applyAlignment="1">
      <alignment horizontal="right" vertical="center"/>
    </xf>
    <xf numFmtId="178" fontId="13" fillId="2" borderId="113" xfId="24" applyNumberFormat="1" applyFont="1" applyFill="1" applyBorder="1" applyAlignment="1">
      <alignment horizontal="right" vertical="center"/>
    </xf>
    <xf numFmtId="178" fontId="13" fillId="2" borderId="73" xfId="24" applyNumberFormat="1" applyFont="1" applyFill="1" applyBorder="1" applyAlignment="1">
      <alignment horizontal="right" vertical="center"/>
    </xf>
    <xf numFmtId="9" fontId="13" fillId="2" borderId="113" xfId="24" applyNumberFormat="1" applyFont="1" applyFill="1" applyBorder="1" applyAlignment="1">
      <alignment horizontal="right" vertical="center"/>
    </xf>
    <xf numFmtId="9" fontId="13" fillId="2" borderId="114" xfId="24" applyNumberFormat="1" applyFont="1" applyFill="1" applyBorder="1" applyAlignment="1">
      <alignment horizontal="right" vertical="center"/>
    </xf>
    <xf numFmtId="178" fontId="13" fillId="2" borderId="7" xfId="24" applyNumberFormat="1" applyFont="1" applyFill="1" applyBorder="1" applyAlignment="1">
      <alignment horizontal="right" vertical="center"/>
    </xf>
    <xf numFmtId="9" fontId="13" fillId="2" borderId="8" xfId="2" applyFont="1" applyFill="1" applyBorder="1" applyAlignment="1">
      <alignment horizontal="right" vertical="center"/>
    </xf>
    <xf numFmtId="176" fontId="12" fillId="2" borderId="54" xfId="19" applyFont="1" applyFill="1" applyBorder="1" applyAlignment="1" applyProtection="1">
      <alignment horizontal="left" vertical="center" wrapText="1"/>
      <protection locked="0"/>
    </xf>
    <xf numFmtId="176" fontId="4" fillId="2" borderId="0" xfId="29" applyNumberFormat="1" applyFont="1" applyFill="1" applyBorder="1" applyAlignment="1">
      <alignment horizontal="center" vertical="center" shrinkToFit="1"/>
    </xf>
    <xf numFmtId="176" fontId="3" fillId="2" borderId="0" xfId="29" applyNumberFormat="1" applyFont="1" applyFill="1" applyBorder="1" applyAlignment="1">
      <alignment horizontal="center" vertical="center"/>
    </xf>
    <xf numFmtId="176" fontId="12" fillId="2" borderId="19" xfId="19" applyFont="1" applyFill="1" applyBorder="1" applyAlignment="1" applyProtection="1">
      <alignment horizontal="left" vertical="center" wrapText="1"/>
      <protection locked="0"/>
    </xf>
    <xf numFmtId="180" fontId="13" fillId="2" borderId="116" xfId="24" applyNumberFormat="1" applyFont="1" applyFill="1" applyBorder="1" applyAlignment="1">
      <alignment horizontal="right" vertical="center"/>
    </xf>
    <xf numFmtId="9" fontId="3" fillId="2" borderId="0" xfId="2" applyFont="1" applyFill="1" applyBorder="1" applyAlignment="1" applyProtection="1">
      <alignment horizontal="center" vertical="center" shrinkToFit="1"/>
    </xf>
    <xf numFmtId="9" fontId="12" fillId="0" borderId="53" xfId="2" applyFont="1" applyFill="1" applyBorder="1" applyAlignment="1" applyProtection="1">
      <alignment horizontal="left" vertical="center" wrapText="1"/>
      <protection locked="0"/>
    </xf>
    <xf numFmtId="9" fontId="13" fillId="2" borderId="21" xfId="2" applyFont="1" applyFill="1" applyBorder="1" applyAlignment="1" applyProtection="1">
      <alignment horizontal="right" vertical="center"/>
    </xf>
    <xf numFmtId="9" fontId="13" fillId="2" borderId="23" xfId="2" applyFont="1" applyFill="1" applyBorder="1" applyAlignment="1" applyProtection="1">
      <alignment horizontal="right" vertical="center"/>
    </xf>
    <xf numFmtId="9" fontId="13" fillId="2" borderId="25" xfId="2" applyFont="1" applyFill="1" applyBorder="1" applyAlignment="1" applyProtection="1">
      <alignment horizontal="right" vertical="center"/>
    </xf>
    <xf numFmtId="9" fontId="13" fillId="2" borderId="26" xfId="2" applyFont="1" applyFill="1" applyBorder="1" applyAlignment="1" applyProtection="1">
      <alignment horizontal="right" vertical="center"/>
    </xf>
    <xf numFmtId="9" fontId="15" fillId="2" borderId="53" xfId="2" applyFont="1" applyFill="1" applyBorder="1" applyAlignment="1" applyProtection="1">
      <alignment horizontal="left" vertical="center" wrapText="1"/>
      <protection locked="0"/>
    </xf>
    <xf numFmtId="9" fontId="16" fillId="2" borderId="20" xfId="2" applyFont="1" applyFill="1" applyBorder="1" applyAlignment="1" applyProtection="1">
      <alignment horizontal="right" vertical="center"/>
    </xf>
    <xf numFmtId="9" fontId="16" fillId="2" borderId="23" xfId="2" applyFont="1" applyFill="1" applyBorder="1" applyAlignment="1" applyProtection="1">
      <alignment horizontal="right" vertical="center"/>
    </xf>
    <xf numFmtId="9" fontId="16" fillId="2" borderId="25" xfId="2" applyFont="1" applyFill="1" applyBorder="1" applyAlignment="1" applyProtection="1">
      <alignment horizontal="right" vertical="center"/>
    </xf>
    <xf numFmtId="9" fontId="16" fillId="2" borderId="26" xfId="2" applyFont="1" applyFill="1" applyBorder="1" applyAlignment="1" applyProtection="1">
      <alignment horizontal="right" vertical="center"/>
    </xf>
    <xf numFmtId="176" fontId="18" fillId="0" borderId="53" xfId="19" applyFont="1" applyBorder="1" applyAlignment="1" applyProtection="1">
      <alignment horizontal="left" vertical="center" wrapText="1"/>
      <protection locked="0"/>
    </xf>
    <xf numFmtId="176" fontId="3" fillId="2" borderId="0" xfId="24" applyFont="1" applyFill="1" applyAlignment="1">
      <alignment horizontal="center" vertical="center"/>
    </xf>
    <xf numFmtId="176" fontId="4" fillId="2" borderId="0" xfId="24" applyFont="1" applyFill="1" applyAlignment="1">
      <alignment horizontal="center" vertical="center" shrinkToFit="1"/>
    </xf>
    <xf numFmtId="176" fontId="18" fillId="2" borderId="44" xfId="19" applyFont="1" applyFill="1" applyBorder="1" applyAlignment="1" applyProtection="1">
      <alignment horizontal="left" vertical="center" wrapText="1"/>
      <protection locked="0"/>
    </xf>
    <xf numFmtId="9" fontId="4" fillId="2" borderId="0" xfId="2" applyFont="1" applyFill="1" applyBorder="1" applyAlignment="1" applyProtection="1">
      <alignment horizontal="center" vertical="center" shrinkToFit="1"/>
    </xf>
    <xf numFmtId="9" fontId="3" fillId="2" borderId="0" xfId="2" applyFont="1" applyFill="1" applyBorder="1" applyAlignment="1" applyProtection="1">
      <alignment horizontal="center" vertical="center"/>
    </xf>
    <xf numFmtId="9" fontId="13" fillId="2" borderId="117" xfId="9" applyFont="1" applyFill="1" applyBorder="1" applyAlignment="1">
      <alignment horizontal="right" vertical="center"/>
    </xf>
    <xf numFmtId="9" fontId="13" fillId="2" borderId="118" xfId="9" applyFont="1" applyFill="1" applyBorder="1" applyAlignment="1">
      <alignment horizontal="right" vertical="center"/>
    </xf>
    <xf numFmtId="176" fontId="21" fillId="2" borderId="0" xfId="24" applyFont="1" applyFill="1" applyAlignment="1">
      <alignment horizontal="center" vertical="center" shrinkToFit="1"/>
    </xf>
    <xf numFmtId="176" fontId="18" fillId="2" borderId="54" xfId="19" applyFont="1" applyFill="1" applyBorder="1" applyAlignment="1" applyProtection="1">
      <alignment horizontal="left" vertical="center" wrapText="1"/>
      <protection locked="0"/>
    </xf>
    <xf numFmtId="177" fontId="18" fillId="2" borderId="44" xfId="98" applyFont="1" applyFill="1" applyBorder="1" applyAlignment="1" applyProtection="1">
      <alignment horizontal="left" vertical="center" wrapText="1"/>
      <protection locked="0"/>
    </xf>
    <xf numFmtId="180" fontId="13" fillId="2" borderId="89" xfId="24" applyNumberFormat="1" applyFont="1" applyFill="1" applyBorder="1" applyAlignment="1">
      <alignment horizontal="right" vertical="center"/>
    </xf>
    <xf numFmtId="180" fontId="13" fillId="2" borderId="121" xfId="24" applyNumberFormat="1" applyFont="1" applyFill="1" applyBorder="1" applyAlignment="1">
      <alignment horizontal="right" vertical="center"/>
    </xf>
    <xf numFmtId="180" fontId="13" fillId="2" borderId="48" xfId="24" applyNumberFormat="1" applyFont="1" applyFill="1" applyBorder="1" applyAlignment="1">
      <alignment horizontal="right" vertical="center"/>
    </xf>
    <xf numFmtId="0" fontId="4" fillId="2" borderId="0" xfId="24" applyNumberFormat="1" applyFont="1" applyFill="1" applyAlignment="1">
      <alignment horizontal="center" vertical="center" shrinkToFit="1"/>
    </xf>
    <xf numFmtId="176" fontId="3" fillId="2" borderId="0" xfId="24" applyFont="1" applyFill="1" applyAlignment="1">
      <alignment horizontal="right" vertical="center"/>
    </xf>
    <xf numFmtId="10" fontId="3" fillId="2" borderId="0" xfId="2" applyNumberFormat="1" applyFont="1" applyFill="1" applyAlignment="1">
      <alignment horizontal="right" vertical="center"/>
    </xf>
    <xf numFmtId="178" fontId="23" fillId="2" borderId="0" xfId="24" applyNumberFormat="1" applyFont="1" applyFill="1" applyAlignment="1">
      <alignment horizontal="right" vertical="center"/>
    </xf>
    <xf numFmtId="181" fontId="25" fillId="3" borderId="51" xfId="24" applyNumberFormat="1" applyFont="1" applyFill="1" applyBorder="1" applyAlignment="1">
      <alignment horizontal="center" vertical="center"/>
    </xf>
    <xf numFmtId="181" fontId="25" fillId="3" borderId="21" xfId="24" applyNumberFormat="1" applyFont="1" applyFill="1" applyBorder="1" applyAlignment="1">
      <alignment horizontal="center" vertical="center"/>
    </xf>
    <xf numFmtId="181" fontId="25" fillId="3" borderId="53" xfId="24" applyNumberFormat="1" applyFont="1" applyFill="1" applyBorder="1" applyAlignment="1">
      <alignment horizontal="center" vertical="center"/>
    </xf>
    <xf numFmtId="181" fontId="25" fillId="4" borderId="21" xfId="24" applyNumberFormat="1" applyFont="1" applyFill="1" applyBorder="1" applyAlignment="1">
      <alignment horizontal="center" vertical="center"/>
    </xf>
    <xf numFmtId="181" fontId="25" fillId="4" borderId="53" xfId="24" applyNumberFormat="1" applyFont="1" applyFill="1" applyBorder="1" applyAlignment="1">
      <alignment horizontal="center" vertical="center"/>
    </xf>
    <xf numFmtId="178" fontId="8" fillId="7" borderId="144" xfId="24" applyNumberFormat="1" applyFont="1" applyFill="1" applyBorder="1" applyAlignment="1" applyProtection="1">
      <alignment horizontal="center" vertical="center"/>
      <protection locked="0"/>
    </xf>
    <xf numFmtId="10" fontId="8" fillId="7" borderId="145" xfId="2" applyNumberFormat="1" applyFont="1" applyFill="1" applyBorder="1" applyAlignment="1" applyProtection="1">
      <alignment horizontal="center" vertical="center"/>
      <protection locked="0"/>
    </xf>
    <xf numFmtId="178" fontId="3" fillId="2" borderId="0" xfId="24" applyNumberFormat="1" applyFont="1" applyFill="1" applyAlignment="1">
      <alignment horizontal="left" vertical="center"/>
    </xf>
    <xf numFmtId="181" fontId="13" fillId="2" borderId="146" xfId="24" applyNumberFormat="1" applyFont="1" applyFill="1" applyBorder="1" applyAlignment="1">
      <alignment horizontal="left" vertical="center"/>
    </xf>
    <xf numFmtId="9" fontId="13" fillId="2" borderId="21" xfId="24" applyNumberFormat="1" applyFont="1" applyFill="1" applyBorder="1" applyAlignment="1">
      <alignment horizontal="right" vertical="center"/>
    </xf>
    <xf numFmtId="9" fontId="13" fillId="2" borderId="53" xfId="24" applyNumberFormat="1" applyFont="1" applyFill="1" applyBorder="1" applyAlignment="1">
      <alignment horizontal="right" vertical="center"/>
    </xf>
    <xf numFmtId="176" fontId="2" fillId="2" borderId="153" xfId="24" applyFont="1" applyFill="1" applyBorder="1" applyAlignment="1">
      <alignment vertical="center" wrapText="1"/>
    </xf>
    <xf numFmtId="180" fontId="13" fillId="2" borderId="65" xfId="24" applyNumberFormat="1" applyFont="1" applyFill="1" applyBorder="1" applyAlignment="1">
      <alignment horizontal="right" vertical="center"/>
    </xf>
    <xf numFmtId="180" fontId="13" fillId="2" borderId="148" xfId="24" applyNumberFormat="1" applyFont="1" applyFill="1" applyBorder="1" applyAlignment="1">
      <alignment horizontal="right" vertical="center"/>
    </xf>
    <xf numFmtId="180" fontId="13" fillId="2" borderId="149" xfId="24" applyNumberFormat="1" applyFont="1" applyFill="1" applyBorder="1" applyAlignment="1">
      <alignment horizontal="right" vertical="center"/>
    </xf>
    <xf numFmtId="176" fontId="8" fillId="11" borderId="158" xfId="24" applyFont="1" applyFill="1" applyBorder="1" applyAlignment="1">
      <alignment horizontal="center" vertical="center"/>
    </xf>
    <xf numFmtId="0" fontId="29" fillId="12" borderId="160" xfId="0" applyFont="1" applyFill="1" applyBorder="1" applyAlignment="1">
      <alignment horizontal="center" vertical="center" wrapText="1"/>
    </xf>
    <xf numFmtId="0" fontId="30" fillId="12" borderId="160" xfId="0" applyFont="1" applyFill="1" applyBorder="1" applyAlignment="1">
      <alignment horizontal="center" vertical="center" wrapText="1"/>
    </xf>
    <xf numFmtId="9" fontId="30" fillId="12" borderId="160" xfId="0" applyNumberFormat="1" applyFont="1" applyFill="1" applyBorder="1" applyAlignment="1">
      <alignment horizontal="center" vertical="center" wrapText="1"/>
    </xf>
    <xf numFmtId="0" fontId="29" fillId="4" borderId="160" xfId="0" applyFont="1" applyFill="1" applyBorder="1" applyAlignment="1">
      <alignment horizontal="center" vertical="center" wrapText="1"/>
    </xf>
    <xf numFmtId="0" fontId="30" fillId="4" borderId="160" xfId="0" applyFont="1" applyFill="1" applyBorder="1" applyAlignment="1">
      <alignment horizontal="center" vertical="center" wrapText="1"/>
    </xf>
    <xf numFmtId="9" fontId="30" fillId="4" borderId="160" xfId="0" applyNumberFormat="1" applyFont="1" applyFill="1" applyBorder="1" applyAlignment="1">
      <alignment horizontal="center" vertical="center" wrapText="1"/>
    </xf>
    <xf numFmtId="10" fontId="29" fillId="12" borderId="160" xfId="2" applyNumberFormat="1" applyFont="1" applyFill="1" applyBorder="1" applyAlignment="1">
      <alignment horizontal="center" vertical="center" wrapText="1"/>
    </xf>
    <xf numFmtId="0" fontId="29" fillId="12" borderId="161" xfId="0" applyFont="1" applyFill="1" applyBorder="1" applyAlignment="1">
      <alignment horizontal="center" vertical="center" wrapText="1"/>
    </xf>
    <xf numFmtId="176" fontId="31" fillId="11" borderId="162" xfId="24" applyFont="1" applyFill="1" applyBorder="1" applyAlignment="1">
      <alignment horizontal="center" vertical="center"/>
    </xf>
    <xf numFmtId="178" fontId="13" fillId="2" borderId="163" xfId="24" applyNumberFormat="1" applyFont="1" applyFill="1" applyBorder="1" applyAlignment="1">
      <alignment horizontal="right" vertical="center"/>
    </xf>
    <xf numFmtId="180" fontId="13" fillId="2" borderId="164" xfId="24" applyNumberFormat="1" applyFont="1" applyFill="1" applyBorder="1" applyAlignment="1">
      <alignment horizontal="right" vertical="center"/>
    </xf>
    <xf numFmtId="9" fontId="13" fillId="2" borderId="164" xfId="24" applyNumberFormat="1" applyFont="1" applyFill="1" applyBorder="1" applyAlignment="1">
      <alignment horizontal="right" vertical="center"/>
    </xf>
    <xf numFmtId="9" fontId="13" fillId="2" borderId="164" xfId="2" applyFont="1" applyFill="1" applyBorder="1" applyAlignment="1">
      <alignment horizontal="right" vertical="center"/>
    </xf>
    <xf numFmtId="180" fontId="13" fillId="2" borderId="164" xfId="2" applyNumberFormat="1" applyFont="1" applyFill="1" applyBorder="1" applyAlignment="1">
      <alignment horizontal="right" vertical="center"/>
    </xf>
    <xf numFmtId="180" fontId="13" fillId="0" borderId="164" xfId="24" applyNumberFormat="1" applyFont="1" applyBorder="1" applyAlignment="1">
      <alignment horizontal="right" vertical="center"/>
    </xf>
    <xf numFmtId="9" fontId="13" fillId="0" borderId="164" xfId="2" applyFont="1" applyBorder="1" applyAlignment="1">
      <alignment horizontal="right" vertical="center"/>
    </xf>
    <xf numFmtId="9" fontId="13" fillId="0" borderId="162" xfId="2" applyFont="1" applyBorder="1" applyAlignment="1">
      <alignment horizontal="right" vertical="center"/>
    </xf>
    <xf numFmtId="180" fontId="13" fillId="0" borderId="162" xfId="24" applyNumberFormat="1" applyFont="1" applyBorder="1" applyAlignment="1">
      <alignment horizontal="right" vertical="center"/>
    </xf>
    <xf numFmtId="178" fontId="13" fillId="2" borderId="165" xfId="24" applyNumberFormat="1" applyFont="1" applyFill="1" applyBorder="1" applyAlignment="1">
      <alignment horizontal="right" vertical="center"/>
    </xf>
    <xf numFmtId="180" fontId="13" fillId="2" borderId="166" xfId="24" applyNumberFormat="1" applyFont="1" applyFill="1" applyBorder="1" applyAlignment="1">
      <alignment horizontal="right" vertical="center"/>
    </xf>
    <xf numFmtId="9" fontId="13" fillId="2" borderId="166" xfId="24" applyNumberFormat="1" applyFont="1" applyFill="1" applyBorder="1" applyAlignment="1">
      <alignment horizontal="right" vertical="center"/>
    </xf>
    <xf numFmtId="9" fontId="13" fillId="2" borderId="166" xfId="2" applyFont="1" applyFill="1" applyBorder="1" applyAlignment="1">
      <alignment horizontal="right" vertical="center"/>
    </xf>
    <xf numFmtId="180" fontId="13" fillId="2" borderId="166" xfId="2" applyNumberFormat="1" applyFont="1" applyFill="1" applyBorder="1" applyAlignment="1">
      <alignment horizontal="right" vertical="center"/>
    </xf>
    <xf numFmtId="180" fontId="13" fillId="0" borderId="166" xfId="24" applyNumberFormat="1" applyFont="1" applyBorder="1" applyAlignment="1">
      <alignment horizontal="right" vertical="center"/>
    </xf>
    <xf numFmtId="9" fontId="13" fillId="0" borderId="166" xfId="2" applyFont="1" applyBorder="1" applyAlignment="1">
      <alignment horizontal="right" vertical="center"/>
    </xf>
    <xf numFmtId="9" fontId="13" fillId="0" borderId="167" xfId="2" applyFont="1" applyBorder="1" applyAlignment="1">
      <alignment horizontal="right" vertical="center"/>
    </xf>
    <xf numFmtId="180" fontId="13" fillId="0" borderId="167" xfId="24" applyNumberFormat="1" applyFont="1" applyBorder="1" applyAlignment="1">
      <alignment horizontal="right" vertical="center"/>
    </xf>
    <xf numFmtId="176" fontId="15" fillId="13" borderId="44" xfId="24" applyFont="1" applyFill="1" applyBorder="1" applyAlignment="1">
      <alignment horizontal="left" vertical="center" wrapText="1" shrinkToFit="1"/>
    </xf>
    <xf numFmtId="180" fontId="16" fillId="13" borderId="45" xfId="24" applyNumberFormat="1" applyFont="1" applyFill="1" applyBorder="1" applyAlignment="1">
      <alignment horizontal="right" vertical="center"/>
    </xf>
    <xf numFmtId="180" fontId="16" fillId="13" borderId="46" xfId="24" applyNumberFormat="1" applyFont="1" applyFill="1" applyBorder="1" applyAlignment="1">
      <alignment horizontal="right" vertical="center"/>
    </xf>
    <xf numFmtId="9" fontId="16" fillId="13" borderId="45" xfId="24" applyNumberFormat="1" applyFont="1" applyFill="1" applyBorder="1" applyAlignment="1">
      <alignment horizontal="right" vertical="center"/>
    </xf>
    <xf numFmtId="9" fontId="16" fillId="13" borderId="47" xfId="24" applyNumberFormat="1" applyFont="1" applyFill="1" applyBorder="1" applyAlignment="1">
      <alignment horizontal="right" vertical="center"/>
    </xf>
    <xf numFmtId="9" fontId="16" fillId="13" borderId="48" xfId="24" applyNumberFormat="1" applyFont="1" applyFill="1" applyBorder="1" applyAlignment="1">
      <alignment horizontal="right" vertical="center"/>
    </xf>
    <xf numFmtId="180" fontId="16" fillId="13" borderId="49" xfId="24" applyNumberFormat="1" applyFont="1" applyFill="1" applyBorder="1" applyAlignment="1">
      <alignment horizontal="right" vertical="center"/>
    </xf>
    <xf numFmtId="9" fontId="16" fillId="13" borderId="50" xfId="2" applyFont="1" applyFill="1" applyBorder="1" applyAlignment="1">
      <alignment horizontal="right" vertical="center"/>
    </xf>
    <xf numFmtId="3" fontId="15" fillId="14" borderId="62" xfId="24" applyNumberFormat="1" applyFont="1" applyFill="1" applyBorder="1" applyAlignment="1">
      <alignment vertical="center" wrapText="1" shrinkToFit="1"/>
    </xf>
    <xf numFmtId="176" fontId="7" fillId="15" borderId="72" xfId="3" applyFont="1" applyFill="1" applyBorder="1" applyAlignment="1">
      <alignment vertical="center" wrapText="1"/>
    </xf>
    <xf numFmtId="3" fontId="15" fillId="13" borderId="77" xfId="24" applyNumberFormat="1" applyFont="1" applyFill="1" applyBorder="1" applyAlignment="1">
      <alignment vertical="center" wrapText="1"/>
    </xf>
    <xf numFmtId="9" fontId="16" fillId="13" borderId="45" xfId="9" applyFont="1" applyFill="1" applyBorder="1" applyAlignment="1">
      <alignment horizontal="right" vertical="center"/>
    </xf>
    <xf numFmtId="9" fontId="16" fillId="13" borderId="47" xfId="9" applyFont="1" applyFill="1" applyBorder="1" applyAlignment="1">
      <alignment horizontal="right" vertical="center"/>
    </xf>
    <xf numFmtId="9" fontId="16" fillId="13" borderId="48" xfId="9" applyFont="1" applyFill="1" applyBorder="1" applyAlignment="1">
      <alignment horizontal="right" vertical="center"/>
    </xf>
    <xf numFmtId="180" fontId="16" fillId="13" borderId="25" xfId="24" applyNumberFormat="1" applyFont="1" applyFill="1" applyBorder="1" applyAlignment="1">
      <alignment horizontal="right" vertical="center"/>
    </xf>
    <xf numFmtId="9" fontId="16" fillId="13" borderId="26" xfId="2" applyFont="1" applyFill="1" applyBorder="1" applyAlignment="1">
      <alignment horizontal="right" vertical="center"/>
    </xf>
    <xf numFmtId="3" fontId="15" fillId="16" borderId="19" xfId="24" applyNumberFormat="1" applyFont="1" applyFill="1" applyBorder="1" applyAlignment="1">
      <alignment vertical="center" wrapText="1"/>
    </xf>
    <xf numFmtId="180" fontId="16" fillId="16" borderId="20" xfId="24" applyNumberFormat="1" applyFont="1" applyFill="1" applyBorder="1" applyAlignment="1">
      <alignment horizontal="right" vertical="center"/>
    </xf>
    <xf numFmtId="180" fontId="16" fillId="16" borderId="23" xfId="24" applyNumberFormat="1" applyFont="1" applyFill="1" applyBorder="1" applyAlignment="1">
      <alignment horizontal="right" vertical="center"/>
    </xf>
    <xf numFmtId="9" fontId="16" fillId="16" borderId="20" xfId="9" applyFont="1" applyFill="1" applyBorder="1" applyAlignment="1">
      <alignment horizontal="right" vertical="center"/>
    </xf>
    <xf numFmtId="9" fontId="16" fillId="16" borderId="22" xfId="9" applyFont="1" applyFill="1" applyBorder="1" applyAlignment="1">
      <alignment horizontal="right" vertical="center"/>
    </xf>
    <xf numFmtId="9" fontId="16" fillId="16" borderId="24" xfId="9" applyFont="1" applyFill="1" applyBorder="1" applyAlignment="1">
      <alignment horizontal="right" vertical="center"/>
    </xf>
    <xf numFmtId="180" fontId="16" fillId="16" borderId="25" xfId="24" applyNumberFormat="1" applyFont="1" applyFill="1" applyBorder="1" applyAlignment="1">
      <alignment horizontal="right" vertical="center"/>
    </xf>
    <xf numFmtId="9" fontId="16" fillId="16" borderId="26" xfId="2" applyFont="1" applyFill="1" applyBorder="1" applyAlignment="1">
      <alignment horizontal="right" vertical="center"/>
    </xf>
    <xf numFmtId="176" fontId="7" fillId="17" borderId="9" xfId="24" applyFont="1" applyFill="1" applyBorder="1" applyAlignment="1">
      <alignment vertical="center" wrapText="1"/>
    </xf>
    <xf numFmtId="180" fontId="16" fillId="17" borderId="27" xfId="24" applyNumberFormat="1" applyFont="1" applyFill="1" applyBorder="1" applyAlignment="1">
      <alignment horizontal="right" vertical="center"/>
    </xf>
    <xf numFmtId="180" fontId="16" fillId="17" borderId="30" xfId="24" applyNumberFormat="1" applyFont="1" applyFill="1" applyBorder="1" applyAlignment="1">
      <alignment horizontal="right" vertical="center"/>
    </xf>
    <xf numFmtId="9" fontId="16" fillId="17" borderId="27" xfId="9" applyFont="1" applyFill="1" applyBorder="1" applyAlignment="1">
      <alignment horizontal="right" vertical="center"/>
    </xf>
    <xf numFmtId="9" fontId="16" fillId="17" borderId="29" xfId="9" applyFont="1" applyFill="1" applyBorder="1" applyAlignment="1">
      <alignment horizontal="right" vertical="center"/>
    </xf>
    <xf numFmtId="9" fontId="16" fillId="17" borderId="0" xfId="9" applyFont="1" applyFill="1" applyBorder="1" applyAlignment="1">
      <alignment horizontal="right" vertical="center"/>
    </xf>
    <xf numFmtId="180" fontId="16" fillId="17" borderId="25" xfId="24" applyNumberFormat="1" applyFont="1" applyFill="1" applyBorder="1" applyAlignment="1">
      <alignment horizontal="right" vertical="center"/>
    </xf>
    <xf numFmtId="9" fontId="16" fillId="17" borderId="26" xfId="2" applyFont="1" applyFill="1" applyBorder="1" applyAlignment="1">
      <alignment horizontal="right" vertical="center"/>
    </xf>
    <xf numFmtId="9" fontId="15" fillId="14" borderId="55" xfId="24" applyNumberFormat="1" applyFont="1" applyFill="1" applyBorder="1" applyAlignment="1">
      <alignment horizontal="left" vertical="center" wrapText="1" shrinkToFit="1"/>
    </xf>
    <xf numFmtId="9" fontId="16" fillId="14" borderId="56" xfId="2" applyFont="1" applyFill="1" applyBorder="1" applyAlignment="1" applyProtection="1">
      <alignment horizontal="right" vertical="center"/>
    </xf>
    <xf numFmtId="9" fontId="16" fillId="14" borderId="57" xfId="2" applyFont="1" applyFill="1" applyBorder="1" applyAlignment="1" applyProtection="1">
      <alignment horizontal="right" vertical="center"/>
    </xf>
    <xf numFmtId="9" fontId="16" fillId="14" borderId="56" xfId="2" applyFont="1" applyFill="1" applyBorder="1" applyAlignment="1">
      <alignment horizontal="right" vertical="center"/>
    </xf>
    <xf numFmtId="9" fontId="16" fillId="14" borderId="57" xfId="2" applyFont="1" applyFill="1" applyBorder="1" applyAlignment="1">
      <alignment horizontal="right" vertical="center"/>
    </xf>
    <xf numFmtId="9" fontId="16" fillId="14" borderId="78" xfId="2" applyFont="1" applyFill="1" applyBorder="1" applyAlignment="1">
      <alignment horizontal="right" vertical="center"/>
    </xf>
    <xf numFmtId="9" fontId="16" fillId="14" borderId="59" xfId="2" applyFont="1" applyFill="1" applyBorder="1" applyAlignment="1">
      <alignment horizontal="right" vertical="center"/>
    </xf>
    <xf numFmtId="9" fontId="16" fillId="14" borderId="79" xfId="2" applyFont="1" applyFill="1" applyBorder="1" applyAlignment="1">
      <alignment horizontal="right" vertical="center"/>
    </xf>
    <xf numFmtId="9" fontId="16" fillId="14" borderId="80" xfId="2" applyFont="1" applyFill="1" applyBorder="1" applyAlignment="1">
      <alignment horizontal="right" vertical="center"/>
    </xf>
    <xf numFmtId="176" fontId="15" fillId="15" borderId="77" xfId="19" applyFont="1" applyFill="1" applyBorder="1" applyAlignment="1" applyProtection="1">
      <alignment horizontal="left" vertical="center" wrapText="1"/>
      <protection locked="0"/>
    </xf>
    <xf numFmtId="176" fontId="19" fillId="13" borderId="53" xfId="19" applyFont="1" applyFill="1" applyBorder="1" applyAlignment="1" applyProtection="1">
      <alignment horizontal="left" vertical="center" wrapText="1"/>
      <protection locked="0"/>
    </xf>
    <xf numFmtId="180" fontId="16" fillId="13" borderId="20" xfId="24" applyNumberFormat="1" applyFont="1" applyFill="1" applyBorder="1" applyAlignment="1">
      <alignment horizontal="right" vertical="center"/>
    </xf>
    <xf numFmtId="180" fontId="16" fillId="13" borderId="23" xfId="24" applyNumberFormat="1" applyFont="1" applyFill="1" applyBorder="1" applyAlignment="1">
      <alignment horizontal="right" vertical="center"/>
    </xf>
    <xf numFmtId="9" fontId="16" fillId="13" borderId="20" xfId="9" applyFont="1" applyFill="1" applyBorder="1" applyAlignment="1">
      <alignment horizontal="right" vertical="center"/>
    </xf>
    <xf numFmtId="9" fontId="16" fillId="13" borderId="22" xfId="9" applyFont="1" applyFill="1" applyBorder="1" applyAlignment="1">
      <alignment horizontal="right" vertical="center"/>
    </xf>
    <xf numFmtId="9" fontId="16" fillId="13" borderId="24" xfId="9" applyFont="1" applyFill="1" applyBorder="1" applyAlignment="1">
      <alignment horizontal="right" vertical="center"/>
    </xf>
    <xf numFmtId="176" fontId="19" fillId="16" borderId="53" xfId="19" applyFont="1" applyFill="1" applyBorder="1" applyAlignment="1" applyProtection="1">
      <alignment horizontal="left" vertical="center" wrapText="1"/>
      <protection locked="0"/>
    </xf>
    <xf numFmtId="37" fontId="15" fillId="17" borderId="53" xfId="16" applyNumberFormat="1" applyFont="1" applyFill="1" applyBorder="1" applyAlignment="1" applyProtection="1">
      <alignment horizontal="left" vertical="center" wrapText="1"/>
      <protection locked="0"/>
    </xf>
    <xf numFmtId="180" fontId="16" fillId="17" borderId="20" xfId="24" applyNumberFormat="1" applyFont="1" applyFill="1" applyBorder="1" applyAlignment="1">
      <alignment horizontal="right" vertical="center"/>
    </xf>
    <xf numFmtId="180" fontId="16" fillId="17" borderId="23" xfId="24" applyNumberFormat="1" applyFont="1" applyFill="1" applyBorder="1" applyAlignment="1">
      <alignment horizontal="right" vertical="center"/>
    </xf>
    <xf numFmtId="9" fontId="16" fillId="17" borderId="20" xfId="9" applyFont="1" applyFill="1" applyBorder="1" applyAlignment="1">
      <alignment horizontal="right" vertical="center"/>
    </xf>
    <xf numFmtId="9" fontId="16" fillId="17" borderId="22" xfId="9" applyFont="1" applyFill="1" applyBorder="1" applyAlignment="1">
      <alignment horizontal="right" vertical="center"/>
    </xf>
    <xf numFmtId="9" fontId="16" fillId="17" borderId="24" xfId="9" applyFont="1" applyFill="1" applyBorder="1" applyAlignment="1">
      <alignment horizontal="right" vertical="center"/>
    </xf>
    <xf numFmtId="9" fontId="15" fillId="14" borderId="61" xfId="2" applyFont="1" applyFill="1" applyBorder="1" applyAlignment="1" applyProtection="1">
      <alignment horizontal="left" vertical="center" wrapText="1"/>
      <protection locked="0"/>
    </xf>
    <xf numFmtId="9" fontId="16" fillId="14" borderId="86" xfId="2" applyFont="1" applyFill="1" applyBorder="1" applyAlignment="1">
      <alignment horizontal="right" vertical="center"/>
    </xf>
    <xf numFmtId="9" fontId="16" fillId="14" borderId="87" xfId="2" applyFont="1" applyFill="1" applyBorder="1" applyAlignment="1">
      <alignment horizontal="right" vertical="center"/>
    </xf>
    <xf numFmtId="176" fontId="15" fillId="13" borderId="53" xfId="19" applyFont="1" applyFill="1" applyBorder="1" applyAlignment="1" applyProtection="1">
      <alignment horizontal="left" vertical="center" wrapText="1"/>
      <protection locked="0"/>
    </xf>
    <xf numFmtId="9" fontId="16" fillId="13" borderId="89" xfId="9" applyFont="1" applyFill="1" applyBorder="1" applyAlignment="1">
      <alignment horizontal="right" vertical="center"/>
    </xf>
    <xf numFmtId="176" fontId="15" fillId="16" borderId="19" xfId="19" applyFont="1" applyFill="1" applyBorder="1" applyAlignment="1" applyProtection="1">
      <alignment horizontal="left" vertical="center" wrapText="1"/>
      <protection locked="0"/>
    </xf>
    <xf numFmtId="179" fontId="15" fillId="17" borderId="91" xfId="19" applyNumberFormat="1" applyFont="1" applyFill="1" applyBorder="1" applyAlignment="1" applyProtection="1">
      <alignment horizontal="left" vertical="center" wrapText="1"/>
      <protection locked="0"/>
    </xf>
    <xf numFmtId="180" fontId="16" fillId="17" borderId="32" xfId="24" applyNumberFormat="1" applyFont="1" applyFill="1" applyBorder="1" applyAlignment="1">
      <alignment horizontal="right" vertical="center"/>
    </xf>
    <xf numFmtId="180" fontId="16" fillId="17" borderId="35" xfId="24" applyNumberFormat="1" applyFont="1" applyFill="1" applyBorder="1" applyAlignment="1">
      <alignment horizontal="right" vertical="center"/>
    </xf>
    <xf numFmtId="9" fontId="16" fillId="17" borderId="32" xfId="9" applyFont="1" applyFill="1" applyBorder="1" applyAlignment="1">
      <alignment horizontal="right" vertical="center"/>
    </xf>
    <xf numFmtId="9" fontId="16" fillId="17" borderId="34" xfId="9" applyFont="1" applyFill="1" applyBorder="1" applyAlignment="1">
      <alignment horizontal="right" vertical="center"/>
    </xf>
    <xf numFmtId="9" fontId="16" fillId="17" borderId="1" xfId="9" applyFont="1" applyFill="1" applyBorder="1" applyAlignment="1">
      <alignment horizontal="right" vertical="center"/>
    </xf>
    <xf numFmtId="180" fontId="16" fillId="17" borderId="36" xfId="24" applyNumberFormat="1" applyFont="1" applyFill="1" applyBorder="1" applyAlignment="1">
      <alignment horizontal="right" vertical="center"/>
    </xf>
    <xf numFmtId="9" fontId="16" fillId="17" borderId="37" xfId="2" applyFont="1" applyFill="1" applyBorder="1" applyAlignment="1">
      <alignment horizontal="right" vertical="center"/>
    </xf>
    <xf numFmtId="176" fontId="7" fillId="18" borderId="92" xfId="19" applyFont="1" applyFill="1" applyBorder="1" applyAlignment="1" applyProtection="1">
      <alignment horizontal="left" vertical="center" wrapText="1"/>
      <protection locked="0"/>
    </xf>
    <xf numFmtId="180" fontId="16" fillId="18" borderId="93" xfId="19" applyNumberFormat="1" applyFont="1" applyFill="1" applyBorder="1" applyAlignment="1" applyProtection="1">
      <alignment horizontal="right" vertical="center" wrapText="1"/>
      <protection locked="0"/>
    </xf>
    <xf numFmtId="180" fontId="16" fillId="18" borderId="94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93" xfId="9" applyFont="1" applyFill="1" applyBorder="1" applyAlignment="1" applyProtection="1">
      <alignment horizontal="right" vertical="center" wrapText="1"/>
      <protection locked="0"/>
    </xf>
    <xf numFmtId="180" fontId="16" fillId="18" borderId="4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95" xfId="9" applyFont="1" applyFill="1" applyBorder="1" applyAlignment="1" applyProtection="1">
      <alignment horizontal="right" vertical="center" wrapText="1"/>
      <protection locked="0"/>
    </xf>
    <xf numFmtId="9" fontId="16" fillId="18" borderId="5" xfId="9" applyFont="1" applyFill="1" applyBorder="1" applyAlignment="1" applyProtection="1">
      <alignment horizontal="right" vertical="center" wrapText="1"/>
      <protection locked="0"/>
    </xf>
    <xf numFmtId="180" fontId="16" fillId="18" borderId="96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97" xfId="2" applyFont="1" applyFill="1" applyBorder="1" applyAlignment="1" applyProtection="1">
      <alignment horizontal="right" vertical="center" wrapText="1"/>
      <protection locked="0"/>
    </xf>
    <xf numFmtId="176" fontId="7" fillId="18" borderId="98" xfId="19" applyFont="1" applyFill="1" applyBorder="1" applyAlignment="1" applyProtection="1">
      <alignment horizontal="left" vertical="center" wrapText="1"/>
      <protection locked="0"/>
    </xf>
    <xf numFmtId="180" fontId="16" fillId="18" borderId="99" xfId="19" applyNumberFormat="1" applyFont="1" applyFill="1" applyBorder="1" applyAlignment="1" applyProtection="1">
      <alignment horizontal="right" vertical="center" wrapText="1"/>
      <protection locked="0"/>
    </xf>
    <xf numFmtId="180" fontId="16" fillId="18" borderId="100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99" xfId="9" applyFont="1" applyFill="1" applyBorder="1" applyAlignment="1" applyProtection="1">
      <alignment horizontal="right" vertical="center" wrapText="1"/>
      <protection locked="0"/>
    </xf>
    <xf numFmtId="180" fontId="16" fillId="18" borderId="101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102" xfId="9" applyFont="1" applyFill="1" applyBorder="1" applyAlignment="1" applyProtection="1">
      <alignment horizontal="right" vertical="center" wrapText="1"/>
      <protection locked="0"/>
    </xf>
    <xf numFmtId="9" fontId="16" fillId="18" borderId="103" xfId="9" applyFont="1" applyFill="1" applyBorder="1" applyAlignment="1" applyProtection="1">
      <alignment horizontal="right" vertical="center" wrapText="1"/>
      <protection locked="0"/>
    </xf>
    <xf numFmtId="180" fontId="16" fillId="18" borderId="104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105" xfId="2" applyFont="1" applyFill="1" applyBorder="1" applyAlignment="1" applyProtection="1">
      <alignment horizontal="right" vertical="center" wrapText="1"/>
      <protection locked="0"/>
    </xf>
    <xf numFmtId="9" fontId="7" fillId="18" borderId="91" xfId="2" applyFont="1" applyFill="1" applyBorder="1" applyAlignment="1" applyProtection="1">
      <alignment horizontal="left" vertical="center" wrapText="1"/>
      <protection locked="0"/>
    </xf>
    <xf numFmtId="9" fontId="16" fillId="18" borderId="32" xfId="2" applyFont="1" applyFill="1" applyBorder="1" applyAlignment="1" applyProtection="1">
      <alignment horizontal="right" vertical="center" wrapText="1"/>
      <protection locked="0"/>
    </xf>
    <xf numFmtId="9" fontId="16" fillId="18" borderId="106" xfId="2" applyFont="1" applyFill="1" applyBorder="1" applyAlignment="1" applyProtection="1">
      <alignment horizontal="right" vertical="center" wrapText="1"/>
      <protection locked="0"/>
    </xf>
    <xf numFmtId="9" fontId="16" fillId="18" borderId="107" xfId="2" applyFont="1" applyFill="1" applyBorder="1" applyAlignment="1" applyProtection="1">
      <alignment horizontal="right" vertical="center" wrapText="1"/>
      <protection locked="0"/>
    </xf>
    <xf numFmtId="9" fontId="16" fillId="18" borderId="108" xfId="2" applyFont="1" applyFill="1" applyBorder="1" applyAlignment="1" applyProtection="1">
      <alignment horizontal="right" vertical="center" wrapText="1"/>
      <protection locked="0"/>
    </xf>
    <xf numFmtId="9" fontId="16" fillId="18" borderId="109" xfId="2" applyFont="1" applyFill="1" applyBorder="1" applyAlignment="1" applyProtection="1">
      <alignment horizontal="right" vertical="center" wrapText="1"/>
      <protection locked="0"/>
    </xf>
    <xf numFmtId="9" fontId="16" fillId="18" borderId="110" xfId="2" applyFont="1" applyFill="1" applyBorder="1" applyAlignment="1" applyProtection="1">
      <alignment horizontal="right" vertical="center" wrapText="1"/>
      <protection locked="0"/>
    </xf>
    <xf numFmtId="9" fontId="16" fillId="18" borderId="111" xfId="2" applyFont="1" applyFill="1" applyBorder="1" applyAlignment="1" applyProtection="1">
      <alignment horizontal="right" vertical="center" wrapText="1"/>
      <protection locked="0"/>
    </xf>
    <xf numFmtId="176" fontId="15" fillId="15" borderId="112" xfId="19" applyFont="1" applyFill="1" applyBorder="1" applyAlignment="1" applyProtection="1">
      <alignment horizontal="left" vertical="center" wrapText="1"/>
      <protection locked="0"/>
    </xf>
    <xf numFmtId="176" fontId="7" fillId="19" borderId="77" xfId="3" applyFont="1" applyFill="1" applyBorder="1" applyAlignment="1">
      <alignment vertical="center" wrapText="1"/>
    </xf>
    <xf numFmtId="180" fontId="16" fillId="19" borderId="20" xfId="24" applyNumberFormat="1" applyFont="1" applyFill="1" applyBorder="1" applyAlignment="1">
      <alignment horizontal="right" vertical="center"/>
    </xf>
    <xf numFmtId="180" fontId="16" fillId="19" borderId="23" xfId="24" applyNumberFormat="1" applyFont="1" applyFill="1" applyBorder="1" applyAlignment="1">
      <alignment horizontal="right" vertical="center"/>
    </xf>
    <xf numFmtId="9" fontId="16" fillId="19" borderId="20" xfId="24" applyNumberFormat="1" applyFont="1" applyFill="1" applyBorder="1" applyAlignment="1">
      <alignment horizontal="right" vertical="center"/>
    </xf>
    <xf numFmtId="9" fontId="16" fillId="19" borderId="22" xfId="24" applyNumberFormat="1" applyFont="1" applyFill="1" applyBorder="1" applyAlignment="1">
      <alignment horizontal="right" vertical="center"/>
    </xf>
    <xf numFmtId="180" fontId="16" fillId="19" borderId="21" xfId="24" applyNumberFormat="1" applyFont="1" applyFill="1" applyBorder="1" applyAlignment="1">
      <alignment horizontal="right" vertical="center"/>
    </xf>
    <xf numFmtId="9" fontId="16" fillId="19" borderId="24" xfId="24" applyNumberFormat="1" applyFont="1" applyFill="1" applyBorder="1" applyAlignment="1">
      <alignment horizontal="right" vertical="center"/>
    </xf>
    <xf numFmtId="180" fontId="16" fillId="19" borderId="25" xfId="24" applyNumberFormat="1" applyFont="1" applyFill="1" applyBorder="1" applyAlignment="1">
      <alignment horizontal="right" vertical="center"/>
    </xf>
    <xf numFmtId="9" fontId="16" fillId="19" borderId="26" xfId="2" applyFont="1" applyFill="1" applyBorder="1" applyAlignment="1">
      <alignment horizontal="right" vertical="center"/>
    </xf>
    <xf numFmtId="176" fontId="7" fillId="19" borderId="54" xfId="3" applyFont="1" applyFill="1" applyBorder="1" applyAlignment="1">
      <alignment vertical="center" wrapText="1"/>
    </xf>
    <xf numFmtId="180" fontId="16" fillId="19" borderId="27" xfId="24" applyNumberFormat="1" applyFont="1" applyFill="1" applyBorder="1" applyAlignment="1">
      <alignment horizontal="right" vertical="center"/>
    </xf>
    <xf numFmtId="180" fontId="16" fillId="19" borderId="30" xfId="24" applyNumberFormat="1" applyFont="1" applyFill="1" applyBorder="1" applyAlignment="1">
      <alignment horizontal="right" vertical="center"/>
    </xf>
    <xf numFmtId="9" fontId="16" fillId="19" borderId="27" xfId="24" applyNumberFormat="1" applyFont="1" applyFill="1" applyBorder="1" applyAlignment="1">
      <alignment horizontal="right" vertical="center"/>
    </xf>
    <xf numFmtId="9" fontId="16" fillId="19" borderId="29" xfId="24" applyNumberFormat="1" applyFont="1" applyFill="1" applyBorder="1" applyAlignment="1">
      <alignment horizontal="right" vertical="center"/>
    </xf>
    <xf numFmtId="180" fontId="16" fillId="19" borderId="28" xfId="24" applyNumberFormat="1" applyFont="1" applyFill="1" applyBorder="1" applyAlignment="1">
      <alignment horizontal="right" vertical="center"/>
    </xf>
    <xf numFmtId="9" fontId="16" fillId="19" borderId="0" xfId="24" applyNumberFormat="1" applyFont="1" applyFill="1" applyAlignment="1">
      <alignment horizontal="right" vertical="center"/>
    </xf>
    <xf numFmtId="176" fontId="7" fillId="19" borderId="19" xfId="3" applyFont="1" applyFill="1" applyBorder="1" applyAlignment="1">
      <alignment vertical="center" wrapText="1"/>
    </xf>
    <xf numFmtId="9" fontId="16" fillId="19" borderId="27" xfId="9" applyFont="1" applyFill="1" applyBorder="1" applyAlignment="1">
      <alignment horizontal="right" vertical="center"/>
    </xf>
    <xf numFmtId="9" fontId="16" fillId="19" borderId="29" xfId="9" applyFont="1" applyFill="1" applyBorder="1" applyAlignment="1">
      <alignment horizontal="right" vertical="center"/>
    </xf>
    <xf numFmtId="9" fontId="16" fillId="19" borderId="0" xfId="9" applyFont="1" applyFill="1" applyBorder="1" applyAlignment="1">
      <alignment horizontal="right" vertical="center"/>
    </xf>
    <xf numFmtId="9" fontId="16" fillId="19" borderId="20" xfId="9" applyFont="1" applyFill="1" applyBorder="1" applyAlignment="1">
      <alignment horizontal="right" vertical="center"/>
    </xf>
    <xf numFmtId="9" fontId="16" fillId="19" borderId="22" xfId="9" applyFont="1" applyFill="1" applyBorder="1" applyAlignment="1">
      <alignment horizontal="right" vertical="center"/>
    </xf>
    <xf numFmtId="180" fontId="16" fillId="19" borderId="115" xfId="24" applyNumberFormat="1" applyFont="1" applyFill="1" applyBorder="1" applyAlignment="1">
      <alignment horizontal="right" vertical="center"/>
    </xf>
    <xf numFmtId="9" fontId="16" fillId="19" borderId="24" xfId="9" applyFont="1" applyFill="1" applyBorder="1" applyAlignment="1">
      <alignment horizontal="right" vertical="center"/>
    </xf>
    <xf numFmtId="176" fontId="7" fillId="18" borderId="53" xfId="19" applyFont="1" applyFill="1" applyBorder="1" applyAlignment="1" applyProtection="1">
      <alignment horizontal="left" vertical="center" wrapText="1"/>
      <protection locked="0"/>
    </xf>
    <xf numFmtId="180" fontId="16" fillId="18" borderId="20" xfId="19" applyNumberFormat="1" applyFont="1" applyFill="1" applyBorder="1" applyAlignment="1" applyProtection="1">
      <alignment horizontal="right" vertical="center" wrapText="1"/>
      <protection locked="0"/>
    </xf>
    <xf numFmtId="180" fontId="16" fillId="18" borderId="23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20" xfId="9" applyFont="1" applyFill="1" applyBorder="1" applyAlignment="1" applyProtection="1">
      <alignment horizontal="right" vertical="center" wrapText="1"/>
      <protection locked="0"/>
    </xf>
    <xf numFmtId="9" fontId="16" fillId="18" borderId="22" xfId="9" applyFont="1" applyFill="1" applyBorder="1" applyAlignment="1" applyProtection="1">
      <alignment horizontal="right" vertical="center" wrapText="1"/>
      <protection locked="0"/>
    </xf>
    <xf numFmtId="9" fontId="16" fillId="18" borderId="24" xfId="9" applyFont="1" applyFill="1" applyBorder="1" applyAlignment="1" applyProtection="1">
      <alignment horizontal="right" vertical="center" wrapText="1"/>
      <protection locked="0"/>
    </xf>
    <xf numFmtId="180" fontId="16" fillId="18" borderId="25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26" xfId="2" applyFont="1" applyFill="1" applyBorder="1" applyAlignment="1" applyProtection="1">
      <alignment horizontal="right" vertical="center" wrapText="1"/>
      <protection locked="0"/>
    </xf>
    <xf numFmtId="176" fontId="7" fillId="19" borderId="53" xfId="3" applyFont="1" applyFill="1" applyBorder="1" applyAlignment="1">
      <alignment vertical="center" wrapText="1"/>
    </xf>
    <xf numFmtId="9" fontId="19" fillId="17" borderId="53" xfId="2" applyFont="1" applyFill="1" applyBorder="1" applyAlignment="1" applyProtection="1">
      <alignment horizontal="left" vertical="center" wrapText="1"/>
      <protection locked="0"/>
    </xf>
    <xf numFmtId="9" fontId="16" fillId="17" borderId="20" xfId="2" applyFont="1" applyFill="1" applyBorder="1" applyAlignment="1" applyProtection="1">
      <alignment horizontal="right" vertical="center"/>
    </xf>
    <xf numFmtId="9" fontId="16" fillId="17" borderId="23" xfId="2" applyFont="1" applyFill="1" applyBorder="1" applyAlignment="1" applyProtection="1">
      <alignment horizontal="right" vertical="center"/>
    </xf>
    <xf numFmtId="9" fontId="16" fillId="17" borderId="20" xfId="2" applyFont="1" applyFill="1" applyBorder="1" applyAlignment="1">
      <alignment horizontal="right" vertical="center"/>
    </xf>
    <xf numFmtId="9" fontId="16" fillId="17" borderId="22" xfId="2" applyFont="1" applyFill="1" applyBorder="1" applyAlignment="1">
      <alignment horizontal="right" vertical="center"/>
    </xf>
    <xf numFmtId="9" fontId="16" fillId="17" borderId="24" xfId="2" applyFont="1" applyFill="1" applyBorder="1" applyAlignment="1">
      <alignment horizontal="right" vertical="center"/>
    </xf>
    <xf numFmtId="9" fontId="16" fillId="17" borderId="25" xfId="2" applyFont="1" applyFill="1" applyBorder="1" applyAlignment="1" applyProtection="1">
      <alignment horizontal="right" vertical="center"/>
    </xf>
    <xf numFmtId="9" fontId="16" fillId="17" borderId="26" xfId="2" applyFont="1" applyFill="1" applyBorder="1" applyAlignment="1" applyProtection="1">
      <alignment horizontal="right" vertical="center"/>
    </xf>
    <xf numFmtId="176" fontId="7" fillId="18" borderId="119" xfId="19" applyFont="1" applyFill="1" applyBorder="1" applyAlignment="1" applyProtection="1">
      <alignment horizontal="left" vertical="center" wrapText="1"/>
      <protection locked="0"/>
    </xf>
    <xf numFmtId="180" fontId="16" fillId="18" borderId="27" xfId="19" applyNumberFormat="1" applyFont="1" applyFill="1" applyBorder="1" applyAlignment="1" applyProtection="1">
      <alignment horizontal="right" vertical="center" wrapText="1"/>
      <protection locked="0"/>
    </xf>
    <xf numFmtId="180" fontId="16" fillId="18" borderId="30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27" xfId="9" applyFont="1" applyFill="1" applyBorder="1" applyAlignment="1" applyProtection="1">
      <alignment horizontal="right" vertical="center" wrapText="1"/>
      <protection locked="0"/>
    </xf>
    <xf numFmtId="9" fontId="16" fillId="18" borderId="29" xfId="9" applyFont="1" applyFill="1" applyBorder="1" applyAlignment="1" applyProtection="1">
      <alignment horizontal="right" vertical="center" wrapText="1"/>
      <protection locked="0"/>
    </xf>
    <xf numFmtId="9" fontId="16" fillId="18" borderId="0" xfId="9" applyFont="1" applyFill="1" applyBorder="1" applyAlignment="1" applyProtection="1">
      <alignment horizontal="right" vertical="center" wrapText="1"/>
      <protection locked="0"/>
    </xf>
    <xf numFmtId="180" fontId="16" fillId="18" borderId="89" xfId="19" applyNumberFormat="1" applyFont="1" applyFill="1" applyBorder="1" applyAlignment="1" applyProtection="1">
      <alignment horizontal="right" vertical="center"/>
      <protection locked="0"/>
    </xf>
    <xf numFmtId="180" fontId="16" fillId="18" borderId="120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89" xfId="9" applyFont="1" applyFill="1" applyBorder="1" applyAlignment="1" applyProtection="1">
      <alignment horizontal="right" vertical="center" wrapText="1"/>
      <protection locked="0"/>
    </xf>
    <xf numFmtId="180" fontId="16" fillId="18" borderId="20" xfId="19" applyNumberFormat="1" applyFont="1" applyFill="1" applyBorder="1" applyAlignment="1" applyProtection="1">
      <alignment horizontal="right" vertical="center"/>
      <protection locked="0"/>
    </xf>
    <xf numFmtId="176" fontId="7" fillId="18" borderId="91" xfId="19" applyFont="1" applyFill="1" applyBorder="1" applyAlignment="1" applyProtection="1">
      <alignment horizontal="left" vertical="center" wrapText="1"/>
      <protection locked="0"/>
    </xf>
    <xf numFmtId="180" fontId="16" fillId="18" borderId="122" xfId="19" applyNumberFormat="1" applyFont="1" applyFill="1" applyBorder="1" applyAlignment="1" applyProtection="1">
      <alignment horizontal="right" vertical="center"/>
      <protection locked="0"/>
    </xf>
    <xf numFmtId="180" fontId="16" fillId="18" borderId="123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122" xfId="9" applyFont="1" applyFill="1" applyBorder="1" applyAlignment="1" applyProtection="1">
      <alignment horizontal="right" vertical="center" wrapText="1"/>
      <protection locked="0"/>
    </xf>
    <xf numFmtId="180" fontId="16" fillId="18" borderId="35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34" xfId="9" applyFont="1" applyFill="1" applyBorder="1" applyAlignment="1" applyProtection="1">
      <alignment horizontal="right" vertical="center" wrapText="1"/>
      <protection locked="0"/>
    </xf>
    <xf numFmtId="180" fontId="16" fillId="18" borderId="32" xfId="19" applyNumberFormat="1" applyFont="1" applyFill="1" applyBorder="1" applyAlignment="1" applyProtection="1">
      <alignment horizontal="right" vertical="center"/>
      <protection locked="0"/>
    </xf>
    <xf numFmtId="180" fontId="16" fillId="18" borderId="1" xfId="19" applyNumberFormat="1" applyFont="1" applyFill="1" applyBorder="1" applyAlignment="1" applyProtection="1">
      <alignment horizontal="right" vertical="center" wrapText="1"/>
      <protection locked="0"/>
    </xf>
    <xf numFmtId="9" fontId="16" fillId="18" borderId="124" xfId="9" applyFont="1" applyFill="1" applyBorder="1" applyAlignment="1" applyProtection="1">
      <alignment horizontal="right" vertical="center" wrapText="1"/>
      <protection locked="0"/>
    </xf>
    <xf numFmtId="180" fontId="16" fillId="18" borderId="125" xfId="19" applyNumberFormat="1" applyFont="1" applyFill="1" applyBorder="1" applyAlignment="1" applyProtection="1">
      <alignment horizontal="right" vertical="center" wrapText="1"/>
      <protection locked="0"/>
    </xf>
    <xf numFmtId="176" fontId="15" fillId="17" borderId="126" xfId="19" applyFont="1" applyFill="1" applyBorder="1" applyAlignment="1" applyProtection="1">
      <alignment horizontal="left" vertical="center" wrapText="1"/>
      <protection locked="0"/>
    </xf>
    <xf numFmtId="180" fontId="22" fillId="17" borderId="93" xfId="19" applyNumberFormat="1" applyFont="1" applyFill="1" applyBorder="1" applyAlignment="1" applyProtection="1">
      <alignment horizontal="right" vertical="center" wrapText="1"/>
      <protection locked="0"/>
    </xf>
    <xf numFmtId="180" fontId="22" fillId="17" borderId="94" xfId="19" applyNumberFormat="1" applyFont="1" applyFill="1" applyBorder="1" applyAlignment="1" applyProtection="1">
      <alignment horizontal="right" vertical="center" wrapText="1"/>
      <protection locked="0"/>
    </xf>
    <xf numFmtId="9" fontId="22" fillId="17" borderId="93" xfId="9" applyFont="1" applyFill="1" applyBorder="1" applyAlignment="1" applyProtection="1">
      <alignment horizontal="right" vertical="center" wrapText="1"/>
      <protection locked="0"/>
    </xf>
    <xf numFmtId="180" fontId="22" fillId="17" borderId="4" xfId="19" applyNumberFormat="1" applyFont="1" applyFill="1" applyBorder="1" applyAlignment="1" applyProtection="1">
      <alignment horizontal="right" vertical="center" wrapText="1"/>
      <protection locked="0"/>
    </xf>
    <xf numFmtId="9" fontId="22" fillId="17" borderId="95" xfId="9" applyFont="1" applyFill="1" applyBorder="1" applyAlignment="1" applyProtection="1">
      <alignment horizontal="right" vertical="center" wrapText="1"/>
      <protection locked="0"/>
    </xf>
    <xf numFmtId="9" fontId="22" fillId="17" borderId="127" xfId="9" applyFont="1" applyFill="1" applyBorder="1" applyAlignment="1" applyProtection="1">
      <alignment horizontal="right" vertical="center" wrapText="1"/>
      <protection locked="0"/>
    </xf>
    <xf numFmtId="180" fontId="22" fillId="17" borderId="128" xfId="19" applyNumberFormat="1" applyFont="1" applyFill="1" applyBorder="1" applyAlignment="1" applyProtection="1">
      <alignment horizontal="right" vertical="center" wrapText="1"/>
      <protection locked="0"/>
    </xf>
    <xf numFmtId="9" fontId="22" fillId="17" borderId="129" xfId="2" applyFont="1" applyFill="1" applyBorder="1" applyAlignment="1" applyProtection="1">
      <alignment horizontal="right" vertical="center" wrapText="1"/>
      <protection locked="0"/>
    </xf>
    <xf numFmtId="176" fontId="15" fillId="17" borderId="130" xfId="19" applyFont="1" applyFill="1" applyBorder="1" applyAlignment="1" applyProtection="1">
      <alignment horizontal="left" vertical="center" wrapText="1"/>
      <protection locked="0"/>
    </xf>
    <xf numFmtId="180" fontId="22" fillId="17" borderId="99" xfId="19" applyNumberFormat="1" applyFont="1" applyFill="1" applyBorder="1" applyAlignment="1" applyProtection="1">
      <alignment horizontal="right" vertical="center" wrapText="1"/>
      <protection locked="0"/>
    </xf>
    <xf numFmtId="180" fontId="22" fillId="17" borderId="100" xfId="19" applyNumberFormat="1" applyFont="1" applyFill="1" applyBorder="1" applyAlignment="1" applyProtection="1">
      <alignment horizontal="right" vertical="center" wrapText="1"/>
      <protection locked="0"/>
    </xf>
    <xf numFmtId="9" fontId="22" fillId="17" borderId="99" xfId="9" applyFont="1" applyFill="1" applyBorder="1" applyAlignment="1" applyProtection="1">
      <alignment horizontal="right" vertical="center" wrapText="1"/>
      <protection locked="0"/>
    </xf>
    <xf numFmtId="180" fontId="22" fillId="17" borderId="101" xfId="19" applyNumberFormat="1" applyFont="1" applyFill="1" applyBorder="1" applyAlignment="1" applyProtection="1">
      <alignment horizontal="right" vertical="center" wrapText="1"/>
      <protection locked="0"/>
    </xf>
    <xf numFmtId="9" fontId="22" fillId="17" borderId="102" xfId="9" applyFont="1" applyFill="1" applyBorder="1" applyAlignment="1" applyProtection="1">
      <alignment horizontal="right" vertical="center" wrapText="1"/>
      <protection locked="0"/>
    </xf>
    <xf numFmtId="9" fontId="22" fillId="17" borderId="131" xfId="9" applyFont="1" applyFill="1" applyBorder="1" applyAlignment="1" applyProtection="1">
      <alignment horizontal="right" vertical="center" wrapText="1"/>
      <protection locked="0"/>
    </xf>
    <xf numFmtId="180" fontId="22" fillId="17" borderId="132" xfId="19" applyNumberFormat="1" applyFont="1" applyFill="1" applyBorder="1" applyAlignment="1" applyProtection="1">
      <alignment horizontal="right" vertical="center" wrapText="1"/>
      <protection locked="0"/>
    </xf>
    <xf numFmtId="9" fontId="22" fillId="17" borderId="133" xfId="2" applyFont="1" applyFill="1" applyBorder="1" applyAlignment="1" applyProtection="1">
      <alignment horizontal="right" vertical="center" wrapText="1"/>
      <protection locked="0"/>
    </xf>
    <xf numFmtId="176" fontId="7" fillId="16" borderId="134" xfId="24" applyFont="1" applyFill="1" applyBorder="1" applyAlignment="1">
      <alignment vertical="center" wrapText="1"/>
    </xf>
    <xf numFmtId="180" fontId="16" fillId="16" borderId="135" xfId="24" applyNumberFormat="1" applyFont="1" applyFill="1" applyBorder="1" applyAlignment="1">
      <alignment horizontal="right" vertical="center"/>
    </xf>
    <xf numFmtId="180" fontId="16" fillId="16" borderId="136" xfId="24" applyNumberFormat="1" applyFont="1" applyFill="1" applyBorder="1" applyAlignment="1">
      <alignment horizontal="right" vertical="center"/>
    </xf>
    <xf numFmtId="9" fontId="16" fillId="16" borderId="135" xfId="24" applyNumberFormat="1" applyFont="1" applyFill="1" applyBorder="1" applyAlignment="1">
      <alignment horizontal="right" vertical="center"/>
    </xf>
    <xf numFmtId="180" fontId="16" fillId="16" borderId="1" xfId="24" applyNumberFormat="1" applyFont="1" applyFill="1" applyBorder="1" applyAlignment="1">
      <alignment horizontal="right" vertical="center"/>
    </xf>
    <xf numFmtId="9" fontId="16" fillId="16" borderId="1" xfId="24" applyNumberFormat="1" applyFont="1" applyFill="1" applyBorder="1" applyAlignment="1">
      <alignment horizontal="right" vertical="center"/>
    </xf>
    <xf numFmtId="180" fontId="16" fillId="16" borderId="137" xfId="24" applyNumberFormat="1" applyFont="1" applyFill="1" applyBorder="1" applyAlignment="1">
      <alignment horizontal="right" vertical="center"/>
    </xf>
    <xf numFmtId="180" fontId="16" fillId="16" borderId="123" xfId="24" applyNumberFormat="1" applyFont="1" applyFill="1" applyBorder="1" applyAlignment="1">
      <alignment horizontal="right" vertical="center"/>
    </xf>
    <xf numFmtId="9" fontId="16" fillId="16" borderId="138" xfId="24" applyNumberFormat="1" applyFont="1" applyFill="1" applyBorder="1" applyAlignment="1">
      <alignment horizontal="right" vertical="center"/>
    </xf>
    <xf numFmtId="180" fontId="16" fillId="16" borderId="139" xfId="24" applyNumberFormat="1" applyFont="1" applyFill="1" applyBorder="1" applyAlignment="1">
      <alignment horizontal="right" vertical="center"/>
    </xf>
    <xf numFmtId="9" fontId="16" fillId="16" borderId="140" xfId="2" applyFont="1" applyFill="1" applyBorder="1" applyAlignment="1">
      <alignment horizontal="right" vertical="center"/>
    </xf>
    <xf numFmtId="181" fontId="16" fillId="20" borderId="146" xfId="24" applyNumberFormat="1" applyFont="1" applyFill="1" applyBorder="1" applyAlignment="1">
      <alignment horizontal="left" vertical="center"/>
    </xf>
    <xf numFmtId="180" fontId="13" fillId="20" borderId="51" xfId="24" applyNumberFormat="1" applyFont="1" applyFill="1" applyBorder="1" applyAlignment="1">
      <alignment horizontal="right" vertical="center"/>
    </xf>
    <xf numFmtId="180" fontId="13" fillId="20" borderId="21" xfId="24" applyNumberFormat="1" applyFont="1" applyFill="1" applyBorder="1" applyAlignment="1">
      <alignment horizontal="right" vertical="center"/>
    </xf>
    <xf numFmtId="9" fontId="13" fillId="20" borderId="21" xfId="24" applyNumberFormat="1" applyFont="1" applyFill="1" applyBorder="1" applyAlignment="1">
      <alignment horizontal="right" vertical="center"/>
    </xf>
    <xf numFmtId="9" fontId="13" fillId="20" borderId="53" xfId="24" applyNumberFormat="1" applyFont="1" applyFill="1" applyBorder="1" applyAlignment="1">
      <alignment horizontal="right" vertical="center"/>
    </xf>
    <xf numFmtId="9" fontId="13" fillId="10" borderId="54" xfId="24" applyNumberFormat="1" applyFont="1" applyFill="1" applyBorder="1" applyAlignment="1">
      <alignment horizontal="right" vertical="center"/>
    </xf>
    <xf numFmtId="181" fontId="16" fillId="21" borderId="147" xfId="24" applyNumberFormat="1" applyFont="1" applyFill="1" applyBorder="1" applyAlignment="1">
      <alignment horizontal="left" vertical="center"/>
    </xf>
    <xf numFmtId="180" fontId="13" fillId="21" borderId="65" xfId="24" applyNumberFormat="1" applyFont="1" applyFill="1" applyBorder="1" applyAlignment="1">
      <alignment horizontal="right" vertical="center"/>
    </xf>
    <xf numFmtId="180" fontId="13" fillId="21" borderId="148" xfId="24" applyNumberFormat="1" applyFont="1" applyFill="1" applyBorder="1" applyAlignment="1">
      <alignment horizontal="right" vertical="center"/>
    </xf>
    <xf numFmtId="9" fontId="13" fillId="21" borderId="148" xfId="24" applyNumberFormat="1" applyFont="1" applyFill="1" applyBorder="1" applyAlignment="1">
      <alignment horizontal="right" vertical="center"/>
    </xf>
    <xf numFmtId="9" fontId="13" fillId="21" borderId="149" xfId="24" applyNumberFormat="1" applyFont="1" applyFill="1" applyBorder="1" applyAlignment="1">
      <alignment horizontal="right" vertical="center"/>
    </xf>
    <xf numFmtId="178" fontId="8" fillId="3" borderId="169" xfId="24" applyNumberFormat="1" applyFont="1" applyFill="1" applyBorder="1" applyAlignment="1" applyProtection="1">
      <alignment horizontal="center" vertical="center"/>
      <protection locked="0"/>
    </xf>
    <xf numFmtId="178" fontId="8" fillId="3" borderId="15" xfId="24" applyNumberFormat="1" applyFont="1" applyFill="1" applyBorder="1" applyAlignment="1" applyProtection="1">
      <alignment horizontal="center" vertical="center"/>
      <protection locked="0"/>
    </xf>
    <xf numFmtId="178" fontId="8" fillId="4" borderId="170" xfId="24" applyNumberFormat="1" applyFont="1" applyFill="1" applyBorder="1" applyAlignment="1" applyProtection="1">
      <alignment horizontal="center" vertical="center"/>
      <protection locked="0"/>
    </xf>
    <xf numFmtId="180" fontId="13" fillId="2" borderId="24" xfId="24" applyNumberFormat="1" applyFont="1" applyFill="1" applyBorder="1" applyAlignment="1">
      <alignment horizontal="right" vertical="center"/>
    </xf>
    <xf numFmtId="180" fontId="13" fillId="2" borderId="0" xfId="24" applyNumberFormat="1" applyFont="1" applyFill="1" applyAlignment="1">
      <alignment horizontal="right" vertical="center"/>
    </xf>
    <xf numFmtId="180" fontId="13" fillId="2" borderId="1" xfId="24" applyNumberFormat="1" applyFont="1" applyFill="1" applyBorder="1" applyAlignment="1">
      <alignment horizontal="right" vertical="center"/>
    </xf>
    <xf numFmtId="9" fontId="4" fillId="0" borderId="0" xfId="9" applyFont="1" applyAlignment="1"/>
    <xf numFmtId="9" fontId="0" fillId="0" borderId="0" xfId="9" applyFont="1">
      <alignment vertical="center"/>
    </xf>
    <xf numFmtId="9" fontId="4" fillId="0" borderId="0" xfId="9" applyFont="1" applyFill="1" applyBorder="1" applyAlignment="1" applyProtection="1"/>
    <xf numFmtId="9" fontId="3" fillId="0" borderId="0" xfId="9" applyFont="1" applyFill="1" applyBorder="1" applyAlignment="1" applyProtection="1"/>
    <xf numFmtId="10" fontId="3" fillId="0" borderId="0" xfId="9" applyNumberFormat="1" applyFont="1" applyAlignment="1">
      <alignment horizontal="right" vertical="center"/>
    </xf>
    <xf numFmtId="10" fontId="1" fillId="2" borderId="0" xfId="9" applyNumberFormat="1" applyFont="1" applyFill="1" applyAlignment="1">
      <alignment horizontal="right"/>
    </xf>
    <xf numFmtId="10" fontId="3" fillId="2" borderId="0" xfId="9" applyNumberFormat="1" applyFont="1" applyFill="1" applyAlignment="1"/>
    <xf numFmtId="9" fontId="13" fillId="2" borderId="164" xfId="9" applyFont="1" applyFill="1" applyBorder="1" applyAlignment="1">
      <alignment horizontal="right" vertical="center"/>
    </xf>
    <xf numFmtId="9" fontId="3" fillId="2" borderId="0" xfId="9" applyFont="1" applyFill="1" applyAlignment="1">
      <alignment horizontal="right" vertical="center"/>
    </xf>
    <xf numFmtId="9" fontId="8" fillId="7" borderId="43" xfId="9" applyFont="1" applyFill="1" applyBorder="1" applyAlignment="1" applyProtection="1">
      <alignment horizontal="center" vertical="center"/>
      <protection locked="0"/>
    </xf>
    <xf numFmtId="9" fontId="10" fillId="2" borderId="0" xfId="9" applyFont="1" applyFill="1" applyBorder="1" applyAlignment="1">
      <alignment horizontal="center" vertical="center" shrinkToFit="1"/>
    </xf>
    <xf numFmtId="9" fontId="11" fillId="2" borderId="0" xfId="9" applyFont="1" applyFill="1" applyBorder="1" applyAlignment="1">
      <alignment horizontal="center" vertical="center" shrinkToFit="1"/>
    </xf>
    <xf numFmtId="9" fontId="11" fillId="2" borderId="0" xfId="9" applyFont="1" applyFill="1" applyBorder="1" applyAlignment="1">
      <alignment horizontal="center" vertical="center"/>
    </xf>
    <xf numFmtId="9" fontId="6" fillId="2" borderId="0" xfId="9" applyFont="1" applyFill="1" applyBorder="1" applyAlignment="1" applyProtection="1">
      <alignment horizontal="center" vertical="center"/>
    </xf>
    <xf numFmtId="9" fontId="15" fillId="2" borderId="19" xfId="9" applyFont="1" applyFill="1" applyBorder="1" applyAlignment="1">
      <alignment vertical="center" wrapText="1" shrinkToFit="1"/>
    </xf>
    <xf numFmtId="9" fontId="16" fillId="2" borderId="51" xfId="9" applyFont="1" applyFill="1" applyBorder="1" applyAlignment="1">
      <alignment horizontal="right" vertical="center"/>
    </xf>
    <xf numFmtId="9" fontId="3" fillId="2" borderId="0" xfId="9" applyFont="1" applyFill="1" applyBorder="1" applyAlignment="1" applyProtection="1"/>
    <xf numFmtId="9" fontId="4" fillId="2" borderId="0" xfId="9" applyFont="1" applyFill="1" applyAlignment="1"/>
    <xf numFmtId="9" fontId="15" fillId="9" borderId="19" xfId="9" applyFont="1" applyFill="1" applyBorder="1" applyAlignment="1" applyProtection="1">
      <alignment vertical="center" wrapText="1"/>
    </xf>
    <xf numFmtId="9" fontId="16" fillId="9" borderId="51" xfId="9" applyFont="1" applyFill="1" applyBorder="1" applyAlignment="1">
      <alignment horizontal="right" vertical="center"/>
    </xf>
    <xf numFmtId="9" fontId="0" fillId="2" borderId="0" xfId="9" applyFont="1" applyFill="1">
      <alignment vertical="center"/>
    </xf>
    <xf numFmtId="9" fontId="15" fillId="9" borderId="9" xfId="9" applyFont="1" applyFill="1" applyBorder="1" applyAlignment="1" applyProtection="1">
      <alignment vertical="center" wrapText="1"/>
    </xf>
    <xf numFmtId="9" fontId="15" fillId="9" borderId="31" xfId="9" applyFont="1" applyFill="1" applyBorder="1" applyAlignment="1" applyProtection="1">
      <alignment vertical="center" wrapText="1"/>
    </xf>
    <xf numFmtId="9" fontId="16" fillId="9" borderId="34" xfId="9" applyFont="1" applyFill="1" applyBorder="1" applyAlignment="1">
      <alignment horizontal="right" vertical="center"/>
    </xf>
    <xf numFmtId="9" fontId="16" fillId="9" borderId="65" xfId="9" applyFont="1" applyFill="1" applyBorder="1" applyAlignment="1">
      <alignment horizontal="right" vertical="center"/>
    </xf>
    <xf numFmtId="9" fontId="8" fillId="7" borderId="71" xfId="9" applyFont="1" applyFill="1" applyBorder="1" applyAlignment="1" applyProtection="1">
      <alignment horizontal="center" vertical="center"/>
      <protection locked="0"/>
    </xf>
    <xf numFmtId="9" fontId="13" fillId="2" borderId="76" xfId="9" applyFont="1" applyFill="1" applyBorder="1" applyAlignment="1">
      <alignment horizontal="right" vertical="center"/>
    </xf>
    <xf numFmtId="9" fontId="3" fillId="2" borderId="0" xfId="9" applyFont="1" applyFill="1" applyBorder="1" applyAlignment="1" applyProtection="1">
      <alignment vertical="center" shrinkToFit="1"/>
    </xf>
    <xf numFmtId="9" fontId="6" fillId="2" borderId="54" xfId="9" applyFont="1" applyFill="1" applyBorder="1" applyAlignment="1" applyProtection="1">
      <alignment horizontal="center" vertical="center"/>
    </xf>
    <xf numFmtId="9" fontId="4" fillId="2" borderId="0" xfId="9" applyFont="1" applyFill="1" applyBorder="1" applyAlignment="1" applyProtection="1"/>
    <xf numFmtId="9" fontId="20" fillId="2" borderId="0" xfId="9" applyFont="1" applyFill="1" applyBorder="1" applyAlignment="1">
      <alignment horizontal="center" vertical="center" shrinkToFit="1"/>
    </xf>
    <xf numFmtId="9" fontId="17" fillId="2" borderId="0" xfId="9" applyFont="1" applyFill="1" applyBorder="1" applyAlignment="1">
      <alignment horizontal="center" vertical="center" shrinkToFit="1"/>
    </xf>
    <xf numFmtId="9" fontId="17" fillId="2" borderId="0" xfId="9" applyFont="1" applyFill="1" applyBorder="1" applyAlignment="1">
      <alignment horizontal="center" vertical="center"/>
    </xf>
    <xf numFmtId="9" fontId="3" fillId="2" borderId="0" xfId="9" applyFont="1" applyFill="1" applyBorder="1" applyAlignment="1" applyProtection="1">
      <alignment horizontal="center" vertical="center" shrinkToFit="1"/>
    </xf>
    <xf numFmtId="9" fontId="12" fillId="0" borderId="53" xfId="9" applyFont="1" applyFill="1" applyBorder="1" applyAlignment="1" applyProtection="1">
      <alignment horizontal="left" vertical="center" wrapText="1"/>
      <protection locked="0"/>
    </xf>
    <xf numFmtId="9" fontId="13" fillId="2" borderId="25" xfId="9" applyFont="1" applyFill="1" applyBorder="1" applyAlignment="1" applyProtection="1">
      <alignment horizontal="right" vertical="center"/>
    </xf>
    <xf numFmtId="9" fontId="15" fillId="2" borderId="53" xfId="9" applyFont="1" applyFill="1" applyBorder="1" applyAlignment="1" applyProtection="1">
      <alignment horizontal="left" vertical="center" wrapText="1"/>
      <protection locked="0"/>
    </xf>
    <xf numFmtId="9" fontId="16" fillId="2" borderId="25" xfId="9" applyFont="1" applyFill="1" applyBorder="1" applyAlignment="1" applyProtection="1">
      <alignment horizontal="right" vertical="center"/>
    </xf>
    <xf numFmtId="9" fontId="4" fillId="2" borderId="0" xfId="9" applyFont="1" applyFill="1" applyBorder="1" applyAlignment="1" applyProtection="1">
      <alignment horizontal="center" vertical="center" shrinkToFit="1"/>
    </xf>
    <xf numFmtId="9" fontId="3" fillId="2" borderId="0" xfId="9" applyFont="1" applyFill="1" applyBorder="1" applyAlignment="1" applyProtection="1">
      <alignment horizontal="center" vertical="center"/>
    </xf>
    <xf numFmtId="10" fontId="3" fillId="2" borderId="0" xfId="9" applyNumberFormat="1" applyFont="1" applyFill="1" applyAlignment="1">
      <alignment horizontal="right" vertical="center"/>
    </xf>
    <xf numFmtId="10" fontId="8" fillId="7" borderId="145" xfId="9" applyNumberFormat="1" applyFont="1" applyFill="1" applyBorder="1" applyAlignment="1" applyProtection="1">
      <alignment horizontal="center" vertical="center"/>
      <protection locked="0"/>
    </xf>
    <xf numFmtId="10" fontId="29" fillId="12" borderId="160" xfId="9" applyNumberFormat="1" applyFont="1" applyFill="1" applyBorder="1" applyAlignment="1">
      <alignment horizontal="center" vertical="center" wrapText="1"/>
    </xf>
    <xf numFmtId="9" fontId="13" fillId="0" borderId="164" xfId="9" applyFont="1" applyBorder="1" applyAlignment="1">
      <alignment horizontal="right" vertical="center"/>
    </xf>
    <xf numFmtId="9" fontId="13" fillId="2" borderId="166" xfId="9" applyFont="1" applyFill="1" applyBorder="1" applyAlignment="1">
      <alignment horizontal="right" vertical="center"/>
    </xf>
    <xf numFmtId="180" fontId="13" fillId="2" borderId="166" xfId="9" applyNumberFormat="1" applyFont="1" applyFill="1" applyBorder="1" applyAlignment="1">
      <alignment horizontal="right" vertical="center"/>
    </xf>
    <xf numFmtId="9" fontId="13" fillId="0" borderId="166" xfId="9" applyFont="1" applyBorder="1" applyAlignment="1">
      <alignment horizontal="right" vertical="center"/>
    </xf>
    <xf numFmtId="10" fontId="8" fillId="7" borderId="18" xfId="9" applyNumberFormat="1" applyFont="1" applyFill="1" applyBorder="1" applyAlignment="1" applyProtection="1">
      <alignment horizontal="center" vertical="center"/>
      <protection locked="0"/>
    </xf>
    <xf numFmtId="180" fontId="13" fillId="2" borderId="120" xfId="24" applyNumberFormat="1" applyFont="1" applyFill="1" applyBorder="1" applyAlignment="1">
      <alignment horizontal="right" vertical="center"/>
    </xf>
    <xf numFmtId="9" fontId="13" fillId="2" borderId="26" xfId="9" applyFont="1" applyFill="1" applyBorder="1" applyAlignment="1">
      <alignment horizontal="right" vertical="center"/>
    </xf>
    <xf numFmtId="9" fontId="16" fillId="13" borderId="50" xfId="9" applyFont="1" applyFill="1" applyBorder="1" applyAlignment="1">
      <alignment horizontal="right" vertical="center"/>
    </xf>
    <xf numFmtId="9" fontId="13" fillId="2" borderId="52" xfId="9" applyFont="1" applyFill="1" applyBorder="1" applyAlignment="1">
      <alignment horizontal="right" vertical="center"/>
    </xf>
    <xf numFmtId="9" fontId="16" fillId="8" borderId="52" xfId="9" applyFont="1" applyFill="1" applyBorder="1" applyAlignment="1">
      <alignment horizontal="right" vertical="center"/>
    </xf>
    <xf numFmtId="9" fontId="16" fillId="2" borderId="20" xfId="9" applyFont="1" applyFill="1" applyBorder="1" applyAlignment="1">
      <alignment horizontal="right" vertical="center"/>
    </xf>
    <xf numFmtId="9" fontId="16" fillId="2" borderId="23" xfId="9" applyFont="1" applyFill="1" applyBorder="1" applyAlignment="1">
      <alignment horizontal="right" vertical="center"/>
    </xf>
    <xf numFmtId="9" fontId="16" fillId="2" borderId="22" xfId="9" applyFont="1" applyFill="1" applyBorder="1" applyAlignment="1">
      <alignment horizontal="right" vertical="center"/>
    </xf>
    <xf numFmtId="9" fontId="16" fillId="2" borderId="24" xfId="9" applyFont="1" applyFill="1" applyBorder="1" applyAlignment="1">
      <alignment horizontal="right" vertical="center"/>
    </xf>
    <xf numFmtId="9" fontId="16" fillId="2" borderId="52" xfId="9" applyFont="1" applyFill="1" applyBorder="1" applyAlignment="1">
      <alignment horizontal="right" vertical="center"/>
    </xf>
    <xf numFmtId="9" fontId="16" fillId="9" borderId="23" xfId="9" applyFont="1" applyFill="1" applyBorder="1" applyAlignment="1">
      <alignment horizontal="right" vertical="center"/>
    </xf>
    <xf numFmtId="9" fontId="16" fillId="9" borderId="52" xfId="9" applyFont="1" applyFill="1" applyBorder="1" applyAlignment="1">
      <alignment horizontal="right" vertical="center"/>
    </xf>
    <xf numFmtId="9" fontId="16" fillId="9" borderId="27" xfId="9" applyFont="1" applyFill="1" applyBorder="1" applyAlignment="1">
      <alignment horizontal="right" vertical="center"/>
    </xf>
    <xf numFmtId="9" fontId="16" fillId="9" borderId="30" xfId="9" applyFont="1" applyFill="1" applyBorder="1" applyAlignment="1">
      <alignment horizontal="right" vertical="center"/>
    </xf>
    <xf numFmtId="9" fontId="16" fillId="9" borderId="29" xfId="9" applyFont="1" applyFill="1" applyBorder="1" applyAlignment="1">
      <alignment horizontal="right" vertical="center"/>
    </xf>
    <xf numFmtId="9" fontId="16" fillId="9" borderId="0" xfId="9" applyFont="1" applyFill="1" applyBorder="1" applyAlignment="1">
      <alignment horizontal="right" vertical="center"/>
    </xf>
    <xf numFmtId="9" fontId="16" fillId="9" borderId="32" xfId="9" applyFont="1" applyFill="1" applyBorder="1" applyAlignment="1">
      <alignment horizontal="right" vertical="center"/>
    </xf>
    <xf numFmtId="9" fontId="16" fillId="9" borderId="35" xfId="9" applyFont="1" applyFill="1" applyBorder="1" applyAlignment="1">
      <alignment horizontal="right" vertical="center"/>
    </xf>
    <xf numFmtId="9" fontId="16" fillId="9" borderId="1" xfId="9" applyFont="1" applyFill="1" applyBorder="1" applyAlignment="1">
      <alignment horizontal="right" vertical="center"/>
    </xf>
    <xf numFmtId="9" fontId="16" fillId="9" borderId="66" xfId="9" applyFont="1" applyFill="1" applyBorder="1" applyAlignment="1">
      <alignment horizontal="right" vertical="center"/>
    </xf>
    <xf numFmtId="9" fontId="16" fillId="13" borderId="26" xfId="9" applyFont="1" applyFill="1" applyBorder="1" applyAlignment="1">
      <alignment horizontal="right" vertical="center"/>
    </xf>
    <xf numFmtId="9" fontId="16" fillId="16" borderId="26" xfId="9" applyFont="1" applyFill="1" applyBorder="1" applyAlignment="1">
      <alignment horizontal="right" vertical="center"/>
    </xf>
    <xf numFmtId="9" fontId="16" fillId="17" borderId="26" xfId="9" applyFont="1" applyFill="1" applyBorder="1" applyAlignment="1">
      <alignment horizontal="right" vertical="center"/>
    </xf>
    <xf numFmtId="9" fontId="16" fillId="14" borderId="56" xfId="9" applyFont="1" applyFill="1" applyBorder="1" applyAlignment="1" applyProtection="1">
      <alignment horizontal="right" vertical="center"/>
    </xf>
    <xf numFmtId="9" fontId="16" fillId="14" borderId="57" xfId="9" applyFont="1" applyFill="1" applyBorder="1" applyAlignment="1" applyProtection="1">
      <alignment horizontal="right" vertical="center"/>
    </xf>
    <xf numFmtId="9" fontId="16" fillId="14" borderId="56" xfId="9" applyFont="1" applyFill="1" applyBorder="1" applyAlignment="1">
      <alignment horizontal="right" vertical="center"/>
    </xf>
    <xf numFmtId="9" fontId="16" fillId="14" borderId="57" xfId="9" applyFont="1" applyFill="1" applyBorder="1" applyAlignment="1">
      <alignment horizontal="right" vertical="center"/>
    </xf>
    <xf numFmtId="9" fontId="16" fillId="14" borderId="78" xfId="9" applyFont="1" applyFill="1" applyBorder="1" applyAlignment="1">
      <alignment horizontal="right" vertical="center"/>
    </xf>
    <xf numFmtId="9" fontId="16" fillId="14" borderId="59" xfId="9" applyFont="1" applyFill="1" applyBorder="1" applyAlignment="1">
      <alignment horizontal="right" vertical="center"/>
    </xf>
    <xf numFmtId="9" fontId="16" fillId="14" borderId="79" xfId="9" applyFont="1" applyFill="1" applyBorder="1" applyAlignment="1">
      <alignment horizontal="right" vertical="center"/>
    </xf>
    <xf numFmtId="9" fontId="16" fillId="14" borderId="80" xfId="9" applyFont="1" applyFill="1" applyBorder="1" applyAlignment="1">
      <alignment horizontal="right" vertical="center"/>
    </xf>
    <xf numFmtId="9" fontId="16" fillId="9" borderId="26" xfId="9" applyFont="1" applyFill="1" applyBorder="1" applyAlignment="1">
      <alignment horizontal="right" vertical="center"/>
    </xf>
    <xf numFmtId="9" fontId="15" fillId="14" borderId="61" xfId="9" applyFont="1" applyFill="1" applyBorder="1" applyAlignment="1" applyProtection="1">
      <alignment horizontal="left" vertical="center" wrapText="1"/>
      <protection locked="0"/>
    </xf>
    <xf numFmtId="9" fontId="16" fillId="14" borderId="87" xfId="9" applyFont="1" applyFill="1" applyBorder="1" applyAlignment="1">
      <alignment horizontal="right" vertical="center"/>
    </xf>
    <xf numFmtId="9" fontId="13" fillId="2" borderId="83" xfId="9" applyFont="1" applyFill="1" applyBorder="1" applyAlignment="1">
      <alignment horizontal="right" vertical="center"/>
    </xf>
    <xf numFmtId="9" fontId="13" fillId="2" borderId="85" xfId="9" applyFont="1" applyFill="1" applyBorder="1" applyAlignment="1">
      <alignment horizontal="right" vertical="center"/>
    </xf>
    <xf numFmtId="9" fontId="16" fillId="17" borderId="37" xfId="9" applyFont="1" applyFill="1" applyBorder="1" applyAlignment="1">
      <alignment horizontal="right" vertical="center"/>
    </xf>
    <xf numFmtId="9" fontId="13" fillId="0" borderId="83" xfId="9" applyFont="1" applyBorder="1" applyAlignment="1">
      <alignment horizontal="right" vertical="center"/>
    </xf>
    <xf numFmtId="9" fontId="16" fillId="18" borderId="97" xfId="9" applyFont="1" applyFill="1" applyBorder="1" applyAlignment="1" applyProtection="1">
      <alignment horizontal="right" vertical="center" wrapText="1"/>
      <protection locked="0"/>
    </xf>
    <xf numFmtId="9" fontId="16" fillId="18" borderId="105" xfId="9" applyFont="1" applyFill="1" applyBorder="1" applyAlignment="1" applyProtection="1">
      <alignment horizontal="right" vertical="center" wrapText="1"/>
      <protection locked="0"/>
    </xf>
    <xf numFmtId="9" fontId="7" fillId="18" borderId="91" xfId="9" applyFont="1" applyFill="1" applyBorder="1" applyAlignment="1" applyProtection="1">
      <alignment horizontal="left" vertical="center" wrapText="1"/>
      <protection locked="0"/>
    </xf>
    <xf numFmtId="9" fontId="16" fillId="18" borderId="32" xfId="9" applyFont="1" applyFill="1" applyBorder="1" applyAlignment="1" applyProtection="1">
      <alignment horizontal="right" vertical="center" wrapText="1"/>
      <protection locked="0"/>
    </xf>
    <xf numFmtId="9" fontId="16" fillId="18" borderId="106" xfId="9" applyFont="1" applyFill="1" applyBorder="1" applyAlignment="1" applyProtection="1">
      <alignment horizontal="right" vertical="center" wrapText="1"/>
      <protection locked="0"/>
    </xf>
    <xf numFmtId="9" fontId="16" fillId="18" borderId="107" xfId="9" applyFont="1" applyFill="1" applyBorder="1" applyAlignment="1" applyProtection="1">
      <alignment horizontal="right" vertical="center" wrapText="1"/>
      <protection locked="0"/>
    </xf>
    <xf numFmtId="9" fontId="16" fillId="18" borderId="108" xfId="9" applyFont="1" applyFill="1" applyBorder="1" applyAlignment="1" applyProtection="1">
      <alignment horizontal="right" vertical="center" wrapText="1"/>
      <protection locked="0"/>
    </xf>
    <xf numFmtId="9" fontId="16" fillId="18" borderId="109" xfId="9" applyFont="1" applyFill="1" applyBorder="1" applyAlignment="1" applyProtection="1">
      <alignment horizontal="right" vertical="center" wrapText="1"/>
      <protection locked="0"/>
    </xf>
    <xf numFmtId="9" fontId="16" fillId="18" borderId="110" xfId="9" applyFont="1" applyFill="1" applyBorder="1" applyAlignment="1" applyProtection="1">
      <alignment horizontal="right" vertical="center" wrapText="1"/>
      <protection locked="0"/>
    </xf>
    <xf numFmtId="9" fontId="16" fillId="18" borderId="111" xfId="9" applyFont="1" applyFill="1" applyBorder="1" applyAlignment="1" applyProtection="1">
      <alignment horizontal="right" vertical="center" wrapText="1"/>
      <protection locked="0"/>
    </xf>
    <xf numFmtId="9" fontId="13" fillId="2" borderId="0" xfId="9" applyFont="1" applyFill="1" applyAlignment="1">
      <alignment horizontal="right" vertical="center"/>
    </xf>
    <xf numFmtId="9" fontId="13" fillId="2" borderId="8" xfId="9" applyFont="1" applyFill="1" applyBorder="1" applyAlignment="1">
      <alignment horizontal="right" vertical="center"/>
    </xf>
    <xf numFmtId="9" fontId="16" fillId="19" borderId="26" xfId="9" applyFont="1" applyFill="1" applyBorder="1" applyAlignment="1">
      <alignment horizontal="right" vertical="center"/>
    </xf>
    <xf numFmtId="9" fontId="13" fillId="2" borderId="21" xfId="9" applyFont="1" applyFill="1" applyBorder="1" applyAlignment="1" applyProtection="1">
      <alignment horizontal="right" vertical="center"/>
    </xf>
    <xf numFmtId="9" fontId="13" fillId="2" borderId="23" xfId="9" applyFont="1" applyFill="1" applyBorder="1" applyAlignment="1" applyProtection="1">
      <alignment horizontal="right" vertical="center"/>
    </xf>
    <xf numFmtId="9" fontId="13" fillId="2" borderId="26" xfId="9" applyFont="1" applyFill="1" applyBorder="1" applyAlignment="1" applyProtection="1">
      <alignment horizontal="right" vertical="center"/>
    </xf>
    <xf numFmtId="9" fontId="16" fillId="18" borderId="26" xfId="9" applyFont="1" applyFill="1" applyBorder="1" applyAlignment="1" applyProtection="1">
      <alignment horizontal="right" vertical="center" wrapText="1"/>
      <protection locked="0"/>
    </xf>
    <xf numFmtId="9" fontId="16" fillId="2" borderId="20" xfId="9" applyFont="1" applyFill="1" applyBorder="1" applyAlignment="1" applyProtection="1">
      <alignment horizontal="right" vertical="center"/>
    </xf>
    <xf numFmtId="9" fontId="16" fillId="2" borderId="23" xfId="9" applyFont="1" applyFill="1" applyBorder="1" applyAlignment="1" applyProtection="1">
      <alignment horizontal="right" vertical="center"/>
    </xf>
    <xf numFmtId="9" fontId="16" fillId="2" borderId="26" xfId="9" applyFont="1" applyFill="1" applyBorder="1" applyAlignment="1" applyProtection="1">
      <alignment horizontal="right" vertical="center"/>
    </xf>
    <xf numFmtId="9" fontId="19" fillId="17" borderId="53" xfId="9" applyFont="1" applyFill="1" applyBorder="1" applyAlignment="1" applyProtection="1">
      <alignment horizontal="left" vertical="center" wrapText="1"/>
      <protection locked="0"/>
    </xf>
    <xf numFmtId="9" fontId="16" fillId="17" borderId="20" xfId="9" applyFont="1" applyFill="1" applyBorder="1" applyAlignment="1" applyProtection="1">
      <alignment horizontal="right" vertical="center"/>
    </xf>
    <xf numFmtId="9" fontId="16" fillId="17" borderId="23" xfId="9" applyFont="1" applyFill="1" applyBorder="1" applyAlignment="1" applyProtection="1">
      <alignment horizontal="right" vertical="center"/>
    </xf>
    <xf numFmtId="9" fontId="16" fillId="17" borderId="25" xfId="9" applyFont="1" applyFill="1" applyBorder="1" applyAlignment="1" applyProtection="1">
      <alignment horizontal="right" vertical="center"/>
    </xf>
    <xf numFmtId="9" fontId="16" fillId="17" borderId="26" xfId="9" applyFont="1" applyFill="1" applyBorder="1" applyAlignment="1" applyProtection="1">
      <alignment horizontal="right" vertical="center"/>
    </xf>
    <xf numFmtId="43" fontId="18" fillId="2" borderId="44" xfId="97" applyFont="1" applyFill="1" applyBorder="1" applyAlignment="1" applyProtection="1">
      <alignment horizontal="left" vertical="center" wrapText="1"/>
      <protection locked="0"/>
    </xf>
    <xf numFmtId="9" fontId="22" fillId="17" borderId="129" xfId="9" applyFont="1" applyFill="1" applyBorder="1" applyAlignment="1" applyProtection="1">
      <alignment horizontal="right" vertical="center" wrapText="1"/>
      <protection locked="0"/>
    </xf>
    <xf numFmtId="9" fontId="22" fillId="17" borderId="133" xfId="9" applyFont="1" applyFill="1" applyBorder="1" applyAlignment="1" applyProtection="1">
      <alignment horizontal="right" vertical="center" wrapText="1"/>
      <protection locked="0"/>
    </xf>
    <xf numFmtId="9" fontId="16" fillId="16" borderId="140" xfId="9" applyFont="1" applyFill="1" applyBorder="1" applyAlignment="1">
      <alignment horizontal="right" vertical="center"/>
    </xf>
    <xf numFmtId="180" fontId="13" fillId="2" borderId="164" xfId="9" applyNumberFormat="1" applyFont="1" applyFill="1" applyBorder="1" applyAlignment="1">
      <alignment horizontal="right" vertical="center"/>
    </xf>
    <xf numFmtId="9" fontId="13" fillId="0" borderId="162" xfId="9" applyFont="1" applyBorder="1" applyAlignment="1">
      <alignment horizontal="right" vertical="center"/>
    </xf>
    <xf numFmtId="9" fontId="13" fillId="0" borderId="167" xfId="9" applyFont="1" applyBorder="1" applyAlignment="1">
      <alignment horizontal="right" vertical="center"/>
    </xf>
    <xf numFmtId="43" fontId="33" fillId="0" borderId="0" xfId="161" applyFont="1">
      <alignment vertical="center"/>
    </xf>
    <xf numFmtId="176" fontId="10" fillId="2" borderId="0" xfId="28" applyNumberFormat="1" applyFont="1" applyFill="1" applyBorder="1" applyAlignment="1">
      <alignment horizontal="center" vertical="center" shrinkToFit="1"/>
    </xf>
    <xf numFmtId="176" fontId="11" fillId="2" borderId="0" xfId="28" applyNumberFormat="1" applyFont="1" applyFill="1" applyBorder="1" applyAlignment="1">
      <alignment horizontal="center" vertical="center" shrinkToFit="1"/>
    </xf>
    <xf numFmtId="176" fontId="11" fillId="2" borderId="0" xfId="28" applyNumberFormat="1" applyFont="1" applyFill="1" applyBorder="1" applyAlignment="1">
      <alignment horizontal="center" vertical="center"/>
    </xf>
    <xf numFmtId="180" fontId="13" fillId="2" borderId="171" xfId="24" applyNumberFormat="1" applyFont="1" applyFill="1" applyBorder="1" applyAlignment="1">
      <alignment horizontal="right" vertical="center"/>
    </xf>
    <xf numFmtId="9" fontId="13" fillId="2" borderId="120" xfId="9" applyFont="1" applyFill="1" applyBorder="1" applyAlignment="1">
      <alignment horizontal="right" vertical="center"/>
    </xf>
    <xf numFmtId="9" fontId="13" fillId="2" borderId="25" xfId="9" applyFont="1" applyFill="1" applyBorder="1" applyAlignment="1">
      <alignment horizontal="right" vertical="center"/>
    </xf>
    <xf numFmtId="180" fontId="13" fillId="2" borderId="123" xfId="24" applyNumberFormat="1" applyFont="1" applyFill="1" applyBorder="1" applyAlignment="1">
      <alignment horizontal="right" vertical="center"/>
    </xf>
    <xf numFmtId="9" fontId="13" fillId="2" borderId="37" xfId="9" applyFont="1" applyFill="1" applyBorder="1" applyAlignment="1">
      <alignment horizontal="right" vertical="center"/>
    </xf>
    <xf numFmtId="9" fontId="10" fillId="2" borderId="0" xfId="28" applyNumberFormat="1" applyFont="1" applyFill="1" applyBorder="1" applyAlignment="1">
      <alignment horizontal="center" vertical="center" shrinkToFit="1"/>
    </xf>
    <xf numFmtId="9" fontId="11" fillId="2" borderId="0" xfId="28" applyNumberFormat="1" applyFont="1" applyFill="1" applyBorder="1" applyAlignment="1">
      <alignment horizontal="center" vertical="center" shrinkToFit="1"/>
    </xf>
    <xf numFmtId="9" fontId="11" fillId="2" borderId="0" xfId="28" applyNumberFormat="1" applyFont="1" applyFill="1" applyBorder="1" applyAlignment="1">
      <alignment horizontal="center" vertical="center"/>
    </xf>
    <xf numFmtId="176" fontId="20" fillId="2" borderId="0" xfId="28" applyNumberFormat="1" applyFont="1" applyFill="1" applyBorder="1" applyAlignment="1">
      <alignment horizontal="center" vertical="center" shrinkToFit="1"/>
    </xf>
    <xf numFmtId="176" fontId="17" fillId="2" borderId="0" xfId="28" applyNumberFormat="1" applyFont="1" applyFill="1" applyBorder="1" applyAlignment="1">
      <alignment horizontal="center" vertical="center"/>
    </xf>
    <xf numFmtId="176" fontId="4" fillId="2" borderId="0" xfId="28" applyNumberFormat="1" applyFont="1" applyFill="1" applyBorder="1" applyAlignment="1">
      <alignment horizontal="center" vertical="center" shrinkToFit="1"/>
    </xf>
    <xf numFmtId="176" fontId="3" fillId="2" borderId="0" xfId="28" applyNumberFormat="1" applyFont="1" applyFill="1" applyBorder="1" applyAlignment="1">
      <alignment horizontal="center" vertical="center"/>
    </xf>
    <xf numFmtId="180" fontId="16" fillId="18" borderId="146" xfId="19" applyNumberFormat="1" applyFont="1" applyFill="1" applyBorder="1" applyAlignment="1" applyProtection="1">
      <alignment horizontal="right" vertical="center" wrapText="1"/>
      <protection locked="0"/>
    </xf>
    <xf numFmtId="9" fontId="35" fillId="17" borderId="95" xfId="9" applyFont="1" applyFill="1" applyBorder="1" applyAlignment="1" applyProtection="1">
      <alignment horizontal="right" vertical="center" wrapText="1"/>
      <protection locked="0"/>
    </xf>
    <xf numFmtId="9" fontId="35" fillId="17" borderId="102" xfId="9" applyFont="1" applyFill="1" applyBorder="1" applyAlignment="1" applyProtection="1">
      <alignment horizontal="right" vertical="center" wrapText="1"/>
      <protection locked="0"/>
    </xf>
    <xf numFmtId="186" fontId="3" fillId="2" borderId="0" xfId="24" applyNumberFormat="1" applyFont="1" applyFill="1" applyAlignment="1">
      <alignment horizontal="right" vertical="center"/>
    </xf>
    <xf numFmtId="178" fontId="3" fillId="2" borderId="0" xfId="24" applyNumberFormat="1" applyFont="1" applyFill="1" applyAlignment="1">
      <alignment horizontal="center" vertical="center"/>
    </xf>
    <xf numFmtId="176" fontId="2" fillId="2" borderId="0" xfId="24" applyFont="1" applyFill="1" applyAlignment="1">
      <alignment horizontal="right" vertical="center" wrapText="1"/>
    </xf>
    <xf numFmtId="0" fontId="36" fillId="0" borderId="0" xfId="0" applyFont="1" applyAlignment="1">
      <alignment vertical="center"/>
    </xf>
    <xf numFmtId="0" fontId="37" fillId="24" borderId="0" xfId="0" applyFont="1" applyFill="1" applyAlignment="1">
      <alignment vertical="center"/>
    </xf>
    <xf numFmtId="0" fontId="36" fillId="0" borderId="0" xfId="0" applyFont="1"/>
    <xf numFmtId="0" fontId="36" fillId="0" borderId="0" xfId="0" applyFont="1" applyAlignment="1">
      <alignment horizontal="left" vertical="center"/>
    </xf>
    <xf numFmtId="43" fontId="36" fillId="0" borderId="0" xfId="1" applyFont="1" applyAlignment="1">
      <alignment horizontal="right" vertical="center"/>
    </xf>
    <xf numFmtId="183" fontId="36" fillId="0" borderId="0" xfId="1" applyNumberFormat="1" applyFont="1" applyFill="1" applyBorder="1" applyAlignment="1"/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43" fontId="36" fillId="25" borderId="0" xfId="1" applyFont="1" applyFill="1" applyAlignment="1">
      <alignment horizontal="center" vertical="center"/>
    </xf>
    <xf numFmtId="43" fontId="36" fillId="26" borderId="0" xfId="1" applyFont="1" applyFill="1" applyAlignment="1">
      <alignment horizontal="center" vertical="center"/>
    </xf>
    <xf numFmtId="43" fontId="36" fillId="27" borderId="0" xfId="1" applyFont="1" applyFill="1" applyAlignment="1">
      <alignment horizontal="center" vertical="center"/>
    </xf>
    <xf numFmtId="183" fontId="36" fillId="28" borderId="0" xfId="1" applyNumberFormat="1" applyFont="1" applyFill="1" applyBorder="1" applyAlignment="1">
      <alignment horizontal="center" vertical="center"/>
    </xf>
    <xf numFmtId="0" fontId="38" fillId="29" borderId="0" xfId="0" applyFont="1" applyFill="1" applyAlignment="1">
      <alignment horizontal="center" vertical="center"/>
    </xf>
    <xf numFmtId="0" fontId="39" fillId="29" borderId="0" xfId="0" applyFont="1" applyFill="1" applyAlignment="1">
      <alignment horizontal="center" vertical="center"/>
    </xf>
    <xf numFmtId="0" fontId="36" fillId="29" borderId="0" xfId="0" applyFont="1" applyFill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6" fillId="30" borderId="0" xfId="0" applyFont="1" applyFill="1" applyAlignment="1">
      <alignment horizontal="center" vertical="center"/>
    </xf>
    <xf numFmtId="0" fontId="36" fillId="31" borderId="0" xfId="0" applyFont="1" applyFill="1" applyAlignment="1">
      <alignment horizontal="center" vertical="center"/>
    </xf>
    <xf numFmtId="183" fontId="38" fillId="28" borderId="0" xfId="1" applyNumberFormat="1" applyFont="1" applyFill="1" applyBorder="1" applyAlignment="1">
      <alignment horizontal="center" vertical="center"/>
    </xf>
    <xf numFmtId="183" fontId="38" fillId="29" borderId="0" xfId="1" applyNumberFormat="1" applyFont="1" applyFill="1" applyBorder="1" applyAlignment="1">
      <alignment horizontal="center" vertical="center"/>
    </xf>
    <xf numFmtId="183" fontId="39" fillId="29" borderId="0" xfId="1" applyNumberFormat="1" applyFont="1" applyFill="1" applyBorder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183" fontId="38" fillId="22" borderId="0" xfId="1" applyNumberFormat="1" applyFont="1" applyFill="1" applyBorder="1" applyAlignment="1">
      <alignment horizontal="center" vertical="center"/>
    </xf>
    <xf numFmtId="0" fontId="38" fillId="30" borderId="0" xfId="0" applyFont="1" applyFill="1" applyAlignment="1">
      <alignment horizontal="center" vertical="center"/>
    </xf>
    <xf numFmtId="183" fontId="38" fillId="31" borderId="0" xfId="1" applyNumberFormat="1" applyFont="1" applyFill="1" applyBorder="1" applyAlignment="1">
      <alignment horizontal="center" vertical="center"/>
    </xf>
    <xf numFmtId="183" fontId="36" fillId="29" borderId="0" xfId="1" applyNumberFormat="1" applyFont="1" applyFill="1" applyBorder="1" applyAlignment="1">
      <alignment horizontal="center" vertical="center"/>
    </xf>
    <xf numFmtId="183" fontId="36" fillId="22" borderId="0" xfId="1" applyNumberFormat="1" applyFont="1" applyFill="1" applyBorder="1" applyAlignment="1">
      <alignment horizontal="center" vertical="center"/>
    </xf>
    <xf numFmtId="183" fontId="36" fillId="30" borderId="0" xfId="1" applyNumberFormat="1" applyFont="1" applyFill="1" applyBorder="1" applyAlignment="1">
      <alignment horizontal="center" vertical="center"/>
    </xf>
    <xf numFmtId="183" fontId="36" fillId="31" borderId="0" xfId="1" applyNumberFormat="1" applyFont="1" applyFill="1" applyBorder="1" applyAlignment="1">
      <alignment horizontal="center" vertical="center"/>
    </xf>
    <xf numFmtId="183" fontId="36" fillId="0" borderId="0" xfId="0" applyNumberFormat="1" applyFont="1" applyAlignment="1">
      <alignment horizontal="left" vertical="center"/>
    </xf>
    <xf numFmtId="183" fontId="36" fillId="0" borderId="0" xfId="1" applyNumberFormat="1" applyFont="1" applyAlignment="1">
      <alignment horizontal="right" vertical="center"/>
    </xf>
    <xf numFmtId="183" fontId="38" fillId="0" borderId="0" xfId="1" applyNumberFormat="1" applyFont="1" applyFill="1" applyBorder="1" applyAlignment="1"/>
    <xf numFmtId="183" fontId="36" fillId="0" borderId="0" xfId="0" applyNumberFormat="1" applyFont="1" applyAlignment="1">
      <alignment horizontal="center" vertical="center"/>
    </xf>
    <xf numFmtId="183" fontId="36" fillId="0" borderId="0" xfId="0" applyNumberFormat="1" applyFont="1"/>
    <xf numFmtId="183" fontId="36" fillId="0" borderId="0" xfId="1" applyNumberFormat="1" applyFont="1" applyAlignment="1">
      <alignment horizontal="left" vertical="center"/>
    </xf>
    <xf numFmtId="1" fontId="36" fillId="0" borderId="0" xfId="0" applyNumberFormat="1" applyFont="1"/>
    <xf numFmtId="183" fontId="40" fillId="0" borderId="0" xfId="0" applyNumberFormat="1" applyFont="1" applyAlignment="1">
      <alignment horizontal="center" vertical="center"/>
    </xf>
    <xf numFmtId="0" fontId="36" fillId="32" borderId="0" xfId="0" applyFont="1" applyFill="1" applyAlignment="1">
      <alignment horizontal="left"/>
    </xf>
    <xf numFmtId="0" fontId="36" fillId="32" borderId="0" xfId="0" applyFont="1" applyFill="1" applyAlignment="1">
      <alignment horizontal="left" vertical="center"/>
    </xf>
    <xf numFmtId="183" fontId="36" fillId="32" borderId="0" xfId="1" applyNumberFormat="1" applyFont="1" applyFill="1" applyAlignment="1">
      <alignment horizontal="left" vertical="center"/>
    </xf>
    <xf numFmtId="183" fontId="36" fillId="32" borderId="0" xfId="1" applyNumberFormat="1" applyFont="1" applyFill="1" applyAlignment="1">
      <alignment horizontal="right" vertical="center"/>
    </xf>
    <xf numFmtId="183" fontId="36" fillId="0" borderId="0" xfId="1" applyNumberFormat="1" applyFont="1" applyFill="1" applyAlignment="1">
      <alignment horizontal="right" vertical="center"/>
    </xf>
    <xf numFmtId="183" fontId="36" fillId="0" borderId="0" xfId="1" applyNumberFormat="1" applyFont="1" applyFill="1" applyBorder="1" applyAlignment="1">
      <alignment vertical="center"/>
    </xf>
    <xf numFmtId="183" fontId="36" fillId="0" borderId="0" xfId="0" applyNumberFormat="1" applyFont="1" applyAlignment="1">
      <alignment vertical="center"/>
    </xf>
    <xf numFmtId="43" fontId="36" fillId="0" borderId="0" xfId="32" applyFont="1" applyFill="1" applyBorder="1" applyAlignment="1">
      <alignment horizontal="left" vertical="center" wrapText="1"/>
    </xf>
    <xf numFmtId="183" fontId="36" fillId="0" borderId="0" xfId="1" applyNumberFormat="1" applyFont="1" applyFill="1" applyBorder="1" applyAlignment="1">
      <alignment horizontal="left" vertical="center" wrapText="1"/>
    </xf>
    <xf numFmtId="183" fontId="36" fillId="0" borderId="0" xfId="1" applyNumberFormat="1" applyFont="1" applyFill="1" applyBorder="1" applyAlignment="1">
      <alignment horizontal="right" vertical="center" wrapText="1"/>
    </xf>
    <xf numFmtId="43" fontId="39" fillId="0" borderId="0" xfId="32" applyFont="1" applyFill="1" applyBorder="1" applyAlignment="1">
      <alignment horizontal="left" vertical="center" wrapText="1"/>
    </xf>
    <xf numFmtId="183" fontId="39" fillId="0" borderId="0" xfId="1" applyNumberFormat="1" applyFont="1" applyFill="1" applyBorder="1" applyAlignment="1">
      <alignment horizontal="left" vertical="center" wrapText="1"/>
    </xf>
    <xf numFmtId="183" fontId="39" fillId="0" borderId="0" xfId="1" applyNumberFormat="1" applyFont="1" applyFill="1" applyBorder="1" applyAlignment="1">
      <alignment horizontal="right" vertical="center" wrapText="1"/>
    </xf>
    <xf numFmtId="43" fontId="39" fillId="0" borderId="0" xfId="1" applyFont="1" applyFill="1" applyBorder="1" applyAlignment="1">
      <alignment horizontal="right" vertical="center" wrapText="1"/>
    </xf>
    <xf numFmtId="43" fontId="36" fillId="0" borderId="0" xfId="1" applyFont="1" applyFill="1" applyBorder="1" applyAlignment="1">
      <alignment horizontal="right" vertical="center" wrapText="1"/>
    </xf>
    <xf numFmtId="0" fontId="37" fillId="24" borderId="0" xfId="0" applyFont="1" applyFill="1" applyAlignment="1">
      <alignment horizontal="left" vertical="center"/>
    </xf>
    <xf numFmtId="183" fontId="37" fillId="24" borderId="0" xfId="1" applyNumberFormat="1" applyFont="1" applyFill="1" applyAlignment="1">
      <alignment horizontal="left" vertical="center"/>
    </xf>
    <xf numFmtId="183" fontId="37" fillId="24" borderId="0" xfId="1" applyNumberFormat="1" applyFont="1" applyFill="1" applyAlignment="1">
      <alignment horizontal="right" vertical="center"/>
    </xf>
    <xf numFmtId="43" fontId="37" fillId="24" borderId="0" xfId="1" applyFont="1" applyFill="1" applyAlignment="1">
      <alignment horizontal="right" vertical="center"/>
    </xf>
    <xf numFmtId="183" fontId="37" fillId="24" borderId="0" xfId="1" applyNumberFormat="1" applyFont="1" applyFill="1" applyBorder="1" applyAlignment="1">
      <alignment vertical="center"/>
    </xf>
    <xf numFmtId="1" fontId="37" fillId="24" borderId="0" xfId="0" applyNumberFormat="1" applyFont="1" applyFill="1" applyAlignment="1">
      <alignment vertical="center"/>
    </xf>
    <xf numFmtId="183" fontId="40" fillId="24" borderId="0" xfId="0" applyNumberFormat="1" applyFont="1" applyFill="1" applyAlignment="1">
      <alignment horizontal="center" vertical="center"/>
    </xf>
    <xf numFmtId="183" fontId="37" fillId="24" borderId="0" xfId="0" applyNumberFormat="1" applyFont="1" applyFill="1" applyAlignment="1">
      <alignment horizontal="center" vertical="center"/>
    </xf>
    <xf numFmtId="183" fontId="37" fillId="24" borderId="0" xfId="0" applyNumberFormat="1" applyFont="1" applyFill="1" applyAlignment="1">
      <alignment vertical="center"/>
    </xf>
    <xf numFmtId="0" fontId="36" fillId="0" borderId="0" xfId="0" applyFont="1" applyAlignment="1">
      <alignment horizontal="right" vertical="center"/>
    </xf>
    <xf numFmtId="183" fontId="36" fillId="0" borderId="0" xfId="1" applyNumberFormat="1" applyFont="1" applyAlignment="1">
      <alignment horizontal="center" vertical="center"/>
    </xf>
    <xf numFmtId="43" fontId="36" fillId="0" borderId="0" xfId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0" fontId="6" fillId="0" borderId="0" xfId="0" applyFont="1"/>
    <xf numFmtId="182" fontId="6" fillId="32" borderId="0" xfId="0" applyNumberFormat="1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182" fontId="6" fillId="0" borderId="0" xfId="1" applyNumberFormat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9" fontId="6" fillId="0" borderId="0" xfId="2" applyFont="1" applyAlignment="1">
      <alignment horizontal="center" vertical="center"/>
    </xf>
    <xf numFmtId="187" fontId="6" fillId="0" borderId="0" xfId="2" applyNumberFormat="1" applyFont="1" applyAlignment="1">
      <alignment horizontal="center" vertical="center"/>
    </xf>
    <xf numFmtId="0" fontId="41" fillId="0" borderId="0" xfId="0" applyFont="1"/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10" fontId="6" fillId="0" borderId="0" xfId="2" applyNumberFormat="1" applyFont="1" applyAlignment="1">
      <alignment horizontal="center" vertical="center"/>
    </xf>
    <xf numFmtId="185" fontId="6" fillId="0" borderId="0" xfId="0" applyNumberFormat="1" applyFont="1" applyAlignment="1">
      <alignment horizontal="center" vertical="center"/>
    </xf>
    <xf numFmtId="43" fontId="6" fillId="0" borderId="0" xfId="1" applyFont="1" applyAlignment="1">
      <alignment horizontal="right" vertical="center"/>
    </xf>
    <xf numFmtId="10" fontId="6" fillId="0" borderId="0" xfId="2" applyNumberFormat="1" applyFont="1" applyAlignment="1">
      <alignment horizontal="right" vertical="center"/>
    </xf>
    <xf numFmtId="49" fontId="6" fillId="0" borderId="0" xfId="0" applyNumberFormat="1" applyFont="1"/>
    <xf numFmtId="187" fontId="6" fillId="0" borderId="0" xfId="2" applyNumberFormat="1" applyFont="1" applyAlignment="1">
      <alignment horizontal="right" vertical="center"/>
    </xf>
    <xf numFmtId="0" fontId="6" fillId="29" borderId="0" xfId="0" applyFont="1" applyFill="1" applyAlignment="1">
      <alignment vertical="center"/>
    </xf>
    <xf numFmtId="0" fontId="6" fillId="3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86" fontId="6" fillId="0" borderId="0" xfId="1" applyNumberFormat="1" applyFont="1" applyAlignment="1">
      <alignment vertical="center"/>
    </xf>
    <xf numFmtId="10" fontId="6" fillId="0" borderId="0" xfId="2" applyNumberFormat="1" applyFont="1" applyAlignment="1">
      <alignment vertical="center"/>
    </xf>
    <xf numFmtId="43" fontId="34" fillId="0" borderId="0" xfId="0" applyNumberFormat="1" applyFont="1" applyAlignment="1">
      <alignment vertical="center"/>
    </xf>
    <xf numFmtId="186" fontId="29" fillId="7" borderId="168" xfId="1" applyNumberFormat="1" applyFont="1" applyFill="1" applyBorder="1" applyAlignment="1">
      <alignment horizontal="center" vertical="center" wrapText="1"/>
    </xf>
    <xf numFmtId="10" fontId="30" fillId="7" borderId="168" xfId="2" applyNumberFormat="1" applyFont="1" applyFill="1" applyBorder="1" applyAlignment="1">
      <alignment horizontal="center" vertical="center" wrapText="1"/>
    </xf>
    <xf numFmtId="186" fontId="29" fillId="4" borderId="168" xfId="1" applyNumberFormat="1" applyFont="1" applyFill="1" applyBorder="1" applyAlignment="1">
      <alignment horizontal="center" vertical="center" wrapText="1"/>
    </xf>
    <xf numFmtId="10" fontId="30" fillId="4" borderId="168" xfId="2" applyNumberFormat="1" applyFont="1" applyFill="1" applyBorder="1" applyAlignment="1">
      <alignment horizontal="center" vertical="center" wrapText="1"/>
    </xf>
    <xf numFmtId="10" fontId="29" fillId="4" borderId="168" xfId="2" applyNumberFormat="1" applyFont="1" applyFill="1" applyBorder="1" applyAlignment="1">
      <alignment horizontal="center" vertical="center" wrapText="1"/>
    </xf>
    <xf numFmtId="10" fontId="29" fillId="7" borderId="168" xfId="2" applyNumberFormat="1" applyFont="1" applyFill="1" applyBorder="1" applyAlignment="1">
      <alignment horizontal="center" vertical="center" wrapText="1"/>
    </xf>
    <xf numFmtId="0" fontId="6" fillId="29" borderId="0" xfId="0" applyFont="1" applyFill="1" applyAlignment="1">
      <alignment horizontal="left" vertical="center"/>
    </xf>
    <xf numFmtId="0" fontId="31" fillId="34" borderId="0" xfId="0" applyFont="1" applyFill="1" applyAlignment="1">
      <alignment horizontal="center" vertical="center"/>
    </xf>
    <xf numFmtId="186" fontId="29" fillId="34" borderId="0" xfId="1" applyNumberFormat="1" applyFont="1" applyFill="1" applyBorder="1" applyAlignment="1">
      <alignment horizontal="right" vertical="center" wrapText="1"/>
    </xf>
    <xf numFmtId="10" fontId="30" fillId="34" borderId="0" xfId="2" applyNumberFormat="1" applyFont="1" applyFill="1" applyBorder="1" applyAlignment="1">
      <alignment horizontal="right" vertical="center" wrapText="1"/>
    </xf>
    <xf numFmtId="187" fontId="30" fillId="34" borderId="0" xfId="2" applyNumberFormat="1" applyFont="1" applyFill="1" applyBorder="1" applyAlignment="1">
      <alignment horizontal="right" vertical="center" wrapText="1"/>
    </xf>
    <xf numFmtId="10" fontId="29" fillId="34" borderId="0" xfId="2" applyNumberFormat="1" applyFont="1" applyFill="1" applyBorder="1" applyAlignment="1">
      <alignment horizontal="right" vertical="center" wrapText="1"/>
    </xf>
    <xf numFmtId="43" fontId="34" fillId="34" borderId="0" xfId="0" applyNumberFormat="1" applyFont="1" applyFill="1" applyAlignment="1">
      <alignment vertical="center"/>
    </xf>
    <xf numFmtId="0" fontId="6" fillId="34" borderId="0" xfId="0" applyFont="1" applyFill="1" applyAlignment="1">
      <alignment horizontal="left" vertical="center"/>
    </xf>
    <xf numFmtId="186" fontId="6" fillId="0" borderId="0" xfId="1" applyNumberFormat="1" applyFont="1" applyBorder="1" applyAlignment="1">
      <alignment vertical="center"/>
    </xf>
    <xf numFmtId="10" fontId="6" fillId="0" borderId="0" xfId="2" applyNumberFormat="1" applyFont="1" applyBorder="1" applyAlignment="1">
      <alignment vertical="center"/>
    </xf>
    <xf numFmtId="186" fontId="6" fillId="0" borderId="0" xfId="2" applyNumberFormat="1" applyFont="1" applyBorder="1" applyAlignment="1">
      <alignment vertical="center"/>
    </xf>
    <xf numFmtId="43" fontId="6" fillId="0" borderId="0" xfId="1" applyFont="1" applyBorder="1" applyAlignment="1">
      <alignment vertical="center"/>
    </xf>
    <xf numFmtId="183" fontId="6" fillId="0" borderId="0" xfId="1" applyNumberFormat="1" applyFont="1" applyBorder="1" applyAlignment="1">
      <alignment vertical="center"/>
    </xf>
    <xf numFmtId="43" fontId="6" fillId="0" borderId="0" xfId="1" applyFont="1" applyAlignment="1">
      <alignment vertical="center"/>
    </xf>
    <xf numFmtId="0" fontId="6" fillId="22" borderId="0" xfId="0" applyFont="1" applyFill="1" applyAlignment="1">
      <alignment vertical="center"/>
    </xf>
    <xf numFmtId="43" fontId="29" fillId="7" borderId="168" xfId="1" applyFont="1" applyFill="1" applyBorder="1" applyAlignment="1">
      <alignment horizontal="center" vertical="center" wrapText="1"/>
    </xf>
    <xf numFmtId="43" fontId="29" fillId="4" borderId="168" xfId="1" applyFont="1" applyFill="1" applyBorder="1" applyAlignment="1">
      <alignment horizontal="center" vertical="center" wrapText="1"/>
    </xf>
    <xf numFmtId="43" fontId="29" fillId="34" borderId="0" xfId="1" applyFont="1" applyFill="1" applyBorder="1" applyAlignment="1">
      <alignment horizontal="right" vertical="center" wrapText="1"/>
    </xf>
    <xf numFmtId="0" fontId="6" fillId="34" borderId="0" xfId="0" applyFont="1" applyFill="1" applyAlignment="1">
      <alignment horizontal="center" vertical="center"/>
    </xf>
    <xf numFmtId="43" fontId="6" fillId="34" borderId="0" xfId="1" applyFont="1" applyFill="1" applyAlignment="1">
      <alignment vertical="center"/>
    </xf>
    <xf numFmtId="183" fontId="6" fillId="0" borderId="0" xfId="1" applyNumberFormat="1" applyFont="1" applyBorder="1" applyAlignment="1">
      <alignment horizontal="right" vertical="center"/>
    </xf>
    <xf numFmtId="1" fontId="6" fillId="0" borderId="0" xfId="0" applyNumberFormat="1" applyFont="1" applyAlignment="1">
      <alignment vertical="center"/>
    </xf>
    <xf numFmtId="43" fontId="6" fillId="22" borderId="0" xfId="1" applyFont="1" applyFill="1" applyBorder="1" applyAlignment="1">
      <alignment vertical="center"/>
    </xf>
    <xf numFmtId="43" fontId="6" fillId="0" borderId="0" xfId="1" applyFont="1" applyFill="1" applyBorder="1" applyAlignment="1">
      <alignment vertical="center"/>
    </xf>
    <xf numFmtId="43" fontId="6" fillId="0" borderId="0" xfId="1" applyFont="1" applyFill="1" applyBorder="1" applyAlignment="1">
      <alignment horizontal="center" vertical="center"/>
    </xf>
    <xf numFmtId="9" fontId="6" fillId="0" borderId="0" xfId="2" applyFont="1" applyFill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43" fontId="37" fillId="0" borderId="0" xfId="1" applyFont="1" applyFill="1" applyBorder="1" applyAlignment="1">
      <alignment horizontal="center" vertical="center"/>
    </xf>
    <xf numFmtId="43" fontId="37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43" fontId="36" fillId="0" borderId="0" xfId="1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9" fontId="37" fillId="0" borderId="0" xfId="2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43" fontId="37" fillId="22" borderId="0" xfId="1" applyFont="1" applyFill="1" applyBorder="1" applyAlignment="1">
      <alignment horizontal="center" vertical="center"/>
    </xf>
    <xf numFmtId="0" fontId="37" fillId="22" borderId="0" xfId="0" applyFont="1" applyFill="1" applyAlignment="1">
      <alignment horizontal="center" vertical="center"/>
    </xf>
    <xf numFmtId="9" fontId="37" fillId="0" borderId="0" xfId="2" applyFont="1" applyFill="1" applyBorder="1" applyAlignment="1">
      <alignment horizontal="center" vertical="center"/>
    </xf>
    <xf numFmtId="43" fontId="37" fillId="0" borderId="0" xfId="1" applyFont="1" applyFill="1" applyBorder="1" applyAlignment="1">
      <alignment horizontal="center" vertical="center" wrapText="1"/>
    </xf>
    <xf numFmtId="43" fontId="41" fillId="0" borderId="0" xfId="1" applyFont="1" applyFill="1" applyBorder="1" applyAlignment="1">
      <alignment horizontal="center" vertical="center"/>
    </xf>
    <xf numFmtId="188" fontId="41" fillId="0" borderId="0" xfId="9" applyNumberFormat="1" applyFont="1" applyFill="1" applyBorder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43" fontId="42" fillId="22" borderId="0" xfId="1" applyFont="1" applyFill="1" applyBorder="1" applyAlignment="1">
      <alignment vertical="center"/>
    </xf>
    <xf numFmtId="0" fontId="6" fillId="22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left" vertical="center"/>
    </xf>
    <xf numFmtId="43" fontId="6" fillId="22" borderId="0" xfId="1" applyFont="1" applyFill="1" applyBorder="1" applyAlignment="1">
      <alignment horizontal="center" vertical="center"/>
    </xf>
    <xf numFmtId="182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186" fontId="6" fillId="0" borderId="0" xfId="0" applyNumberFormat="1" applyFont="1" applyAlignment="1">
      <alignment vertical="center"/>
    </xf>
    <xf numFmtId="182" fontId="29" fillId="7" borderId="164" xfId="25" applyNumberFormat="1" applyFont="1" applyFill="1" applyBorder="1" applyAlignment="1">
      <alignment horizontal="center" vertical="center" wrapText="1"/>
    </xf>
    <xf numFmtId="9" fontId="30" fillId="7" borderId="164" xfId="25" applyNumberFormat="1" applyFont="1" applyFill="1" applyBorder="1" applyAlignment="1">
      <alignment horizontal="center" vertical="center" wrapText="1"/>
    </xf>
    <xf numFmtId="10" fontId="43" fillId="22" borderId="168" xfId="2" applyNumberFormat="1" applyFont="1" applyFill="1" applyBorder="1" applyAlignment="1">
      <alignment horizontal="center" vertical="center" wrapText="1"/>
    </xf>
    <xf numFmtId="182" fontId="29" fillId="4" borderId="164" xfId="25" applyNumberFormat="1" applyFont="1" applyFill="1" applyBorder="1" applyAlignment="1">
      <alignment horizontal="center" vertical="center" wrapText="1"/>
    </xf>
    <xf numFmtId="9" fontId="30" fillId="4" borderId="164" xfId="25" applyNumberFormat="1" applyFont="1" applyFill="1" applyBorder="1" applyAlignment="1">
      <alignment horizontal="center" vertical="center" wrapText="1"/>
    </xf>
    <xf numFmtId="186" fontId="29" fillId="4" borderId="164" xfId="25" applyNumberFormat="1" applyFont="1" applyFill="1" applyBorder="1" applyAlignment="1">
      <alignment horizontal="center" vertical="center" wrapText="1"/>
    </xf>
    <xf numFmtId="9" fontId="29" fillId="4" borderId="164" xfId="25" applyNumberFormat="1" applyFont="1" applyFill="1" applyBorder="1" applyAlignment="1">
      <alignment horizontal="center" vertical="center" wrapText="1"/>
    </xf>
    <xf numFmtId="9" fontId="29" fillId="7" borderId="164" xfId="25" applyNumberFormat="1" applyFont="1" applyFill="1" applyBorder="1" applyAlignment="1">
      <alignment horizontal="center" vertical="center" wrapText="1"/>
    </xf>
    <xf numFmtId="186" fontId="29" fillId="7" borderId="164" xfId="25" applyNumberFormat="1" applyFont="1" applyFill="1" applyBorder="1" applyAlignment="1">
      <alignment horizontal="center" vertical="center" wrapText="1"/>
    </xf>
    <xf numFmtId="0" fontId="31" fillId="34" borderId="164" xfId="0" applyFont="1" applyFill="1" applyBorder="1" applyAlignment="1">
      <alignment vertical="center"/>
    </xf>
    <xf numFmtId="180" fontId="29" fillId="34" borderId="164" xfId="25" applyNumberFormat="1" applyFont="1" applyFill="1" applyBorder="1" applyAlignment="1">
      <alignment vertical="center" wrapText="1"/>
    </xf>
    <xf numFmtId="180" fontId="29" fillId="34" borderId="164" xfId="1" applyNumberFormat="1" applyFont="1" applyFill="1" applyBorder="1" applyAlignment="1">
      <alignment horizontal="right" vertical="center" wrapText="1"/>
    </xf>
    <xf numFmtId="9" fontId="29" fillId="34" borderId="164" xfId="2" applyFont="1" applyFill="1" applyBorder="1" applyAlignment="1">
      <alignment horizontal="right" vertical="center" wrapText="1"/>
    </xf>
    <xf numFmtId="9" fontId="29" fillId="34" borderId="164" xfId="25" applyNumberFormat="1" applyFont="1" applyFill="1" applyBorder="1" applyAlignment="1">
      <alignment vertical="center" wrapText="1"/>
    </xf>
    <xf numFmtId="181" fontId="29" fillId="34" borderId="164" xfId="25" applyNumberFormat="1" applyFont="1" applyFill="1" applyBorder="1" applyAlignment="1">
      <alignment vertical="center" wrapText="1"/>
    </xf>
    <xf numFmtId="182" fontId="29" fillId="34" borderId="164" xfId="25" applyNumberFormat="1" applyFont="1" applyFill="1" applyBorder="1" applyAlignment="1">
      <alignment vertical="center" wrapText="1"/>
    </xf>
    <xf numFmtId="0" fontId="6" fillId="0" borderId="174" xfId="0" applyFont="1" applyBorder="1" applyAlignment="1">
      <alignment horizontal="center" vertical="center"/>
    </xf>
    <xf numFmtId="0" fontId="44" fillId="0" borderId="164" xfId="3" applyNumberFormat="1" applyFont="1" applyBorder="1" applyAlignment="1">
      <alignment horizontal="center" vertical="center"/>
    </xf>
    <xf numFmtId="180" fontId="6" fillId="33" borderId="164" xfId="24" applyNumberFormat="1" applyFont="1" applyFill="1" applyBorder="1" applyAlignment="1">
      <alignment horizontal="right" vertical="center"/>
    </xf>
    <xf numFmtId="9" fontId="6" fillId="33" borderId="164" xfId="2" applyFont="1" applyFill="1" applyBorder="1" applyAlignment="1">
      <alignment horizontal="right" vertical="center"/>
    </xf>
    <xf numFmtId="180" fontId="6" fillId="9" borderId="164" xfId="24" applyNumberFormat="1" applyFont="1" applyFill="1" applyBorder="1" applyAlignment="1">
      <alignment horizontal="right" vertical="center"/>
    </xf>
    <xf numFmtId="9" fontId="6" fillId="9" borderId="164" xfId="2" applyFont="1" applyFill="1" applyBorder="1" applyAlignment="1">
      <alignment horizontal="right" vertical="center"/>
    </xf>
    <xf numFmtId="186" fontId="6" fillId="9" borderId="164" xfId="24" applyNumberFormat="1" applyFont="1" applyFill="1" applyBorder="1" applyAlignment="1">
      <alignment horizontal="right" vertical="center"/>
    </xf>
    <xf numFmtId="182" fontId="6" fillId="33" borderId="164" xfId="2" applyNumberFormat="1" applyFont="1" applyFill="1" applyBorder="1" applyAlignment="1">
      <alignment horizontal="right" vertical="center"/>
    </xf>
    <xf numFmtId="186" fontId="6" fillId="33" borderId="164" xfId="2" applyNumberFormat="1" applyFont="1" applyFill="1" applyBorder="1" applyAlignment="1">
      <alignment horizontal="right" vertical="center"/>
    </xf>
    <xf numFmtId="186" fontId="6" fillId="9" borderId="164" xfId="2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76" fontId="30" fillId="7" borderId="164" xfId="25" applyFont="1" applyFill="1" applyBorder="1" applyAlignment="1">
      <alignment horizontal="center" vertical="center" wrapText="1"/>
    </xf>
    <xf numFmtId="176" fontId="30" fillId="4" borderId="164" xfId="25" applyFont="1" applyFill="1" applyBorder="1" applyAlignment="1">
      <alignment horizontal="center" vertical="center" wrapText="1"/>
    </xf>
    <xf numFmtId="176" fontId="29" fillId="4" borderId="164" xfId="25" applyFont="1" applyFill="1" applyBorder="1" applyAlignment="1">
      <alignment horizontal="center" vertical="center" wrapText="1"/>
    </xf>
    <xf numFmtId="176" fontId="29" fillId="7" borderId="164" xfId="25" applyFont="1" applyFill="1" applyBorder="1" applyAlignment="1">
      <alignment horizontal="center" vertical="center" wrapText="1"/>
    </xf>
    <xf numFmtId="0" fontId="31" fillId="34" borderId="164" xfId="0" applyFont="1" applyFill="1" applyBorder="1" applyAlignment="1">
      <alignment horizontal="center" vertical="center"/>
    </xf>
    <xf numFmtId="179" fontId="29" fillId="34" borderId="164" xfId="1" applyNumberFormat="1" applyFont="1" applyFill="1" applyBorder="1" applyAlignment="1">
      <alignment horizontal="right" vertical="center" wrapText="1"/>
    </xf>
    <xf numFmtId="181" fontId="29" fillId="34" borderId="164" xfId="1" applyNumberFormat="1" applyFont="1" applyFill="1" applyBorder="1" applyAlignment="1">
      <alignment horizontal="right" vertical="center" wrapText="1"/>
    </xf>
    <xf numFmtId="182" fontId="29" fillId="34" borderId="164" xfId="25" applyNumberFormat="1" applyFont="1" applyFill="1" applyBorder="1" applyAlignment="1">
      <alignment horizontal="right" vertical="center" wrapText="1"/>
    </xf>
    <xf numFmtId="9" fontId="30" fillId="34" borderId="164" xfId="2" applyFont="1" applyFill="1" applyBorder="1" applyAlignment="1">
      <alignment horizontal="right" vertical="center" wrapText="1"/>
    </xf>
    <xf numFmtId="180" fontId="6" fillId="33" borderId="164" xfId="1" applyNumberFormat="1" applyFont="1" applyFill="1" applyBorder="1" applyAlignment="1">
      <alignment horizontal="right" vertical="center"/>
    </xf>
    <xf numFmtId="0" fontId="55" fillId="0" borderId="0" xfId="0" applyFont="1" applyAlignment="1">
      <alignment vertical="center"/>
    </xf>
    <xf numFmtId="43" fontId="29" fillId="4" borderId="164" xfId="1" applyFont="1" applyFill="1" applyBorder="1" applyAlignment="1">
      <alignment horizontal="center" vertical="center"/>
    </xf>
    <xf numFmtId="43" fontId="34" fillId="4" borderId="164" xfId="1" applyFont="1" applyFill="1" applyBorder="1">
      <alignment vertical="center"/>
    </xf>
    <xf numFmtId="43" fontId="29" fillId="7" borderId="164" xfId="1" applyFont="1" applyFill="1" applyBorder="1" applyAlignment="1">
      <alignment horizontal="center" vertical="center" wrapText="1"/>
    </xf>
    <xf numFmtId="43" fontId="34" fillId="7" borderId="164" xfId="1" applyFont="1" applyFill="1" applyBorder="1">
      <alignment vertical="center"/>
    </xf>
    <xf numFmtId="0" fontId="31" fillId="7" borderId="164" xfId="0" applyFont="1" applyFill="1" applyBorder="1" applyAlignment="1">
      <alignment horizontal="center" vertical="center"/>
    </xf>
    <xf numFmtId="0" fontId="31" fillId="7" borderId="168" xfId="0" applyFont="1" applyFill="1" applyBorder="1" applyAlignment="1">
      <alignment horizontal="center" vertical="center"/>
    </xf>
    <xf numFmtId="186" fontId="29" fillId="7" borderId="172" xfId="1" applyNumberFormat="1" applyFont="1" applyFill="1" applyBorder="1" applyAlignment="1">
      <alignment horizontal="center" vertical="center" wrapText="1"/>
    </xf>
    <xf numFmtId="186" fontId="29" fillId="7" borderId="173" xfId="1" applyNumberFormat="1" applyFont="1" applyFill="1" applyBorder="1" applyAlignment="1">
      <alignment horizontal="center" vertical="center" wrapText="1"/>
    </xf>
    <xf numFmtId="186" fontId="29" fillId="7" borderId="174" xfId="1" applyNumberFormat="1" applyFont="1" applyFill="1" applyBorder="1" applyAlignment="1">
      <alignment horizontal="center" vertical="center" wrapText="1"/>
    </xf>
    <xf numFmtId="186" fontId="29" fillId="4" borderId="172" xfId="1" applyNumberFormat="1" applyFont="1" applyFill="1" applyBorder="1" applyAlignment="1">
      <alignment horizontal="center" vertical="center" wrapText="1"/>
    </xf>
    <xf numFmtId="186" fontId="29" fillId="4" borderId="173" xfId="1" applyNumberFormat="1" applyFont="1" applyFill="1" applyBorder="1" applyAlignment="1">
      <alignment horizontal="center" vertical="center" wrapText="1"/>
    </xf>
    <xf numFmtId="186" fontId="29" fillId="4" borderId="174" xfId="1" applyNumberFormat="1" applyFont="1" applyFill="1" applyBorder="1" applyAlignment="1">
      <alignment horizontal="center" vertical="center" wrapText="1"/>
    </xf>
    <xf numFmtId="43" fontId="29" fillId="4" borderId="164" xfId="1" applyFont="1" applyFill="1" applyBorder="1" applyAlignment="1">
      <alignment horizontal="center" vertical="center" wrapText="1"/>
    </xf>
    <xf numFmtId="43" fontId="29" fillId="7" borderId="164" xfId="1" applyFont="1" applyFill="1" applyBorder="1" applyAlignment="1">
      <alignment horizontal="center" vertical="center"/>
    </xf>
    <xf numFmtId="176" fontId="29" fillId="4" borderId="172" xfId="25" applyFont="1" applyFill="1" applyBorder="1" applyAlignment="1">
      <alignment horizontal="center" vertical="center"/>
    </xf>
    <xf numFmtId="176" fontId="34" fillId="4" borderId="173" xfId="25" applyFont="1" applyFill="1" applyBorder="1">
      <alignment vertical="center"/>
    </xf>
    <xf numFmtId="176" fontId="34" fillId="4" borderId="174" xfId="25" applyFont="1" applyFill="1" applyBorder="1">
      <alignment vertical="center"/>
    </xf>
    <xf numFmtId="176" fontId="29" fillId="7" borderId="172" xfId="25" applyFont="1" applyFill="1" applyBorder="1" applyAlignment="1">
      <alignment horizontal="center" vertical="center" wrapText="1"/>
    </xf>
    <xf numFmtId="176" fontId="34" fillId="7" borderId="173" xfId="25" applyFont="1" applyFill="1" applyBorder="1">
      <alignment vertical="center"/>
    </xf>
    <xf numFmtId="176" fontId="34" fillId="7" borderId="174" xfId="25" applyFont="1" applyFill="1" applyBorder="1">
      <alignment vertical="center"/>
    </xf>
    <xf numFmtId="0" fontId="31" fillId="7" borderId="175" xfId="0" applyFont="1" applyFill="1" applyBorder="1" applyAlignment="1">
      <alignment horizontal="center" vertical="center"/>
    </xf>
    <xf numFmtId="0" fontId="31" fillId="7" borderId="27" xfId="0" applyFont="1" applyFill="1" applyBorder="1" applyAlignment="1">
      <alignment horizontal="center" vertical="center"/>
    </xf>
    <xf numFmtId="0" fontId="31" fillId="7" borderId="177" xfId="0" applyFont="1" applyFill="1" applyBorder="1" applyAlignment="1">
      <alignment horizontal="center" vertical="center"/>
    </xf>
    <xf numFmtId="0" fontId="31" fillId="7" borderId="176" xfId="0" applyFont="1" applyFill="1" applyBorder="1" applyAlignment="1">
      <alignment horizontal="center" vertical="center"/>
    </xf>
    <xf numFmtId="176" fontId="29" fillId="4" borderId="172" xfId="25" applyFont="1" applyFill="1" applyBorder="1" applyAlignment="1">
      <alignment horizontal="center" vertical="center" wrapText="1"/>
    </xf>
    <xf numFmtId="176" fontId="29" fillId="4" borderId="174" xfId="25" applyFont="1" applyFill="1" applyBorder="1" applyAlignment="1">
      <alignment horizontal="center" vertical="center" wrapText="1"/>
    </xf>
    <xf numFmtId="176" fontId="29" fillId="7" borderId="172" xfId="25" applyFont="1" applyFill="1" applyBorder="1" applyAlignment="1">
      <alignment horizontal="center" vertical="center"/>
    </xf>
    <xf numFmtId="176" fontId="29" fillId="7" borderId="173" xfId="25" applyFont="1" applyFill="1" applyBorder="1" applyAlignment="1">
      <alignment horizontal="center" vertical="center"/>
    </xf>
    <xf numFmtId="176" fontId="29" fillId="7" borderId="174" xfId="25" applyFont="1" applyFill="1" applyBorder="1" applyAlignment="1">
      <alignment horizontal="center" vertical="center"/>
    </xf>
    <xf numFmtId="176" fontId="29" fillId="7" borderId="173" xfId="25" applyFont="1" applyFill="1" applyBorder="1" applyAlignment="1">
      <alignment horizontal="center" vertical="center" wrapText="1"/>
    </xf>
    <xf numFmtId="176" fontId="29" fillId="7" borderId="174" xfId="25" applyFont="1" applyFill="1" applyBorder="1" applyAlignment="1">
      <alignment horizontal="center" vertical="center" wrapText="1"/>
    </xf>
    <xf numFmtId="176" fontId="29" fillId="4" borderId="173" xfId="25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43" fontId="37" fillId="0" borderId="0" xfId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43" fontId="36" fillId="0" borderId="0" xfId="32" applyFont="1" applyFill="1" applyBorder="1" applyAlignment="1">
      <alignment horizontal="left" vertical="center"/>
    </xf>
    <xf numFmtId="0" fontId="27" fillId="4" borderId="155" xfId="0" applyFont="1" applyFill="1" applyBorder="1" applyAlignment="1">
      <alignment horizontal="center" vertical="center" wrapText="1"/>
    </xf>
    <xf numFmtId="0" fontId="27" fillId="4" borderId="156" xfId="0" applyFont="1" applyFill="1" applyBorder="1" applyAlignment="1">
      <alignment horizontal="center" vertical="center" wrapText="1"/>
    </xf>
    <xf numFmtId="0" fontId="27" fillId="12" borderId="156" xfId="0" applyFont="1" applyFill="1" applyBorder="1" applyAlignment="1">
      <alignment horizontal="center" vertical="center"/>
    </xf>
    <xf numFmtId="0" fontId="27" fillId="4" borderId="156" xfId="0" applyFont="1" applyFill="1" applyBorder="1" applyAlignment="1">
      <alignment horizontal="center" vertical="center"/>
    </xf>
    <xf numFmtId="0" fontId="28" fillId="4" borderId="156" xfId="0" applyFont="1" applyFill="1" applyBorder="1" applyAlignment="1">
      <alignment vertical="center"/>
    </xf>
    <xf numFmtId="0" fontId="28" fillId="4" borderId="157" xfId="0" applyFont="1" applyFill="1" applyBorder="1" applyAlignment="1">
      <alignment vertical="center"/>
    </xf>
    <xf numFmtId="0" fontId="27" fillId="12" borderId="155" xfId="0" applyFont="1" applyFill="1" applyBorder="1" applyAlignment="1">
      <alignment horizontal="center" vertical="center" wrapText="1"/>
    </xf>
    <xf numFmtId="0" fontId="28" fillId="12" borderId="156" xfId="0" applyFont="1" applyFill="1" applyBorder="1" applyAlignment="1">
      <alignment vertical="center"/>
    </xf>
    <xf numFmtId="0" fontId="28" fillId="12" borderId="113" xfId="0" applyFont="1" applyFill="1" applyBorder="1" applyAlignment="1">
      <alignment vertical="center"/>
    </xf>
    <xf numFmtId="176" fontId="8" fillId="3" borderId="2" xfId="24" applyFont="1" applyFill="1" applyBorder="1" applyAlignment="1" applyProtection="1">
      <alignment horizontal="left" vertical="center" wrapText="1"/>
      <protection locked="0"/>
    </xf>
    <xf numFmtId="176" fontId="8" fillId="3" borderId="9" xfId="24" applyFont="1" applyFill="1" applyBorder="1" applyAlignment="1" applyProtection="1">
      <alignment horizontal="left" vertical="center" wrapText="1"/>
      <protection locked="0"/>
    </xf>
    <xf numFmtId="181" fontId="24" fillId="3" borderId="2" xfId="24" applyNumberFormat="1" applyFont="1" applyFill="1" applyBorder="1" applyAlignment="1">
      <alignment horizontal="left" vertical="center"/>
    </xf>
    <xf numFmtId="181" fontId="26" fillId="3" borderId="77" xfId="24" applyNumberFormat="1" applyFont="1" applyFill="1" applyBorder="1" applyAlignment="1">
      <alignment horizontal="left" vertical="center"/>
    </xf>
    <xf numFmtId="181" fontId="24" fillId="3" borderId="159" xfId="24" applyNumberFormat="1" applyFont="1" applyFill="1" applyBorder="1" applyAlignment="1">
      <alignment horizontal="left" vertical="center"/>
    </xf>
    <xf numFmtId="178" fontId="7" fillId="21" borderId="143" xfId="24" applyNumberFormat="1" applyFont="1" applyFill="1" applyBorder="1" applyAlignment="1">
      <alignment horizontal="center" vertical="center"/>
    </xf>
    <xf numFmtId="178" fontId="7" fillId="21" borderId="152" xfId="24" applyNumberFormat="1" applyFont="1" applyFill="1" applyBorder="1" applyAlignment="1">
      <alignment horizontal="center" vertical="center"/>
    </xf>
    <xf numFmtId="176" fontId="7" fillId="21" borderId="112" xfId="24" applyFont="1" applyFill="1" applyBorder="1" applyAlignment="1">
      <alignment horizontal="center" vertical="center"/>
    </xf>
    <xf numFmtId="176" fontId="7" fillId="21" borderId="44" xfId="24" applyFont="1" applyFill="1" applyBorder="1" applyAlignment="1">
      <alignment horizontal="center" vertical="center"/>
    </xf>
    <xf numFmtId="178" fontId="8" fillId="3" borderId="150" xfId="24" applyNumberFormat="1" applyFont="1" applyFill="1" applyBorder="1" applyAlignment="1">
      <alignment horizontal="center" vertical="center"/>
    </xf>
    <xf numFmtId="178" fontId="8" fillId="3" borderId="151" xfId="24" applyNumberFormat="1" applyFont="1" applyFill="1" applyBorder="1" applyAlignment="1">
      <alignment horizontal="center" vertical="center"/>
    </xf>
    <xf numFmtId="178" fontId="8" fillId="11" borderId="150" xfId="24" applyNumberFormat="1" applyFont="1" applyFill="1" applyBorder="1" applyAlignment="1">
      <alignment horizontal="center" vertical="center"/>
    </xf>
    <xf numFmtId="178" fontId="8" fillId="11" borderId="151" xfId="24" applyNumberFormat="1" applyFont="1" applyFill="1" applyBorder="1" applyAlignment="1">
      <alignment horizontal="center" vertical="center"/>
    </xf>
    <xf numFmtId="0" fontId="27" fillId="12" borderId="154" xfId="0" applyFont="1" applyFill="1" applyBorder="1" applyAlignment="1">
      <alignment horizontal="center" vertical="center" wrapText="1"/>
    </xf>
    <xf numFmtId="0" fontId="28" fillId="12" borderId="154" xfId="0" applyFont="1" applyFill="1" applyBorder="1" applyAlignment="1">
      <alignment vertical="center"/>
    </xf>
    <xf numFmtId="0" fontId="27" fillId="4" borderId="154" xfId="0" applyFont="1" applyFill="1" applyBorder="1" applyAlignment="1">
      <alignment horizontal="center" vertical="center" wrapText="1"/>
    </xf>
    <xf numFmtId="0" fontId="28" fillId="4" borderId="154" xfId="0" applyFont="1" applyFill="1" applyBorder="1" applyAlignment="1">
      <alignment vertical="center"/>
    </xf>
    <xf numFmtId="178" fontId="7" fillId="0" borderId="1" xfId="24" applyNumberFormat="1" applyFont="1" applyBorder="1" applyAlignment="1">
      <alignment horizontal="center" vertical="center"/>
    </xf>
    <xf numFmtId="178" fontId="8" fillId="3" borderId="3" xfId="97" applyNumberFormat="1" applyFont="1" applyFill="1" applyBorder="1" applyAlignment="1" applyProtection="1">
      <alignment horizontal="center" vertical="center"/>
      <protection locked="0"/>
    </xf>
    <xf numFmtId="178" fontId="8" fillId="3" borderId="4" xfId="97" applyNumberFormat="1" applyFont="1" applyFill="1" applyBorder="1" applyAlignment="1" applyProtection="1">
      <alignment horizontal="center" vertical="center"/>
      <protection locked="0"/>
    </xf>
    <xf numFmtId="178" fontId="8" fillId="4" borderId="5" xfId="97" applyNumberFormat="1" applyFont="1" applyFill="1" applyBorder="1" applyAlignment="1" applyProtection="1">
      <alignment horizontal="center" vertical="center"/>
      <protection locked="0"/>
    </xf>
    <xf numFmtId="178" fontId="8" fillId="4" borderId="3" xfId="97" applyNumberFormat="1" applyFont="1" applyFill="1" applyBorder="1" applyAlignment="1" applyProtection="1">
      <alignment horizontal="center" vertical="center"/>
      <protection locked="0"/>
    </xf>
    <xf numFmtId="178" fontId="8" fillId="4" borderId="6" xfId="97" applyNumberFormat="1" applyFont="1" applyFill="1" applyBorder="1" applyAlignment="1" applyProtection="1">
      <alignment horizontal="center" vertical="center"/>
      <protection locked="0"/>
    </xf>
    <xf numFmtId="176" fontId="8" fillId="5" borderId="7" xfId="24" applyFont="1" applyFill="1" applyBorder="1" applyAlignment="1">
      <alignment horizontal="center" vertical="center"/>
    </xf>
    <xf numFmtId="176" fontId="8" fillId="5" borderId="8" xfId="24" applyFont="1" applyFill="1" applyBorder="1" applyAlignment="1">
      <alignment horizontal="center" vertical="center"/>
    </xf>
    <xf numFmtId="181" fontId="25" fillId="3" borderId="141" xfId="24" applyNumberFormat="1" applyFont="1" applyFill="1" applyBorder="1" applyAlignment="1">
      <alignment horizontal="center" vertical="center"/>
    </xf>
    <xf numFmtId="181" fontId="25" fillId="3" borderId="73" xfId="24" applyNumberFormat="1" applyFont="1" applyFill="1" applyBorder="1" applyAlignment="1">
      <alignment horizontal="center" vertical="center"/>
    </xf>
    <xf numFmtId="181" fontId="25" fillId="3" borderId="142" xfId="24" applyNumberFormat="1" applyFont="1" applyFill="1" applyBorder="1" applyAlignment="1">
      <alignment horizontal="center" vertical="center"/>
    </xf>
    <xf numFmtId="181" fontId="25" fillId="4" borderId="141" xfId="24" applyNumberFormat="1" applyFont="1" applyFill="1" applyBorder="1" applyAlignment="1">
      <alignment horizontal="center" vertical="center"/>
    </xf>
    <xf numFmtId="181" fontId="25" fillId="4" borderId="73" xfId="24" applyNumberFormat="1" applyFont="1" applyFill="1" applyBorder="1" applyAlignment="1">
      <alignment horizontal="center" vertical="center"/>
    </xf>
    <xf numFmtId="181" fontId="25" fillId="4" borderId="142" xfId="24" applyNumberFormat="1" applyFont="1" applyFill="1" applyBorder="1" applyAlignment="1">
      <alignment horizontal="center" vertical="center"/>
    </xf>
    <xf numFmtId="176" fontId="8" fillId="5" borderId="143" xfId="24" applyFont="1" applyFill="1" applyBorder="1" applyAlignment="1">
      <alignment horizontal="center" vertical="center"/>
    </xf>
    <xf numFmtId="176" fontId="8" fillId="5" borderId="112" xfId="24" applyFont="1" applyFill="1" applyBorder="1" applyAlignment="1">
      <alignment horizontal="center" vertical="center"/>
    </xf>
    <xf numFmtId="178" fontId="8" fillId="3" borderId="3" xfId="98" applyNumberFormat="1" applyFont="1" applyFill="1" applyBorder="1" applyAlignment="1" applyProtection="1">
      <alignment horizontal="center" vertical="center"/>
      <protection locked="0"/>
    </xf>
    <xf numFmtId="178" fontId="8" fillId="3" borderId="4" xfId="98" applyNumberFormat="1" applyFont="1" applyFill="1" applyBorder="1" applyAlignment="1" applyProtection="1">
      <alignment horizontal="center" vertical="center"/>
      <protection locked="0"/>
    </xf>
    <xf numFmtId="178" fontId="8" fillId="4" borderId="5" xfId="98" applyNumberFormat="1" applyFont="1" applyFill="1" applyBorder="1" applyAlignment="1" applyProtection="1">
      <alignment horizontal="center" vertical="center"/>
      <protection locked="0"/>
    </xf>
    <xf numFmtId="178" fontId="8" fillId="4" borderId="3" xfId="98" applyNumberFormat="1" applyFont="1" applyFill="1" applyBorder="1" applyAlignment="1" applyProtection="1">
      <alignment horizontal="center" vertical="center"/>
      <protection locked="0"/>
    </xf>
    <xf numFmtId="178" fontId="8" fillId="4" borderId="6" xfId="98" applyNumberFormat="1" applyFont="1" applyFill="1" applyBorder="1" applyAlignment="1" applyProtection="1">
      <alignment horizontal="center" vertical="center"/>
      <protection locked="0"/>
    </xf>
    <xf numFmtId="49" fontId="41" fillId="0" borderId="0" xfId="0" applyNumberFormat="1" applyFont="1"/>
    <xf numFmtId="49" fontId="41" fillId="0" borderId="0" xfId="0" applyNumberFormat="1" applyFont="1" applyAlignment="1">
      <alignment horizontal="center" vertical="center"/>
    </xf>
    <xf numFmtId="10" fontId="41" fillId="0" borderId="0" xfId="2" applyNumberFormat="1" applyFont="1" applyAlignment="1">
      <alignment horizontal="center" vertical="center"/>
    </xf>
    <xf numFmtId="43" fontId="41" fillId="0" borderId="0" xfId="1" applyFont="1" applyAlignment="1">
      <alignment horizontal="center" vertical="center"/>
    </xf>
    <xf numFmtId="0" fontId="41" fillId="0" borderId="0" xfId="0" applyFont="1" applyAlignment="1">
      <alignment horizontal="center"/>
    </xf>
    <xf numFmtId="185" fontId="41" fillId="0" borderId="0" xfId="0" applyNumberFormat="1" applyFont="1" applyAlignment="1">
      <alignment horizontal="center" vertical="center"/>
    </xf>
  </cellXfs>
  <cellStyles count="166">
    <cellStyle name="Normal_OOD.HOJO" xfId="4" xr:uid="{00000000-0005-0000-0000-000031000000}"/>
    <cellStyle name="百分比" xfId="2" builtinId="5"/>
    <cellStyle name="百分比 10" xfId="5" xr:uid="{00000000-0005-0000-0000-000032000000}"/>
    <cellStyle name="百分比 2" xfId="6" xr:uid="{00000000-0005-0000-0000-000033000000}"/>
    <cellStyle name="百分比 2 2" xfId="7" xr:uid="{00000000-0005-0000-0000-000034000000}"/>
    <cellStyle name="百分比 2 2 2" xfId="8" xr:uid="{00000000-0005-0000-0000-000035000000}"/>
    <cellStyle name="百分比 3" xfId="9" xr:uid="{00000000-0005-0000-0000-000036000000}"/>
    <cellStyle name="百分比 4" xfId="10" xr:uid="{00000000-0005-0000-0000-000037000000}"/>
    <cellStyle name="百分比 5" xfId="11" xr:uid="{00000000-0005-0000-0000-000038000000}"/>
    <cellStyle name="常规" xfId="0" builtinId="0"/>
    <cellStyle name="常规 13 2" xfId="12" xr:uid="{00000000-0005-0000-0000-000039000000}"/>
    <cellStyle name="常规 2" xfId="13" xr:uid="{00000000-0005-0000-0000-00003A000000}"/>
    <cellStyle name="常规 2 2" xfId="14" xr:uid="{00000000-0005-0000-0000-00003B000000}"/>
    <cellStyle name="常规 2 2 2" xfId="15" xr:uid="{00000000-0005-0000-0000-00003C000000}"/>
    <cellStyle name="常规 2 2 3" xfId="16" xr:uid="{00000000-0005-0000-0000-00003D000000}"/>
    <cellStyle name="常规 2 3" xfId="17" xr:uid="{00000000-0005-0000-0000-00003E000000}"/>
    <cellStyle name="常规 2 4" xfId="18" xr:uid="{00000000-0005-0000-0000-00003F000000}"/>
    <cellStyle name="常规 3" xfId="19" xr:uid="{00000000-0005-0000-0000-000040000000}"/>
    <cellStyle name="常规 3 2" xfId="20" xr:uid="{00000000-0005-0000-0000-000041000000}"/>
    <cellStyle name="常规 3 3" xfId="21" xr:uid="{00000000-0005-0000-0000-000042000000}"/>
    <cellStyle name="常规 4" xfId="22" xr:uid="{00000000-0005-0000-0000-000043000000}"/>
    <cellStyle name="常规 5" xfId="23" xr:uid="{00000000-0005-0000-0000-000044000000}"/>
    <cellStyle name="常规 6" xfId="24" xr:uid="{00000000-0005-0000-0000-000045000000}"/>
    <cellStyle name="常规 7" xfId="25" xr:uid="{00000000-0005-0000-0000-000046000000}"/>
    <cellStyle name="常规 8" xfId="26" xr:uid="{00000000-0005-0000-0000-000047000000}"/>
    <cellStyle name="超链接" xfId="3" builtinId="8"/>
    <cellStyle name="超链接 2" xfId="27" xr:uid="{00000000-0005-0000-0000-000048000000}"/>
    <cellStyle name="千位分隔" xfId="1" builtinId="3"/>
    <cellStyle name="千位分隔 10" xfId="28" xr:uid="{00000000-0005-0000-0000-000049000000}"/>
    <cellStyle name="千位分隔 10 2" xfId="29" xr:uid="{00000000-0005-0000-0000-00004A000000}"/>
    <cellStyle name="千位分隔 11" xfId="30" xr:uid="{00000000-0005-0000-0000-00004B000000}"/>
    <cellStyle name="千位分隔 2" xfId="31" xr:uid="{00000000-0005-0000-0000-00004C000000}"/>
    <cellStyle name="千位分隔 2 11" xfId="32" xr:uid="{00000000-0005-0000-0000-00004D000000}"/>
    <cellStyle name="千位分隔 2 2" xfId="33" xr:uid="{00000000-0005-0000-0000-00004E000000}"/>
    <cellStyle name="千位分隔 2 2 2" xfId="34" xr:uid="{00000000-0005-0000-0000-00004F000000}"/>
    <cellStyle name="千位分隔 2 2 2 2" xfId="35" xr:uid="{00000000-0005-0000-0000-000050000000}"/>
    <cellStyle name="千位分隔 2 2 2 2 2" xfId="36" xr:uid="{00000000-0005-0000-0000-000051000000}"/>
    <cellStyle name="千位分隔 2 2 2 2 2 2" xfId="37" xr:uid="{00000000-0005-0000-0000-000052000000}"/>
    <cellStyle name="千位分隔 2 2 2 2 2 2 2" xfId="38" xr:uid="{00000000-0005-0000-0000-000053000000}"/>
    <cellStyle name="千位分隔 2 2 2 2 2 3" xfId="39" xr:uid="{00000000-0005-0000-0000-000054000000}"/>
    <cellStyle name="千位分隔 2 2 2 2 3" xfId="40" xr:uid="{00000000-0005-0000-0000-000055000000}"/>
    <cellStyle name="千位分隔 2 2 2 2 3 2" xfId="41" xr:uid="{00000000-0005-0000-0000-000056000000}"/>
    <cellStyle name="千位分隔 2 2 2 2 4" xfId="42" xr:uid="{00000000-0005-0000-0000-000057000000}"/>
    <cellStyle name="千位分隔 2 2 2 3" xfId="43" xr:uid="{00000000-0005-0000-0000-000058000000}"/>
    <cellStyle name="千位分隔 2 2 2 3 2" xfId="44" xr:uid="{00000000-0005-0000-0000-000059000000}"/>
    <cellStyle name="千位分隔 2 2 2 3 2 2" xfId="45" xr:uid="{00000000-0005-0000-0000-00005A000000}"/>
    <cellStyle name="千位分隔 2 2 2 3 3" xfId="46" xr:uid="{00000000-0005-0000-0000-00005B000000}"/>
    <cellStyle name="千位分隔 2 2 2 4" xfId="47" xr:uid="{00000000-0005-0000-0000-00005C000000}"/>
    <cellStyle name="千位分隔 2 2 2 4 2" xfId="48" xr:uid="{00000000-0005-0000-0000-00005D000000}"/>
    <cellStyle name="千位分隔 2 2 2 5" xfId="49" xr:uid="{00000000-0005-0000-0000-00005E000000}"/>
    <cellStyle name="千位分隔 2 2 3" xfId="50" xr:uid="{00000000-0005-0000-0000-00005F000000}"/>
    <cellStyle name="千位分隔 2 2 3 2" xfId="51" xr:uid="{00000000-0005-0000-0000-000060000000}"/>
    <cellStyle name="千位分隔 2 2 3 2 2" xfId="52" xr:uid="{00000000-0005-0000-0000-000061000000}"/>
    <cellStyle name="千位分隔 2 2 3 2 2 2" xfId="53" xr:uid="{00000000-0005-0000-0000-000062000000}"/>
    <cellStyle name="千位分隔 2 2 3 2 3" xfId="54" xr:uid="{00000000-0005-0000-0000-000063000000}"/>
    <cellStyle name="千位分隔 2 2 3 3" xfId="55" xr:uid="{00000000-0005-0000-0000-000064000000}"/>
    <cellStyle name="千位分隔 2 2 3 3 2" xfId="56" xr:uid="{00000000-0005-0000-0000-000065000000}"/>
    <cellStyle name="千位分隔 2 2 3 4" xfId="57" xr:uid="{00000000-0005-0000-0000-000066000000}"/>
    <cellStyle name="千位分隔 2 2 4" xfId="58" xr:uid="{00000000-0005-0000-0000-000067000000}"/>
    <cellStyle name="千位分隔 2 2 4 2" xfId="59" xr:uid="{00000000-0005-0000-0000-000068000000}"/>
    <cellStyle name="千位分隔 2 2 4 2 2" xfId="60" xr:uid="{00000000-0005-0000-0000-000069000000}"/>
    <cellStyle name="千位分隔 2 2 4 3" xfId="61" xr:uid="{00000000-0005-0000-0000-00006A000000}"/>
    <cellStyle name="千位分隔 2 2 5" xfId="62" xr:uid="{00000000-0005-0000-0000-00006B000000}"/>
    <cellStyle name="千位分隔 2 2 5 2" xfId="63" xr:uid="{00000000-0005-0000-0000-00006C000000}"/>
    <cellStyle name="千位分隔 2 2 6" xfId="64" xr:uid="{00000000-0005-0000-0000-00006D000000}"/>
    <cellStyle name="千位分隔 2 3" xfId="65" xr:uid="{00000000-0005-0000-0000-00006E000000}"/>
    <cellStyle name="千位分隔 2 3 2" xfId="66" xr:uid="{00000000-0005-0000-0000-00006F000000}"/>
    <cellStyle name="千位分隔 2 3 2 2" xfId="67" xr:uid="{00000000-0005-0000-0000-000070000000}"/>
    <cellStyle name="千位分隔 2 3 2 2 2" xfId="68" xr:uid="{00000000-0005-0000-0000-000071000000}"/>
    <cellStyle name="千位分隔 2 3 2 2 2 2" xfId="69" xr:uid="{00000000-0005-0000-0000-000072000000}"/>
    <cellStyle name="千位分隔 2 3 2 2 3" xfId="70" xr:uid="{00000000-0005-0000-0000-000073000000}"/>
    <cellStyle name="千位分隔 2 3 2 3" xfId="71" xr:uid="{00000000-0005-0000-0000-000074000000}"/>
    <cellStyle name="千位分隔 2 3 2 3 2" xfId="72" xr:uid="{00000000-0005-0000-0000-000075000000}"/>
    <cellStyle name="千位分隔 2 3 2 4" xfId="73" xr:uid="{00000000-0005-0000-0000-000076000000}"/>
    <cellStyle name="千位分隔 2 3 3" xfId="74" xr:uid="{00000000-0005-0000-0000-000077000000}"/>
    <cellStyle name="千位分隔 2 3 3 2" xfId="75" xr:uid="{00000000-0005-0000-0000-000078000000}"/>
    <cellStyle name="千位分隔 2 3 3 2 2" xfId="76" xr:uid="{00000000-0005-0000-0000-000079000000}"/>
    <cellStyle name="千位分隔 2 3 3 3" xfId="77" xr:uid="{00000000-0005-0000-0000-00007A000000}"/>
    <cellStyle name="千位分隔 2 3 4" xfId="78" xr:uid="{00000000-0005-0000-0000-00007B000000}"/>
    <cellStyle name="千位分隔 2 3 4 2" xfId="79" xr:uid="{00000000-0005-0000-0000-00007C000000}"/>
    <cellStyle name="千位分隔 2 3 5" xfId="80" xr:uid="{00000000-0005-0000-0000-00007D000000}"/>
    <cellStyle name="千位分隔 2 4" xfId="81" xr:uid="{00000000-0005-0000-0000-00007E000000}"/>
    <cellStyle name="千位分隔 2 4 2" xfId="82" xr:uid="{00000000-0005-0000-0000-00007F000000}"/>
    <cellStyle name="千位分隔 2 4 2 2" xfId="83" xr:uid="{00000000-0005-0000-0000-000080000000}"/>
    <cellStyle name="千位分隔 2 4 2 2 2" xfId="84" xr:uid="{00000000-0005-0000-0000-000081000000}"/>
    <cellStyle name="千位分隔 2 4 2 3" xfId="85" xr:uid="{00000000-0005-0000-0000-000082000000}"/>
    <cellStyle name="千位分隔 2 4 3" xfId="86" xr:uid="{00000000-0005-0000-0000-000083000000}"/>
    <cellStyle name="千位分隔 2 4 3 2" xfId="87" xr:uid="{00000000-0005-0000-0000-000084000000}"/>
    <cellStyle name="千位分隔 2 4 4" xfId="88" xr:uid="{00000000-0005-0000-0000-000085000000}"/>
    <cellStyle name="千位分隔 2 5" xfId="89" xr:uid="{00000000-0005-0000-0000-000086000000}"/>
    <cellStyle name="千位分隔 2 5 2" xfId="90" xr:uid="{00000000-0005-0000-0000-000087000000}"/>
    <cellStyle name="千位分隔 2 5 2 2" xfId="91" xr:uid="{00000000-0005-0000-0000-000088000000}"/>
    <cellStyle name="千位分隔 2 5 3" xfId="92" xr:uid="{00000000-0005-0000-0000-000089000000}"/>
    <cellStyle name="千位分隔 2 6" xfId="93" xr:uid="{00000000-0005-0000-0000-00008A000000}"/>
    <cellStyle name="千位分隔 2 6 2" xfId="94" xr:uid="{00000000-0005-0000-0000-00008B000000}"/>
    <cellStyle name="千位分隔 2 7" xfId="95" xr:uid="{00000000-0005-0000-0000-00008C000000}"/>
    <cellStyle name="千位分隔 2 8" xfId="96" xr:uid="{00000000-0005-0000-0000-00008D000000}"/>
    <cellStyle name="千位分隔 2 9" xfId="97" xr:uid="{00000000-0005-0000-0000-00008E000000}"/>
    <cellStyle name="千位分隔 2 9 2" xfId="98" xr:uid="{00000000-0005-0000-0000-00008F000000}"/>
    <cellStyle name="千位分隔 3" xfId="99" xr:uid="{00000000-0005-0000-0000-000090000000}"/>
    <cellStyle name="千位分隔 3 2" xfId="100" xr:uid="{00000000-0005-0000-0000-000091000000}"/>
    <cellStyle name="千位分隔 3 2 2" xfId="101" xr:uid="{00000000-0005-0000-0000-000092000000}"/>
    <cellStyle name="千位分隔 3 2 2 2" xfId="102" xr:uid="{00000000-0005-0000-0000-000093000000}"/>
    <cellStyle name="千位分隔 3 2 2 2 2" xfId="103" xr:uid="{00000000-0005-0000-0000-000094000000}"/>
    <cellStyle name="千位分隔 3 2 2 2 2 2" xfId="104" xr:uid="{00000000-0005-0000-0000-000095000000}"/>
    <cellStyle name="千位分隔 3 2 2 2 3" xfId="105" xr:uid="{00000000-0005-0000-0000-000096000000}"/>
    <cellStyle name="千位分隔 3 2 2 3" xfId="106" xr:uid="{00000000-0005-0000-0000-000097000000}"/>
    <cellStyle name="千位分隔 3 2 2 3 2" xfId="107" xr:uid="{00000000-0005-0000-0000-000098000000}"/>
    <cellStyle name="千位分隔 3 2 2 4" xfId="108" xr:uid="{00000000-0005-0000-0000-000099000000}"/>
    <cellStyle name="千位分隔 3 2 3" xfId="109" xr:uid="{00000000-0005-0000-0000-00009A000000}"/>
    <cellStyle name="千位分隔 3 2 3 2" xfId="110" xr:uid="{00000000-0005-0000-0000-00009B000000}"/>
    <cellStyle name="千位分隔 3 2 3 2 2" xfId="111" xr:uid="{00000000-0005-0000-0000-00009C000000}"/>
    <cellStyle name="千位分隔 3 2 3 3" xfId="112" xr:uid="{00000000-0005-0000-0000-00009D000000}"/>
    <cellStyle name="千位分隔 3 2 4" xfId="113" xr:uid="{00000000-0005-0000-0000-00009E000000}"/>
    <cellStyle name="千位分隔 3 2 4 2" xfId="114" xr:uid="{00000000-0005-0000-0000-00009F000000}"/>
    <cellStyle name="千位分隔 3 2 5" xfId="115" xr:uid="{00000000-0005-0000-0000-0000A0000000}"/>
    <cellStyle name="千位分隔 3 3" xfId="116" xr:uid="{00000000-0005-0000-0000-0000A1000000}"/>
    <cellStyle name="千位分隔 3 3 2" xfId="117" xr:uid="{00000000-0005-0000-0000-0000A2000000}"/>
    <cellStyle name="千位分隔 3 3 2 2" xfId="118" xr:uid="{00000000-0005-0000-0000-0000A3000000}"/>
    <cellStyle name="千位分隔 3 3 2 2 2" xfId="119" xr:uid="{00000000-0005-0000-0000-0000A4000000}"/>
    <cellStyle name="千位分隔 3 3 2 3" xfId="120" xr:uid="{00000000-0005-0000-0000-0000A5000000}"/>
    <cellStyle name="千位分隔 3 3 3" xfId="121" xr:uid="{00000000-0005-0000-0000-0000A6000000}"/>
    <cellStyle name="千位分隔 3 3 3 2" xfId="122" xr:uid="{00000000-0005-0000-0000-0000A7000000}"/>
    <cellStyle name="千位分隔 3 3 4" xfId="123" xr:uid="{00000000-0005-0000-0000-0000A8000000}"/>
    <cellStyle name="千位分隔 3 4" xfId="124" xr:uid="{00000000-0005-0000-0000-0000A9000000}"/>
    <cellStyle name="千位分隔 3 4 2" xfId="125" xr:uid="{00000000-0005-0000-0000-0000AA000000}"/>
    <cellStyle name="千位分隔 3 4 2 2" xfId="126" xr:uid="{00000000-0005-0000-0000-0000AB000000}"/>
    <cellStyle name="千位分隔 3 4 3" xfId="127" xr:uid="{00000000-0005-0000-0000-0000AC000000}"/>
    <cellStyle name="千位分隔 3 5" xfId="128" xr:uid="{00000000-0005-0000-0000-0000AD000000}"/>
    <cellStyle name="千位分隔 3 5 2" xfId="129" xr:uid="{00000000-0005-0000-0000-0000AE000000}"/>
    <cellStyle name="千位分隔 3 6" xfId="130" xr:uid="{00000000-0005-0000-0000-0000AF000000}"/>
    <cellStyle name="千位分隔 4" xfId="131" xr:uid="{00000000-0005-0000-0000-0000B0000000}"/>
    <cellStyle name="千位分隔 4 2" xfId="132" xr:uid="{00000000-0005-0000-0000-0000B1000000}"/>
    <cellStyle name="千位分隔 4 2 2" xfId="133" xr:uid="{00000000-0005-0000-0000-0000B2000000}"/>
    <cellStyle name="千位分隔 4 2 2 2" xfId="134" xr:uid="{00000000-0005-0000-0000-0000B3000000}"/>
    <cellStyle name="千位分隔 4 2 2 2 2" xfId="135" xr:uid="{00000000-0005-0000-0000-0000B4000000}"/>
    <cellStyle name="千位分隔 4 2 2 3" xfId="136" xr:uid="{00000000-0005-0000-0000-0000B5000000}"/>
    <cellStyle name="千位分隔 4 2 3" xfId="137" xr:uid="{00000000-0005-0000-0000-0000B6000000}"/>
    <cellStyle name="千位分隔 4 2 3 2" xfId="138" xr:uid="{00000000-0005-0000-0000-0000B7000000}"/>
    <cellStyle name="千位分隔 4 2 4" xfId="139" xr:uid="{00000000-0005-0000-0000-0000B8000000}"/>
    <cellStyle name="千位分隔 4 3" xfId="140" xr:uid="{00000000-0005-0000-0000-0000B9000000}"/>
    <cellStyle name="千位分隔 4 3 2" xfId="141" xr:uid="{00000000-0005-0000-0000-0000BA000000}"/>
    <cellStyle name="千位分隔 4 3 2 2" xfId="142" xr:uid="{00000000-0005-0000-0000-0000BB000000}"/>
    <cellStyle name="千位分隔 4 3 3" xfId="143" xr:uid="{00000000-0005-0000-0000-0000BC000000}"/>
    <cellStyle name="千位分隔 4 4" xfId="144" xr:uid="{00000000-0005-0000-0000-0000BD000000}"/>
    <cellStyle name="千位分隔 4 4 2" xfId="145" xr:uid="{00000000-0005-0000-0000-0000BE000000}"/>
    <cellStyle name="千位分隔 4 5" xfId="146" xr:uid="{00000000-0005-0000-0000-0000BF000000}"/>
    <cellStyle name="千位分隔 5" xfId="147" xr:uid="{00000000-0005-0000-0000-0000C0000000}"/>
    <cellStyle name="千位分隔 5 2" xfId="148" xr:uid="{00000000-0005-0000-0000-0000C1000000}"/>
    <cellStyle name="千位分隔 5 2 2" xfId="149" xr:uid="{00000000-0005-0000-0000-0000C2000000}"/>
    <cellStyle name="千位分隔 5 2 2 2" xfId="150" xr:uid="{00000000-0005-0000-0000-0000C3000000}"/>
    <cellStyle name="千位分隔 5 2 3" xfId="151" xr:uid="{00000000-0005-0000-0000-0000C4000000}"/>
    <cellStyle name="千位分隔 5 3" xfId="152" xr:uid="{00000000-0005-0000-0000-0000C5000000}"/>
    <cellStyle name="千位分隔 5 3 2" xfId="153" xr:uid="{00000000-0005-0000-0000-0000C6000000}"/>
    <cellStyle name="千位分隔 5 4" xfId="154" xr:uid="{00000000-0005-0000-0000-0000C7000000}"/>
    <cellStyle name="千位分隔 6" xfId="155" xr:uid="{00000000-0005-0000-0000-0000C8000000}"/>
    <cellStyle name="千位分隔 6 2" xfId="156" xr:uid="{00000000-0005-0000-0000-0000C9000000}"/>
    <cellStyle name="千位分隔 6 2 2" xfId="157" xr:uid="{00000000-0005-0000-0000-0000CA000000}"/>
    <cellStyle name="千位分隔 6 3" xfId="158" xr:uid="{00000000-0005-0000-0000-0000CB000000}"/>
    <cellStyle name="千位分隔 7" xfId="159" xr:uid="{00000000-0005-0000-0000-0000CC000000}"/>
    <cellStyle name="千位分隔 7 2" xfId="160" xr:uid="{00000000-0005-0000-0000-0000CD000000}"/>
    <cellStyle name="千位分隔 8" xfId="161" xr:uid="{00000000-0005-0000-0000-0000CE000000}"/>
    <cellStyle name="千位分隔 8 2" xfId="162" xr:uid="{00000000-0005-0000-0000-0000CF000000}"/>
    <cellStyle name="千位分隔 8 3" xfId="163" xr:uid="{00000000-0005-0000-0000-0000D0000000}"/>
    <cellStyle name="千位分隔 9" xfId="164" xr:uid="{00000000-0005-0000-0000-0000D1000000}"/>
    <cellStyle name="千位分隔 9 2" xfId="165" xr:uid="{00000000-0005-0000-0000-0000D2000000}"/>
  </cellStyles>
  <dxfs count="57"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-&#32467;&#36134;&#39044;&#31639;/2025&#24180;/ERP&#39044;&#31639;&#25191;&#34892;&#25968;2025&#24180;/2025&#24180;11&#26376;/&#21508;&#37202;&#24215;&#20851;&#38190;&#25351;&#26631;&#23436;&#25104;&#24773;&#20917;2025&#24180;11&#26376;-PP&#21462;&#25968;.xlsx" TargetMode="External"/><Relationship Id="rId1" Type="http://schemas.openxmlformats.org/officeDocument/2006/relationships/externalLinkPath" Target="/&#24037;&#20316;/A-&#32467;&#36134;&#39044;&#31639;/2025&#24180;/ERP&#39044;&#31639;&#25191;&#34892;&#25968;2025&#24180;/2025&#24180;11&#26376;/&#21508;&#37202;&#24215;&#20851;&#38190;&#25351;&#26631;&#23436;&#25104;&#24773;&#20917;2025&#24180;11&#26376;-PP&#21462;&#25968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-&#32467;&#36134;&#39044;&#31639;/2025&#24180;/ERP&#39044;&#31639;&#25191;&#34892;&#25968;2025&#24180;/2025&#24180;3&#26376;/DB8291&#35834;&#32752;&#65288;&#27784;&#38451;&#65289;&#37202;&#24215;&#26377;&#38480;&#20844;&#21496;2025&#24180;3&#26376;PL&#25253;&#34920;20250403160857.xlsm" TargetMode="External"/><Relationship Id="rId1" Type="http://schemas.openxmlformats.org/officeDocument/2006/relationships/externalLinkPath" Target="/&#24037;&#20316;/A-&#32467;&#36134;&#39044;&#31639;/2025&#24180;/ERP&#39044;&#31639;&#25191;&#34892;&#25968;2025&#24180;/2025&#24180;3&#26376;/DB8291&#35834;&#32752;&#65288;&#27784;&#38451;&#65289;&#37202;&#24215;&#26377;&#38480;&#20844;&#21496;2025&#24180;3&#26376;PL&#25253;&#34920;20250403160857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34892;&#19994;&#25253;&#34920;&#24037;&#20316;&#30424;/2026&#24180;/DB8291&#27784;&#38451;&#20110;&#27946;&#30887;&#26690;&#22253;&#20964;&#20976;&#37202;&#24215;&#26377;&#38480;&#20844;&#21496;2026&#24180;1&#26376;PL&#25253;&#34920;20260204151654.xlsm" TargetMode="External"/><Relationship Id="rId1" Type="http://schemas.openxmlformats.org/officeDocument/2006/relationships/externalLinkPath" Target="/&#34892;&#19994;&#25253;&#34920;&#24037;&#20316;&#30424;/2026&#24180;/DB8291&#27784;&#38451;&#20110;&#27946;&#30887;&#26690;&#22253;&#20964;&#20976;&#37202;&#24215;&#26377;&#38480;&#20844;&#21496;2026&#24180;1&#26376;PL&#25253;&#34920;20260204151654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34892;&#19994;&#25253;&#34920;&#24037;&#20316;&#30424;/2026&#24180;/DB8024&#28353;&#24030;&#30887;&#26690;&#22253;&#20964;&#20976;&#37202;&#24215;&#31649;&#29702;&#26377;&#38480;&#20844;&#21496;2026&#24180;1&#26376;PL&#25253;&#34920;20260204203039.xlsm" TargetMode="External"/><Relationship Id="rId1" Type="http://schemas.openxmlformats.org/officeDocument/2006/relationships/externalLinkPath" Target="/&#34892;&#19994;&#25253;&#34920;&#24037;&#20316;&#30424;/2026&#24180;/DB8024&#28353;&#24030;&#30887;&#26690;&#22253;&#20964;&#20976;&#37202;&#24215;&#31649;&#29702;&#26377;&#38480;&#20844;&#21496;2026&#24180;1&#26376;PL&#25253;&#34920;20260204203039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34892;&#19994;&#25253;&#34920;&#24037;&#20316;&#30424;/2026&#24180;/DB8018&#27494;&#27721;&#24066;&#30887;&#26690;&#22253;&#20964;&#20976;&#37202;&#24215;&#26377;&#38480;&#20844;&#21496;2026&#24180;1&#26376;PL&#25253;&#34920;20260204201737.xlsm" TargetMode="External"/><Relationship Id="rId1" Type="http://schemas.openxmlformats.org/officeDocument/2006/relationships/externalLinkPath" Target="/&#34892;&#19994;&#25253;&#34920;&#24037;&#20316;&#30424;/2026&#24180;/DB8018&#27494;&#27721;&#24066;&#30887;&#26690;&#22253;&#20964;&#20976;&#37202;&#24215;&#26377;&#38480;&#20844;&#21496;2026&#24180;1&#26376;PL&#25253;&#34920;2026020420173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当月-能耗"/>
      <sheetName val="累计-能耗"/>
      <sheetName val="当月排名取数"/>
      <sheetName val="累计排名取数"/>
      <sheetName val="新事业部"/>
      <sheetName val="汇总取数"/>
      <sheetName val="客房"/>
      <sheetName val="餐饮"/>
      <sheetName val="新零售"/>
      <sheetName val="康乐温泉"/>
      <sheetName val="能源"/>
      <sheetName val="其他明细数据"/>
      <sheetName val="于洪"/>
      <sheetName val="滁州"/>
      <sheetName val="武汉"/>
      <sheetName val="临高"/>
      <sheetName val="三水"/>
      <sheetName val="泰州"/>
      <sheetName val="安庆"/>
      <sheetName val="张家界"/>
      <sheetName val="句容"/>
      <sheetName val="逸林"/>
      <sheetName val="云浮"/>
      <sheetName val="金叶子"/>
      <sheetName val="苏家屯"/>
      <sheetName val="兴安盟"/>
      <sheetName val="度假村"/>
      <sheetName val="共和"/>
      <sheetName val="西联"/>
      <sheetName val="池州"/>
      <sheetName val="南岸"/>
      <sheetName val="长沙"/>
      <sheetName val="南充"/>
      <sheetName val="龙江"/>
      <sheetName val="芜湖"/>
      <sheetName val="重庆"/>
      <sheetName val="益阳"/>
      <sheetName val="黄山"/>
      <sheetName val="韶关"/>
      <sheetName val="高明"/>
      <sheetName val="增城"/>
      <sheetName val="花城"/>
      <sheetName val="随州"/>
      <sheetName val="咸宁"/>
      <sheetName val="新会"/>
      <sheetName val="惠东"/>
      <sheetName val="武汉希尔顿"/>
      <sheetName val="佛山希尔顿"/>
      <sheetName val="句容置业"/>
      <sheetName val="惠东置业"/>
      <sheetName val="广州凤凰预算"/>
      <sheetName val="临高-新"/>
      <sheetName val="临高-旧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Source.Name.2.1</v>
          </cell>
          <cell r="C1" t="str">
            <v>Column7</v>
          </cell>
          <cell r="D1" t="str">
            <v>Column19</v>
          </cell>
        </row>
        <row r="2">
          <cell r="B2" t="str">
            <v>佛山市顺德区碧桂园物业发展有限公司渡假村</v>
          </cell>
          <cell r="C2" t="str">
            <v>Total Cost of Sales 总销售成本</v>
          </cell>
          <cell r="D2">
            <v>173813.36</v>
          </cell>
        </row>
        <row r="3">
          <cell r="B3" t="str">
            <v>佛山市顺德区碧桂园物业发展有限公司渡假村</v>
          </cell>
          <cell r="C3" t="str">
            <v>Reservation Fees 预订成本</v>
          </cell>
          <cell r="D3">
            <v>118289.85</v>
          </cell>
        </row>
        <row r="4">
          <cell r="B4" t="str">
            <v>佛山市顺德区碧桂园物业发展有限公司渡假村</v>
          </cell>
          <cell r="C4" t="str">
            <v>Laundry 洗涤费</v>
          </cell>
          <cell r="D4">
            <v>199077.84</v>
          </cell>
        </row>
        <row r="5">
          <cell r="B5" t="str">
            <v>佛山市顺德区陈村镇碧桂园物业发展有限公司碧桂花城大酒店</v>
          </cell>
          <cell r="C5" t="str">
            <v>Total Cost of Sales 总销售成本</v>
          </cell>
          <cell r="D5">
            <v>56551.3</v>
          </cell>
        </row>
        <row r="6">
          <cell r="B6" t="str">
            <v>佛山市顺德区陈村镇碧桂园物业发展有限公司碧桂花城大酒店</v>
          </cell>
          <cell r="C6" t="str">
            <v>Reservation Fees 预订成本</v>
          </cell>
          <cell r="D6">
            <v>25564.76</v>
          </cell>
        </row>
        <row r="7">
          <cell r="B7" t="str">
            <v>佛山市顺德区陈村镇碧桂园物业发展有限公司碧桂花城大酒店</v>
          </cell>
          <cell r="C7" t="str">
            <v>Laundry 洗涤费</v>
          </cell>
          <cell r="D7">
            <v>59502.85</v>
          </cell>
        </row>
        <row r="8">
          <cell r="B8" t="str">
            <v>增城市碧桂园凤凰城酒店有限公司</v>
          </cell>
          <cell r="C8" t="str">
            <v>Total Cost of Sales 总销售成本</v>
          </cell>
          <cell r="D8">
            <v>410840.52</v>
          </cell>
        </row>
        <row r="9">
          <cell r="B9" t="str">
            <v>增城市碧桂园凤凰城酒店有限公司</v>
          </cell>
          <cell r="C9" t="str">
            <v>Reservation Fees 预订成本</v>
          </cell>
          <cell r="D9">
            <v>1865388.66</v>
          </cell>
        </row>
        <row r="10">
          <cell r="B10" t="str">
            <v>增城市碧桂园凤凰城酒店有限公司</v>
          </cell>
          <cell r="C10" t="str">
            <v>Laundry 洗涤费</v>
          </cell>
          <cell r="D10">
            <v>862755.11</v>
          </cell>
        </row>
        <row r="11">
          <cell r="B11" t="str">
            <v>佛山市高明区碧桂园凤凰酒店有限公司</v>
          </cell>
          <cell r="C11" t="str">
            <v>Total Cost of Sales 总销售成本</v>
          </cell>
          <cell r="D11">
            <v>445444.95</v>
          </cell>
        </row>
        <row r="12">
          <cell r="B12" t="str">
            <v>佛山市高明区碧桂园凤凰酒店有限公司</v>
          </cell>
          <cell r="C12" t="str">
            <v>Reservation Fees 预订成本</v>
          </cell>
          <cell r="D12">
            <v>600955.66</v>
          </cell>
        </row>
        <row r="13">
          <cell r="B13" t="str">
            <v>佛山市高明区碧桂园凤凰酒店有限公司</v>
          </cell>
          <cell r="C13" t="str">
            <v>Laundry 洗涤费</v>
          </cell>
          <cell r="D13">
            <v>382497.4</v>
          </cell>
        </row>
        <row r="14">
          <cell r="B14" t="str">
            <v>江门市新会碧桂园凤凰酒店有限公司</v>
          </cell>
          <cell r="C14" t="str">
            <v>Total Cost of Sales 总销售成本</v>
          </cell>
          <cell r="D14">
            <v>389989.97</v>
          </cell>
        </row>
        <row r="15">
          <cell r="B15" t="str">
            <v>江门市新会碧桂园凤凰酒店有限公司</v>
          </cell>
          <cell r="C15" t="str">
            <v>Reservation Fees 预订成本</v>
          </cell>
          <cell r="D15">
            <v>109179.14</v>
          </cell>
        </row>
        <row r="16">
          <cell r="B16" t="str">
            <v>江门市新会碧桂园凤凰酒店有限公司</v>
          </cell>
          <cell r="C16" t="str">
            <v>Laundry 洗涤费</v>
          </cell>
          <cell r="D16">
            <v>314100.95</v>
          </cell>
        </row>
        <row r="17">
          <cell r="B17" t="str">
            <v>长沙经济技术开发区威尼斯酒店有限公司</v>
          </cell>
          <cell r="C17" t="str">
            <v>Total Cost of Sales 总销售成本</v>
          </cell>
          <cell r="D17">
            <v>365241.15</v>
          </cell>
        </row>
        <row r="18">
          <cell r="B18" t="str">
            <v>长沙经济技术开发区威尼斯酒店有限公司</v>
          </cell>
          <cell r="C18" t="str">
            <v>Reservation Fees 预订成本</v>
          </cell>
          <cell r="D18">
            <v>681056.97</v>
          </cell>
        </row>
        <row r="19">
          <cell r="B19" t="str">
            <v>长沙经济技术开发区威尼斯酒店有限公司</v>
          </cell>
          <cell r="C19" t="str">
            <v>Laundry 洗涤费</v>
          </cell>
          <cell r="D19">
            <v>847177.86</v>
          </cell>
        </row>
        <row r="20">
          <cell r="B20" t="str">
            <v>随州碧桂园凤凰酒店有限公司</v>
          </cell>
          <cell r="C20" t="str">
            <v>Total Cost of Sales 总销售成本</v>
          </cell>
          <cell r="D20">
            <v>370010.61</v>
          </cell>
        </row>
        <row r="21">
          <cell r="B21" t="str">
            <v>随州碧桂园凤凰酒店有限公司</v>
          </cell>
          <cell r="C21" t="str">
            <v>Reservation Fees 预订成本</v>
          </cell>
          <cell r="D21">
            <v>225533.85</v>
          </cell>
        </row>
        <row r="22">
          <cell r="B22" t="str">
            <v>随州碧桂园凤凰酒店有限公司</v>
          </cell>
          <cell r="C22" t="str">
            <v>Laundry 洗涤费</v>
          </cell>
          <cell r="D22">
            <v>480389.23</v>
          </cell>
        </row>
        <row r="23">
          <cell r="B23" t="str">
            <v>安庆碧桂园凤凰酒店有限公司</v>
          </cell>
          <cell r="C23" t="str">
            <v>Total Cost of Sales 总销售成本</v>
          </cell>
          <cell r="D23">
            <v>218635.44</v>
          </cell>
        </row>
        <row r="24">
          <cell r="B24" t="str">
            <v>安庆碧桂园凤凰酒店有限公司</v>
          </cell>
          <cell r="C24" t="str">
            <v>Reservation Fees 预订成本</v>
          </cell>
          <cell r="D24">
            <v>62394.11</v>
          </cell>
        </row>
        <row r="25">
          <cell r="B25" t="str">
            <v>安庆碧桂园凤凰酒店有限公司</v>
          </cell>
          <cell r="C25" t="str">
            <v>Laundry 洗涤费</v>
          </cell>
          <cell r="D25">
            <v>239999.21</v>
          </cell>
        </row>
        <row r="26">
          <cell r="B26" t="str">
            <v>咸宁碧桂园凤凰温泉酒店有限公司</v>
          </cell>
          <cell r="C26" t="str">
            <v>Total Cost of Sales 总销售成本</v>
          </cell>
          <cell r="D26">
            <v>518845.92</v>
          </cell>
        </row>
        <row r="27">
          <cell r="B27" t="str">
            <v>咸宁碧桂园凤凰温泉酒店有限公司</v>
          </cell>
          <cell r="C27" t="str">
            <v>Reservation Fees 预订成本</v>
          </cell>
          <cell r="D27">
            <v>774159.68</v>
          </cell>
        </row>
        <row r="28">
          <cell r="B28" t="str">
            <v>咸宁碧桂园凤凰温泉酒店有限公司</v>
          </cell>
          <cell r="C28" t="str">
            <v>Laundry 洗涤费</v>
          </cell>
          <cell r="D28">
            <v>620682.01</v>
          </cell>
        </row>
        <row r="29">
          <cell r="B29" t="str">
            <v>重庆市碧桂园凤城酒店有限公司</v>
          </cell>
          <cell r="C29" t="str">
            <v>Total Cost of Sales 总销售成本</v>
          </cell>
          <cell r="D29">
            <v>395706.52</v>
          </cell>
        </row>
        <row r="30">
          <cell r="B30" t="str">
            <v>重庆市碧桂园凤城酒店有限公司</v>
          </cell>
          <cell r="C30" t="str">
            <v>Reservation Fees 预订成本</v>
          </cell>
          <cell r="D30">
            <v>79323.13</v>
          </cell>
        </row>
        <row r="31">
          <cell r="B31" t="str">
            <v>重庆市碧桂园凤城酒店有限公司</v>
          </cell>
          <cell r="C31" t="str">
            <v>Laundry 洗涤费</v>
          </cell>
          <cell r="D31">
            <v>470349.54</v>
          </cell>
        </row>
        <row r="32">
          <cell r="B32" t="str">
            <v>武汉市碧桂园凤凰酒店有限公司</v>
          </cell>
          <cell r="C32" t="str">
            <v>Total Cost of Sales 总销售成本</v>
          </cell>
          <cell r="D32">
            <v>242805.28</v>
          </cell>
        </row>
        <row r="33">
          <cell r="B33" t="str">
            <v>武汉市碧桂园凤凰酒店有限公司</v>
          </cell>
          <cell r="C33" t="str">
            <v>Reservation Fees 预订成本</v>
          </cell>
          <cell r="D33">
            <v>593155.38</v>
          </cell>
        </row>
        <row r="34">
          <cell r="B34" t="str">
            <v>武汉市碧桂园凤凰酒店有限公司</v>
          </cell>
          <cell r="C34" t="str">
            <v>Laundry 洗涤费</v>
          </cell>
          <cell r="D34">
            <v>200218.1</v>
          </cell>
        </row>
        <row r="35">
          <cell r="B35" t="str">
            <v>韶关市碧桂园凤凰酒店有限公司</v>
          </cell>
          <cell r="C35" t="str">
            <v>Total Cost of Sales 总销售成本</v>
          </cell>
          <cell r="D35">
            <v>364047.29</v>
          </cell>
        </row>
        <row r="36">
          <cell r="B36" t="str">
            <v>韶关市碧桂园凤凰酒店有限公司</v>
          </cell>
          <cell r="C36" t="str">
            <v>Reservation Fees 预订成本</v>
          </cell>
          <cell r="D36">
            <v>62844.23</v>
          </cell>
        </row>
        <row r="37">
          <cell r="B37" t="str">
            <v>韶关市碧桂园凤凰酒店有限公司</v>
          </cell>
          <cell r="C37" t="str">
            <v>Laundry 洗涤费</v>
          </cell>
          <cell r="D37">
            <v>303699.43</v>
          </cell>
        </row>
        <row r="38">
          <cell r="B38" t="str">
            <v>黄山碧桂园凤凰酒店有限公司</v>
          </cell>
          <cell r="C38" t="str">
            <v>Total Cost of Sales 总销售成本</v>
          </cell>
          <cell r="D38">
            <v>441413.78</v>
          </cell>
        </row>
        <row r="39">
          <cell r="B39" t="str">
            <v>黄山碧桂园凤凰酒店有限公司</v>
          </cell>
          <cell r="C39" t="str">
            <v>Reservation Fees 预订成本</v>
          </cell>
          <cell r="D39">
            <v>46124.04</v>
          </cell>
        </row>
        <row r="40">
          <cell r="B40" t="str">
            <v>黄山碧桂园凤凰酒店有限公司</v>
          </cell>
          <cell r="C40" t="str">
            <v>Laundry 洗涤费</v>
          </cell>
          <cell r="D40">
            <v>462081.7</v>
          </cell>
        </row>
        <row r="41">
          <cell r="B41" t="str">
            <v>池州市碧桂园凤凰酒店有限公司</v>
          </cell>
          <cell r="C41" t="str">
            <v>Total Cost of Sales 总销售成本</v>
          </cell>
          <cell r="D41">
            <v>516779.47</v>
          </cell>
        </row>
        <row r="42">
          <cell r="B42" t="str">
            <v>池州市碧桂园凤凰酒店有限公司</v>
          </cell>
          <cell r="C42" t="str">
            <v>Reservation Fees 预订成本</v>
          </cell>
          <cell r="D42">
            <v>113500.52</v>
          </cell>
        </row>
        <row r="43">
          <cell r="B43" t="str">
            <v>池州市碧桂园凤凰酒店有限公司</v>
          </cell>
          <cell r="C43" t="str">
            <v>Laundry 洗涤费</v>
          </cell>
          <cell r="D43">
            <v>301488.7</v>
          </cell>
        </row>
        <row r="44">
          <cell r="B44" t="str">
            <v>芜湖碧桂园凤凰酒店有限公司</v>
          </cell>
          <cell r="C44" t="str">
            <v>Total Cost of Sales 总销售成本</v>
          </cell>
          <cell r="D44">
            <v>257174.65</v>
          </cell>
        </row>
        <row r="45">
          <cell r="B45" t="str">
            <v>芜湖碧桂园凤凰酒店有限公司</v>
          </cell>
          <cell r="C45" t="str">
            <v>Reservation Fees 预订成本</v>
          </cell>
          <cell r="D45">
            <v>7526.82</v>
          </cell>
        </row>
        <row r="46">
          <cell r="B46" t="str">
            <v>芜湖碧桂园凤凰酒店有限公司</v>
          </cell>
          <cell r="C46" t="str">
            <v>Laundry 洗涤费</v>
          </cell>
          <cell r="D46">
            <v>294139.01</v>
          </cell>
        </row>
        <row r="47">
          <cell r="B47" t="str">
            <v>滁州碧桂园凤凰酒店管理有限公司</v>
          </cell>
          <cell r="C47" t="str">
            <v>Total Cost of Sales 总销售成本</v>
          </cell>
          <cell r="D47">
            <v>141293.96</v>
          </cell>
        </row>
        <row r="48">
          <cell r="B48" t="str">
            <v>滁州碧桂园凤凰酒店管理有限公司</v>
          </cell>
          <cell r="C48" t="str">
            <v>Reservation Fees 预订成本</v>
          </cell>
          <cell r="D48">
            <v>327929.11</v>
          </cell>
        </row>
        <row r="49">
          <cell r="B49" t="str">
            <v>滁州碧桂园凤凰酒店管理有限公司</v>
          </cell>
          <cell r="C49" t="str">
            <v>Laundry 洗涤费</v>
          </cell>
          <cell r="D49">
            <v>143017.93</v>
          </cell>
        </row>
        <row r="50">
          <cell r="B50" t="str">
            <v>清远市卓越弘建置业投资有限公司佛冈酒店分公司</v>
          </cell>
          <cell r="C50" t="str">
            <v>Total Cost of Sales 总销售成本</v>
          </cell>
          <cell r="D50">
            <v>156901.72</v>
          </cell>
        </row>
        <row r="51">
          <cell r="B51" t="str">
            <v>清远市卓越弘建置业投资有限公司佛冈酒店分公司</v>
          </cell>
          <cell r="C51" t="str">
            <v>Reservation Fees 预订成本</v>
          </cell>
          <cell r="D51">
            <v>-2703.16</v>
          </cell>
        </row>
        <row r="52">
          <cell r="B52" t="str">
            <v>清远市卓越弘建置业投资有限公司佛冈酒店分公司</v>
          </cell>
          <cell r="C52" t="str">
            <v>Laundry 洗涤费</v>
          </cell>
          <cell r="D52">
            <v>180096.46</v>
          </cell>
        </row>
        <row r="53">
          <cell r="B53" t="str">
            <v>泰州市碧桂园凤凰酒店有限公司</v>
          </cell>
          <cell r="C53" t="str">
            <v>Total Cost of Sales 总销售成本</v>
          </cell>
          <cell r="D53">
            <v>170025.16</v>
          </cell>
        </row>
        <row r="54">
          <cell r="B54" t="str">
            <v>泰州市碧桂园凤凰酒店有限公司</v>
          </cell>
          <cell r="C54" t="str">
            <v>Reservation Fees 预订成本</v>
          </cell>
          <cell r="D54">
            <v>57037.93</v>
          </cell>
        </row>
        <row r="55">
          <cell r="B55" t="str">
            <v>泰州市碧桂园凤凰酒店有限公司</v>
          </cell>
          <cell r="C55" t="str">
            <v>Laundry 洗涤费</v>
          </cell>
          <cell r="D55">
            <v>177162.54</v>
          </cell>
        </row>
        <row r="56">
          <cell r="B56" t="str">
            <v>巢湖南岸碧桂园凤凰酒店有限公司</v>
          </cell>
          <cell r="C56" t="str">
            <v>Total Cost of Sales 总销售成本</v>
          </cell>
          <cell r="D56">
            <v>363721.42</v>
          </cell>
        </row>
        <row r="57">
          <cell r="B57" t="str">
            <v>巢湖南岸碧桂园凤凰酒店有限公司</v>
          </cell>
          <cell r="C57" t="str">
            <v>Reservation Fees 预订成本</v>
          </cell>
          <cell r="D57">
            <v>80835.789999999994</v>
          </cell>
        </row>
        <row r="58">
          <cell r="B58" t="str">
            <v>巢湖南岸碧桂园凤凰酒店有限公司</v>
          </cell>
          <cell r="C58" t="str">
            <v>Laundry 洗涤费</v>
          </cell>
          <cell r="D58">
            <v>262046.62</v>
          </cell>
        </row>
        <row r="59">
          <cell r="B59" t="str">
            <v>句容碧桂园凤凰城酒店管理有限公司</v>
          </cell>
          <cell r="C59" t="str">
            <v>Total Cost of Sales 总销售成本</v>
          </cell>
          <cell r="D59">
            <v>151884.37</v>
          </cell>
        </row>
        <row r="60">
          <cell r="B60" t="str">
            <v>句容碧桂园凤凰城酒店管理有限公司</v>
          </cell>
          <cell r="C60" t="str">
            <v>Reservation Fees 预订成本</v>
          </cell>
          <cell r="D60">
            <v>193669.82</v>
          </cell>
        </row>
        <row r="61">
          <cell r="B61" t="str">
            <v>句容碧桂园凤凰城酒店管理有限公司</v>
          </cell>
          <cell r="C61" t="str">
            <v>Laundry 洗涤费</v>
          </cell>
          <cell r="D61">
            <v>189792.09</v>
          </cell>
        </row>
        <row r="62">
          <cell r="B62" t="str">
            <v>云浮市碧桂园凤凰酒店有限公司</v>
          </cell>
          <cell r="C62" t="str">
            <v>Total Cost of Sales 总销售成本</v>
          </cell>
          <cell r="D62">
            <v>224636.7</v>
          </cell>
        </row>
        <row r="63">
          <cell r="B63" t="str">
            <v>云浮市碧桂园凤凰酒店有限公司</v>
          </cell>
          <cell r="C63" t="str">
            <v>Reservation Fees 预订成本</v>
          </cell>
          <cell r="D63">
            <v>96261.05</v>
          </cell>
        </row>
        <row r="64">
          <cell r="B64" t="str">
            <v>云浮市碧桂园凤凰酒店有限公司</v>
          </cell>
          <cell r="C64" t="str">
            <v>Laundry 洗涤费</v>
          </cell>
          <cell r="D64">
            <v>117131.39</v>
          </cell>
        </row>
        <row r="65">
          <cell r="B65" t="str">
            <v>张家界碧桂园凤凰酒店管理有限公司</v>
          </cell>
          <cell r="C65" t="str">
            <v>Total Cost of Sales 总销售成本</v>
          </cell>
          <cell r="D65">
            <v>682029.92</v>
          </cell>
        </row>
        <row r="66">
          <cell r="B66" t="str">
            <v>张家界碧桂园凤凰酒店管理有限公司</v>
          </cell>
          <cell r="C66" t="str">
            <v>Reservation Fees 预订成本</v>
          </cell>
          <cell r="D66">
            <v>109272.27</v>
          </cell>
        </row>
        <row r="67">
          <cell r="B67" t="str">
            <v>张家界碧桂园凤凰酒店管理有限公司</v>
          </cell>
          <cell r="C67" t="str">
            <v>Laundry 洗涤费</v>
          </cell>
          <cell r="D67">
            <v>1824816.97</v>
          </cell>
        </row>
        <row r="68">
          <cell r="B68" t="str">
            <v>临高金碧酒店管理有限公司</v>
          </cell>
          <cell r="C68" t="str">
            <v>Total Cost of Sales 总销售成本</v>
          </cell>
          <cell r="D68">
            <v>156973.26</v>
          </cell>
        </row>
        <row r="69">
          <cell r="B69" t="str">
            <v>临高金碧酒店管理有限公司</v>
          </cell>
          <cell r="C69" t="str">
            <v>Reservation Fees 预订成本</v>
          </cell>
          <cell r="D69">
            <v>154433.43</v>
          </cell>
        </row>
        <row r="70">
          <cell r="B70" t="str">
            <v>临高金碧酒店管理有限公司</v>
          </cell>
          <cell r="C70" t="str">
            <v>Laundry 洗涤费</v>
          </cell>
          <cell r="D70">
            <v>196293.73</v>
          </cell>
        </row>
        <row r="71">
          <cell r="B71" t="str">
            <v>海南临高碧桂园房地产开发有限公司酒店分公司</v>
          </cell>
          <cell r="C71" t="str">
            <v>Total Cost of Sales 总销售成本</v>
          </cell>
          <cell r="D71">
            <v>88138.51</v>
          </cell>
        </row>
        <row r="72">
          <cell r="B72" t="str">
            <v>海南临高碧桂园房地产开发有限公司酒店分公司</v>
          </cell>
          <cell r="C72" t="str">
            <v>Reservation Fees 预订成本</v>
          </cell>
          <cell r="D72">
            <v>56591.34</v>
          </cell>
        </row>
        <row r="73">
          <cell r="B73" t="str">
            <v>海南临高碧桂园房地产开发有限公司酒店分公司</v>
          </cell>
          <cell r="C73" t="str">
            <v>Laundry 洗涤费</v>
          </cell>
          <cell r="D73">
            <v>101452.22</v>
          </cell>
        </row>
        <row r="74">
          <cell r="B74" t="str">
            <v>科右前旗碧桂园凤凰置业有限公司</v>
          </cell>
          <cell r="C74" t="str">
            <v>Total Cost of Sales 总销售成本</v>
          </cell>
          <cell r="D74">
            <v>139467.32999999999</v>
          </cell>
        </row>
        <row r="75">
          <cell r="B75" t="str">
            <v>科右前旗碧桂园凤凰置业有限公司</v>
          </cell>
          <cell r="C75" t="str">
            <v>Reservation Fees 预订成本</v>
          </cell>
          <cell r="D75">
            <v>18918.240000000002</v>
          </cell>
        </row>
        <row r="76">
          <cell r="B76" t="str">
            <v>科右前旗碧桂园凤凰置业有限公司</v>
          </cell>
          <cell r="C76" t="str">
            <v>Laundry 洗涤费</v>
          </cell>
          <cell r="D76">
            <v>111826.51</v>
          </cell>
        </row>
        <row r="77">
          <cell r="B77" t="str">
            <v>佛山市顺德区龙江镇碧桂园凤凰酒店有限公司</v>
          </cell>
          <cell r="C77" t="str">
            <v>Total Cost of Sales 总销售成本</v>
          </cell>
          <cell r="D77">
            <v>189291.09</v>
          </cell>
        </row>
        <row r="78">
          <cell r="B78" t="str">
            <v>佛山市顺德区龙江镇碧桂园凤凰酒店有限公司</v>
          </cell>
          <cell r="C78" t="str">
            <v>Reservation Fees 预订成本</v>
          </cell>
          <cell r="D78">
            <v>226819.85</v>
          </cell>
        </row>
        <row r="79">
          <cell r="B79" t="str">
            <v>佛山市顺德区龙江镇碧桂园凤凰酒店有限公司</v>
          </cell>
          <cell r="C79" t="str">
            <v>Laundry 洗涤费</v>
          </cell>
          <cell r="D79">
            <v>224649.44</v>
          </cell>
        </row>
        <row r="80">
          <cell r="B80" t="str">
            <v>沈阳南营碧桂园酒店有限公司</v>
          </cell>
          <cell r="C80" t="str">
            <v>Total Cost of Sales 总销售成本</v>
          </cell>
          <cell r="D80">
            <v>231930.76</v>
          </cell>
        </row>
        <row r="81">
          <cell r="B81" t="str">
            <v>沈阳南营碧桂园酒店有限公司</v>
          </cell>
          <cell r="C81" t="str">
            <v>Reservation Fees 预订成本</v>
          </cell>
          <cell r="D81">
            <v>4170.2299999999996</v>
          </cell>
        </row>
        <row r="82">
          <cell r="B82" t="str">
            <v>沈阳南营碧桂园酒店有限公司</v>
          </cell>
          <cell r="C82" t="str">
            <v>Laundry 洗涤费</v>
          </cell>
          <cell r="D82">
            <v>188829.75</v>
          </cell>
        </row>
        <row r="83">
          <cell r="B83" t="str">
            <v>广东康兰假日酒店有限公司</v>
          </cell>
          <cell r="C83" t="str">
            <v>Total Cost of Sales 总销售成本</v>
          </cell>
          <cell r="D83">
            <v>346722.89</v>
          </cell>
        </row>
        <row r="84">
          <cell r="B84" t="str">
            <v>广东康兰假日酒店有限公司</v>
          </cell>
          <cell r="C84" t="str">
            <v>Reservation Fees 预订成本</v>
          </cell>
          <cell r="D84">
            <v>907561.23</v>
          </cell>
        </row>
        <row r="85">
          <cell r="B85" t="str">
            <v>广东康兰假日酒店有限公司</v>
          </cell>
          <cell r="C85" t="str">
            <v>Laundry 洗涤费</v>
          </cell>
          <cell r="D85">
            <v>248468.94</v>
          </cell>
        </row>
        <row r="86">
          <cell r="B86" t="str">
            <v>韶关市碧桂园芙景湾酒店有限公司</v>
          </cell>
          <cell r="C86" t="str">
            <v>Total Cost of Sales 总销售成本</v>
          </cell>
          <cell r="D86">
            <v>188421.57</v>
          </cell>
        </row>
        <row r="87">
          <cell r="B87" t="str">
            <v>韶关市碧桂园芙景湾酒店有限公司</v>
          </cell>
          <cell r="C87" t="str">
            <v>Reservation Fees 预订成本</v>
          </cell>
          <cell r="D87">
            <v>9006.57</v>
          </cell>
        </row>
        <row r="88">
          <cell r="B88" t="str">
            <v>韶关市碧桂园芙景湾酒店有限公司</v>
          </cell>
          <cell r="C88" t="str">
            <v>Laundry 洗涤费</v>
          </cell>
          <cell r="D88">
            <v>168236.22</v>
          </cell>
        </row>
        <row r="89">
          <cell r="B89" t="str">
            <v>惠东县凤悦酒店有限公司</v>
          </cell>
          <cell r="C89" t="str">
            <v>Total Cost of Sales 总销售成本</v>
          </cell>
          <cell r="D89">
            <v>595027.68999999994</v>
          </cell>
        </row>
        <row r="90">
          <cell r="B90" t="str">
            <v>惠东县凤悦酒店有限公司</v>
          </cell>
          <cell r="C90" t="str">
            <v>Reservation Fees 预订成本</v>
          </cell>
          <cell r="D90">
            <v>625907.38</v>
          </cell>
        </row>
        <row r="91">
          <cell r="B91" t="str">
            <v>惠东县凤悦酒店有限公司</v>
          </cell>
          <cell r="C91" t="str">
            <v>Laundry 洗涤费</v>
          </cell>
          <cell r="D91">
            <v>533577.89</v>
          </cell>
        </row>
        <row r="92">
          <cell r="B92" t="str">
            <v>鹤山市共和碧桂园房地产开发有限公司酒店分公司</v>
          </cell>
          <cell r="C92" t="str">
            <v>Total Cost of Sales 总销售成本</v>
          </cell>
          <cell r="D92">
            <v>137678.37</v>
          </cell>
        </row>
        <row r="93">
          <cell r="B93" t="str">
            <v>鹤山市共和碧桂园房地产开发有限公司酒店分公司</v>
          </cell>
          <cell r="C93" t="str">
            <v>Reservation Fees 预订成本</v>
          </cell>
          <cell r="D93">
            <v>244536.42</v>
          </cell>
        </row>
        <row r="94">
          <cell r="B94" t="str">
            <v>鹤山市共和碧桂园房地产开发有限公司酒店分公司</v>
          </cell>
          <cell r="C94" t="str">
            <v>Laundry 洗涤费</v>
          </cell>
          <cell r="D94">
            <v>141858.32999999999</v>
          </cell>
        </row>
        <row r="95">
          <cell r="B95" t="str">
            <v>益阳市碧桂园凤凰酒店有限公司</v>
          </cell>
          <cell r="C95" t="str">
            <v>Total Cost of Sales 总销售成本</v>
          </cell>
          <cell r="D95">
            <v>304552.89</v>
          </cell>
        </row>
        <row r="96">
          <cell r="B96" t="str">
            <v>益阳市碧桂园凤凰酒店有限公司</v>
          </cell>
          <cell r="C96" t="str">
            <v>Reservation Fees 预订成本</v>
          </cell>
          <cell r="D96">
            <v>233134.88</v>
          </cell>
        </row>
        <row r="97">
          <cell r="B97" t="str">
            <v>益阳市碧桂园凤凰酒店有限公司</v>
          </cell>
          <cell r="C97" t="str">
            <v>Laundry 洗涤费</v>
          </cell>
          <cell r="D97">
            <v>322509.38</v>
          </cell>
        </row>
        <row r="98">
          <cell r="B98" t="str">
            <v>南充市碧桂园房地产开发有限公司酒店分公司</v>
          </cell>
          <cell r="C98" t="str">
            <v>Total Cost of Sales 总销售成本</v>
          </cell>
          <cell r="D98">
            <v>155284.69</v>
          </cell>
        </row>
        <row r="99">
          <cell r="B99" t="str">
            <v>南充市碧桂园房地产开发有限公司酒店分公司</v>
          </cell>
          <cell r="C99" t="str">
            <v>Reservation Fees 预订成本</v>
          </cell>
          <cell r="D99">
            <v>59952.75</v>
          </cell>
        </row>
        <row r="100">
          <cell r="B100" t="str">
            <v>南充市碧桂园房地产开发有限公司酒店分公司</v>
          </cell>
          <cell r="C100" t="str">
            <v>Laundry 洗涤费</v>
          </cell>
          <cell r="D100">
            <v>207923.13</v>
          </cell>
        </row>
        <row r="101">
          <cell r="B101" t="str">
            <v>广州金叶子酒店有限公司</v>
          </cell>
          <cell r="C101" t="str">
            <v>Total Cost of Sales 总销售成本</v>
          </cell>
          <cell r="D101">
            <v>119544.1</v>
          </cell>
        </row>
        <row r="102">
          <cell r="B102" t="str">
            <v>广州金叶子酒店有限公司</v>
          </cell>
          <cell r="C102" t="str">
            <v>Reservation Fees 预订成本</v>
          </cell>
          <cell r="D102">
            <v>0</v>
          </cell>
        </row>
        <row r="103">
          <cell r="B103" t="str">
            <v>广州金叶子酒店有限公司</v>
          </cell>
          <cell r="C103" t="str">
            <v>Laundry 洗涤费</v>
          </cell>
          <cell r="D103">
            <v>427232.57</v>
          </cell>
        </row>
        <row r="104">
          <cell r="B104" t="str">
            <v>沈阳于洪碧桂园凤凰酒店有限公司</v>
          </cell>
          <cell r="C104" t="str">
            <v>Total Cost of Sales 总销售成本</v>
          </cell>
          <cell r="D104">
            <v>739410.4</v>
          </cell>
        </row>
        <row r="105">
          <cell r="B105" t="str">
            <v>沈阳于洪碧桂园凤凰酒店有限公司</v>
          </cell>
          <cell r="C105" t="str">
            <v>Reservation Fees 预订成本</v>
          </cell>
          <cell r="D105">
            <v>1139504.6000000001</v>
          </cell>
        </row>
        <row r="106">
          <cell r="B106" t="str">
            <v>沈阳于洪碧桂园凤凰酒店有限公司</v>
          </cell>
          <cell r="C106" t="str">
            <v>Laundry 洗涤费</v>
          </cell>
          <cell r="D106">
            <v>494806.73</v>
          </cell>
        </row>
        <row r="107">
          <cell r="B107" t="str">
            <v>广州市荔碧凤悦酒店有限公司</v>
          </cell>
          <cell r="C107" t="str">
            <v>Total Cost of Sales 总销售成本</v>
          </cell>
          <cell r="D107">
            <v>589737.82999999996</v>
          </cell>
        </row>
        <row r="108">
          <cell r="B108" t="str">
            <v>广州市荔碧凤悦酒店有限公司</v>
          </cell>
          <cell r="C108" t="str">
            <v>Reservation Fees 预订成本</v>
          </cell>
          <cell r="D108">
            <v>760878.91</v>
          </cell>
        </row>
        <row r="109">
          <cell r="B109" t="str">
            <v>广州市荔碧凤悦酒店有限公司</v>
          </cell>
          <cell r="C109" t="str">
            <v>Laundry 洗涤费</v>
          </cell>
          <cell r="D109">
            <v>429800.73</v>
          </cell>
        </row>
        <row r="110">
          <cell r="B110" t="str">
            <v>佛山市芯林瑚酒店管理有限公司</v>
          </cell>
          <cell r="C110" t="str">
            <v>Total Cost of Sales 总销售成本</v>
          </cell>
          <cell r="D110">
            <v>330292.46000000002</v>
          </cell>
        </row>
        <row r="111">
          <cell r="B111" t="str">
            <v>佛山市芯林瑚酒店管理有限公司</v>
          </cell>
          <cell r="C111" t="str">
            <v>Reservation Fees 预订成本</v>
          </cell>
          <cell r="D111">
            <v>224849.39</v>
          </cell>
        </row>
        <row r="112">
          <cell r="B112" t="str">
            <v>佛山市芯林瑚酒店管理有限公司</v>
          </cell>
          <cell r="C112" t="str">
            <v>Laundry 洗涤费</v>
          </cell>
          <cell r="D112">
            <v>424780.33</v>
          </cell>
        </row>
      </sheetData>
      <sheetData sheetId="7">
        <row r="1">
          <cell r="B1" t="str">
            <v>Source.Name.2.1</v>
          </cell>
          <cell r="C1" t="str">
            <v>Column7</v>
          </cell>
          <cell r="D1" t="str">
            <v>Column19</v>
          </cell>
        </row>
        <row r="2">
          <cell r="B2" t="str">
            <v>佛山市顺德区碧桂园物业发展有限公司渡假村</v>
          </cell>
          <cell r="C2" t="str">
            <v>Laundry 洗涤费</v>
          </cell>
          <cell r="D2">
            <v>24235.79</v>
          </cell>
        </row>
        <row r="3">
          <cell r="B3" t="str">
            <v>佛山市顺德区陈村镇碧桂园物业发展有限公司碧桂花城大酒店</v>
          </cell>
          <cell r="C3" t="str">
            <v>Laundry 洗涤费</v>
          </cell>
          <cell r="D3">
            <v>0</v>
          </cell>
        </row>
        <row r="4">
          <cell r="B4" t="str">
            <v>增城市碧桂园凤凰城酒店有限公司</v>
          </cell>
          <cell r="C4" t="str">
            <v>Laundry 洗涤费</v>
          </cell>
          <cell r="D4">
            <v>215474.78</v>
          </cell>
        </row>
        <row r="5">
          <cell r="B5" t="str">
            <v>佛山市高明区碧桂园凤凰酒店有限公司</v>
          </cell>
          <cell r="C5" t="str">
            <v>Laundry 洗涤费</v>
          </cell>
          <cell r="D5">
            <v>121484.35</v>
          </cell>
        </row>
        <row r="6">
          <cell r="B6" t="str">
            <v>江门市新会碧桂园凤凰酒店有限公司</v>
          </cell>
          <cell r="C6" t="str">
            <v>Laundry 洗涤费</v>
          </cell>
          <cell r="D6">
            <v>31745.21</v>
          </cell>
        </row>
        <row r="7">
          <cell r="B7" t="str">
            <v>长沙经济技术开发区威尼斯酒店有限公司</v>
          </cell>
          <cell r="C7" t="str">
            <v>Laundry 洗涤费</v>
          </cell>
          <cell r="D7">
            <v>147307.07999999999</v>
          </cell>
        </row>
        <row r="8">
          <cell r="B8" t="str">
            <v>随州碧桂园凤凰酒店有限公司</v>
          </cell>
          <cell r="C8" t="str">
            <v>Laundry 洗涤费</v>
          </cell>
          <cell r="D8">
            <v>19926</v>
          </cell>
        </row>
        <row r="9">
          <cell r="B9" t="str">
            <v>安庆碧桂园凤凰酒店有限公司</v>
          </cell>
          <cell r="C9" t="str">
            <v>Laundry 洗涤费</v>
          </cell>
          <cell r="D9">
            <v>27309.68</v>
          </cell>
        </row>
        <row r="10">
          <cell r="B10" t="str">
            <v>咸宁碧桂园凤凰温泉酒店有限公司</v>
          </cell>
          <cell r="C10" t="str">
            <v>Laundry 洗涤费</v>
          </cell>
          <cell r="D10">
            <v>103347.4</v>
          </cell>
        </row>
        <row r="11">
          <cell r="B11" t="str">
            <v>重庆市碧桂园凤城酒店有限公司</v>
          </cell>
          <cell r="C11" t="str">
            <v>Laundry 洗涤费</v>
          </cell>
          <cell r="D11">
            <v>155518.57999999999</v>
          </cell>
        </row>
        <row r="12">
          <cell r="B12" t="str">
            <v>武汉市碧桂园凤凰酒店有限公司</v>
          </cell>
          <cell r="C12" t="str">
            <v>Laundry 洗涤费</v>
          </cell>
          <cell r="D12">
            <v>26591.14</v>
          </cell>
        </row>
        <row r="13">
          <cell r="B13" t="str">
            <v>韶关市碧桂园凤凰酒店有限公司</v>
          </cell>
          <cell r="C13" t="str">
            <v>Laundry 洗涤费</v>
          </cell>
          <cell r="D13">
            <v>138278.48000000001</v>
          </cell>
        </row>
        <row r="14">
          <cell r="B14" t="str">
            <v>黄山碧桂园凤凰酒店有限公司</v>
          </cell>
          <cell r="C14" t="str">
            <v>Laundry 洗涤费</v>
          </cell>
          <cell r="D14">
            <v>56665.95</v>
          </cell>
        </row>
        <row r="15">
          <cell r="B15" t="str">
            <v>池州市碧桂园凤凰酒店有限公司</v>
          </cell>
          <cell r="C15" t="str">
            <v>Laundry 洗涤费</v>
          </cell>
          <cell r="D15">
            <v>114347.78</v>
          </cell>
        </row>
        <row r="16">
          <cell r="B16" t="str">
            <v>芜湖碧桂园凤凰酒店有限公司</v>
          </cell>
          <cell r="C16" t="str">
            <v>Laundry 洗涤费</v>
          </cell>
          <cell r="D16">
            <v>30056.25</v>
          </cell>
        </row>
        <row r="17">
          <cell r="B17" t="str">
            <v>滁州碧桂园凤凰酒店管理有限公司</v>
          </cell>
          <cell r="C17" t="str">
            <v>Laundry 洗涤费</v>
          </cell>
          <cell r="D17">
            <v>18592.330000000002</v>
          </cell>
        </row>
        <row r="18">
          <cell r="B18" t="str">
            <v>清远市卓越弘建置业投资有限公司佛冈酒店分公司</v>
          </cell>
          <cell r="C18" t="str">
            <v>Laundry 洗涤费</v>
          </cell>
          <cell r="D18">
            <v>3256.72</v>
          </cell>
        </row>
        <row r="19">
          <cell r="B19" t="str">
            <v>泰州市碧桂园凤凰酒店有限公司</v>
          </cell>
          <cell r="C19" t="str">
            <v>Laundry 洗涤费</v>
          </cell>
          <cell r="D19">
            <v>41100.83</v>
          </cell>
        </row>
        <row r="20">
          <cell r="B20" t="str">
            <v>巢湖南岸碧桂园凤凰酒店有限公司</v>
          </cell>
          <cell r="C20" t="str">
            <v>Laundry 洗涤费</v>
          </cell>
          <cell r="D20">
            <v>9114.1200000000008</v>
          </cell>
        </row>
        <row r="21">
          <cell r="B21" t="str">
            <v>句容碧桂园凤凰城酒店管理有限公司</v>
          </cell>
          <cell r="C21" t="str">
            <v>Laundry 洗涤费</v>
          </cell>
          <cell r="D21">
            <v>15082.98</v>
          </cell>
        </row>
        <row r="22">
          <cell r="B22" t="str">
            <v>云浮市碧桂园凤凰酒店有限公司</v>
          </cell>
          <cell r="C22" t="str">
            <v>Laundry 洗涤费</v>
          </cell>
          <cell r="D22">
            <v>25611.38</v>
          </cell>
        </row>
        <row r="23">
          <cell r="B23" t="str">
            <v>张家界碧桂园凤凰酒店管理有限公司</v>
          </cell>
          <cell r="C23" t="str">
            <v>Laundry 洗涤费</v>
          </cell>
          <cell r="D23">
            <v>163943.4</v>
          </cell>
        </row>
        <row r="24">
          <cell r="B24" t="str">
            <v>临高金碧酒店管理有限公司</v>
          </cell>
          <cell r="C24" t="str">
            <v>Laundry 洗涤费</v>
          </cell>
          <cell r="D24">
            <v>35691.47</v>
          </cell>
        </row>
        <row r="25">
          <cell r="B25" t="str">
            <v>海南临高碧桂园房地产开发有限公司酒店分公司</v>
          </cell>
          <cell r="C25" t="str">
            <v>Laundry 洗涤费</v>
          </cell>
          <cell r="D25">
            <v>52754.71</v>
          </cell>
        </row>
        <row r="26">
          <cell r="B26" t="str">
            <v>科右前旗碧桂园凤凰置业有限公司</v>
          </cell>
          <cell r="C26" t="str">
            <v>Laundry 洗涤费</v>
          </cell>
          <cell r="D26">
            <v>9805.83</v>
          </cell>
        </row>
        <row r="27">
          <cell r="B27" t="str">
            <v>佛山市顺德区龙江镇碧桂园凤凰酒店有限公司</v>
          </cell>
          <cell r="C27" t="str">
            <v>Laundry 洗涤费</v>
          </cell>
          <cell r="D27">
            <v>27813.49</v>
          </cell>
        </row>
        <row r="28">
          <cell r="B28" t="str">
            <v>沈阳南营碧桂园酒店有限公司</v>
          </cell>
          <cell r="C28" t="str">
            <v>Laundry 洗涤费</v>
          </cell>
          <cell r="D28">
            <v>32838.94</v>
          </cell>
        </row>
        <row r="29">
          <cell r="B29" t="str">
            <v>广东康兰假日酒店有限公司</v>
          </cell>
          <cell r="C29" t="str">
            <v>Laundry 洗涤费</v>
          </cell>
          <cell r="D29">
            <v>24060.23</v>
          </cell>
        </row>
        <row r="30">
          <cell r="B30" t="str">
            <v>韶关市碧桂园芙景湾酒店有限公司</v>
          </cell>
          <cell r="C30" t="str">
            <v>Laundry 洗涤费</v>
          </cell>
          <cell r="D30">
            <v>11710.44</v>
          </cell>
        </row>
        <row r="31">
          <cell r="B31" t="str">
            <v>惠东县凤悦酒店有限公司</v>
          </cell>
          <cell r="C31" t="str">
            <v>Laundry 洗涤费</v>
          </cell>
          <cell r="D31">
            <v>65340.21</v>
          </cell>
        </row>
        <row r="32">
          <cell r="B32" t="str">
            <v>鹤山市共和碧桂园房地产开发有限公司酒店分公司</v>
          </cell>
          <cell r="C32" t="str">
            <v>Laundry 洗涤费</v>
          </cell>
          <cell r="D32">
            <v>17667.48</v>
          </cell>
        </row>
        <row r="33">
          <cell r="B33" t="str">
            <v>益阳市碧桂园凤凰酒店有限公司</v>
          </cell>
          <cell r="C33" t="str">
            <v>Laundry 洗涤费</v>
          </cell>
          <cell r="D33">
            <v>71284.06</v>
          </cell>
        </row>
        <row r="34">
          <cell r="B34" t="str">
            <v>南充市碧桂园房地产开发有限公司酒店分公司</v>
          </cell>
          <cell r="C34" t="str">
            <v>Laundry 洗涤费</v>
          </cell>
          <cell r="D34">
            <v>93263.07</v>
          </cell>
        </row>
        <row r="35">
          <cell r="B35" t="str">
            <v>广州金叶子酒店有限公司</v>
          </cell>
          <cell r="C35" t="str">
            <v>Laundry 洗涤费</v>
          </cell>
          <cell r="D35">
            <v>12434.62</v>
          </cell>
        </row>
        <row r="36">
          <cell r="B36" t="str">
            <v>沈阳于洪碧桂园凤凰酒店有限公司</v>
          </cell>
          <cell r="C36" t="str">
            <v>Laundry 洗涤费</v>
          </cell>
          <cell r="D36">
            <v>170450.52</v>
          </cell>
        </row>
        <row r="37">
          <cell r="B37" t="str">
            <v>广州市荔碧凤悦酒店有限公司</v>
          </cell>
          <cell r="C37" t="str">
            <v>Laundry 洗涤费</v>
          </cell>
          <cell r="D37">
            <v>86555.77</v>
          </cell>
        </row>
        <row r="38">
          <cell r="B38" t="str">
            <v>佛山市芯林瑚酒店管理有限公司</v>
          </cell>
          <cell r="C38" t="str">
            <v>Laundry 洗涤费</v>
          </cell>
          <cell r="D38">
            <v>12824.02</v>
          </cell>
        </row>
      </sheetData>
      <sheetData sheetId="8">
        <row r="1">
          <cell r="B1" t="str">
            <v>Source.Name.2.1</v>
          </cell>
          <cell r="C1" t="str">
            <v>Column7</v>
          </cell>
          <cell r="D1" t="str">
            <v>YtdAct;</v>
          </cell>
        </row>
        <row r="2">
          <cell r="B2" t="str">
            <v>佛山市顺德区碧桂园物业发展有限公司渡假村</v>
          </cell>
          <cell r="C2" t="str">
            <v>Total Revenue 总收入</v>
          </cell>
          <cell r="D2">
            <v>417731.6</v>
          </cell>
        </row>
        <row r="3">
          <cell r="B3" t="str">
            <v>佛山市顺德区碧桂园物业发展有限公司渡假村</v>
          </cell>
          <cell r="C3" t="str">
            <v>Total Revenue 总收入</v>
          </cell>
          <cell r="D3">
            <v>417731.6</v>
          </cell>
        </row>
        <row r="4">
          <cell r="B4" t="str">
            <v>佛山市顺德区碧桂园物业发展有限公司渡假村</v>
          </cell>
          <cell r="C4" t="str">
            <v>Total Cost of Sales 总销售成本</v>
          </cell>
          <cell r="D4">
            <v>331444.62</v>
          </cell>
        </row>
        <row r="5">
          <cell r="B5" t="str">
            <v>佛山市顺德区陈村镇碧桂园物业发展有限公司碧桂花城大酒店</v>
          </cell>
          <cell r="C5" t="str">
            <v>Total Revenue 总收入</v>
          </cell>
          <cell r="D5">
            <v>505599.62</v>
          </cell>
        </row>
        <row r="6">
          <cell r="B6" t="str">
            <v>佛山市顺德区陈村镇碧桂园物业发展有限公司碧桂花城大酒店</v>
          </cell>
          <cell r="C6" t="str">
            <v>Total Revenue 总收入</v>
          </cell>
          <cell r="D6">
            <v>505599.62</v>
          </cell>
        </row>
        <row r="7">
          <cell r="B7" t="str">
            <v>佛山市顺德区陈村镇碧桂园物业发展有限公司碧桂花城大酒店</v>
          </cell>
          <cell r="C7" t="str">
            <v>Total Cost of Sales 总销售成本</v>
          </cell>
          <cell r="D7">
            <v>386301.94</v>
          </cell>
        </row>
        <row r="8">
          <cell r="B8" t="str">
            <v>增城市碧桂园凤凰城酒店有限公司</v>
          </cell>
          <cell r="C8" t="str">
            <v>Total Revenue 总收入</v>
          </cell>
          <cell r="D8">
            <v>2018930.53</v>
          </cell>
        </row>
        <row r="9">
          <cell r="B9" t="str">
            <v>增城市碧桂园凤凰城酒店有限公司</v>
          </cell>
          <cell r="C9" t="str">
            <v>Total Revenue 总收入</v>
          </cell>
          <cell r="D9">
            <v>2018930.53</v>
          </cell>
        </row>
        <row r="10">
          <cell r="B10" t="str">
            <v>增城市碧桂园凤凰城酒店有限公司</v>
          </cell>
          <cell r="C10" t="str">
            <v>Total Cost of Sales 总销售成本</v>
          </cell>
          <cell r="D10">
            <v>1598303.38</v>
          </cell>
        </row>
        <row r="11">
          <cell r="B11" t="str">
            <v>佛山市高明区碧桂园凤凰酒店有限公司</v>
          </cell>
          <cell r="C11" t="str">
            <v>Total Revenue 总收入</v>
          </cell>
          <cell r="D11">
            <v>1773236.21</v>
          </cell>
        </row>
        <row r="12">
          <cell r="B12" t="str">
            <v>佛山市高明区碧桂园凤凰酒店有限公司</v>
          </cell>
          <cell r="C12" t="str">
            <v>Total Revenue 总收入</v>
          </cell>
          <cell r="D12">
            <v>1773236.21</v>
          </cell>
        </row>
        <row r="13">
          <cell r="B13" t="str">
            <v>佛山市高明区碧桂园凤凰酒店有限公司</v>
          </cell>
          <cell r="C13" t="str">
            <v>Total Cost of Sales 总销售成本</v>
          </cell>
          <cell r="D13">
            <v>1423483.6</v>
          </cell>
        </row>
        <row r="14">
          <cell r="B14" t="str">
            <v>江门市新会碧桂园凤凰酒店有限公司</v>
          </cell>
          <cell r="C14" t="str">
            <v>Total Revenue 总收入</v>
          </cell>
          <cell r="D14">
            <v>1380402.87</v>
          </cell>
        </row>
        <row r="15">
          <cell r="B15" t="str">
            <v>江门市新会碧桂园凤凰酒店有限公司</v>
          </cell>
          <cell r="C15" t="str">
            <v>Total Revenue 总收入</v>
          </cell>
          <cell r="D15">
            <v>1380402.87</v>
          </cell>
        </row>
        <row r="16">
          <cell r="B16" t="str">
            <v>江门市新会碧桂园凤凰酒店有限公司</v>
          </cell>
          <cell r="C16" t="str">
            <v>Total Cost of Sales 总销售成本</v>
          </cell>
          <cell r="D16">
            <v>1102816.8600000001</v>
          </cell>
        </row>
        <row r="17">
          <cell r="B17" t="str">
            <v>长沙经济技术开发区威尼斯酒店有限公司</v>
          </cell>
          <cell r="C17" t="str">
            <v>Total Revenue 总收入</v>
          </cell>
          <cell r="D17">
            <v>790965.38</v>
          </cell>
        </row>
        <row r="18">
          <cell r="B18" t="str">
            <v>长沙经济技术开发区威尼斯酒店有限公司</v>
          </cell>
          <cell r="C18" t="str">
            <v>Total Revenue 总收入</v>
          </cell>
          <cell r="D18">
            <v>790965.38</v>
          </cell>
        </row>
        <row r="19">
          <cell r="B19" t="str">
            <v>长沙经济技术开发区威尼斯酒店有限公司</v>
          </cell>
          <cell r="C19" t="str">
            <v>Total Cost of Sales 总销售成本</v>
          </cell>
          <cell r="D19">
            <v>608277.74</v>
          </cell>
        </row>
        <row r="20">
          <cell r="B20" t="str">
            <v>随州碧桂园凤凰酒店有限公司</v>
          </cell>
          <cell r="C20" t="str">
            <v>Total Revenue 总收入</v>
          </cell>
          <cell r="D20">
            <v>1205356.75</v>
          </cell>
        </row>
        <row r="21">
          <cell r="B21" t="str">
            <v>随州碧桂园凤凰酒店有限公司</v>
          </cell>
          <cell r="C21" t="str">
            <v>Total Revenue 总收入</v>
          </cell>
          <cell r="D21">
            <v>1205356.75</v>
          </cell>
        </row>
        <row r="22">
          <cell r="B22" t="str">
            <v>随州碧桂园凤凰酒店有限公司</v>
          </cell>
          <cell r="C22" t="str">
            <v>Total Cost of Sales 总销售成本</v>
          </cell>
          <cell r="D22">
            <v>919457.78</v>
          </cell>
        </row>
        <row r="23">
          <cell r="B23" t="str">
            <v>安庆碧桂园凤凰酒店有限公司</v>
          </cell>
          <cell r="C23" t="str">
            <v>Total Revenue 总收入</v>
          </cell>
          <cell r="D23">
            <v>286820.38</v>
          </cell>
        </row>
        <row r="24">
          <cell r="B24" t="str">
            <v>安庆碧桂园凤凰酒店有限公司</v>
          </cell>
          <cell r="C24" t="str">
            <v>Total Revenue 总收入</v>
          </cell>
          <cell r="D24">
            <v>286820.38</v>
          </cell>
        </row>
        <row r="25">
          <cell r="B25" t="str">
            <v>安庆碧桂园凤凰酒店有限公司</v>
          </cell>
          <cell r="C25" t="str">
            <v>Total Cost of Sales 总销售成本</v>
          </cell>
          <cell r="D25">
            <v>171238.97</v>
          </cell>
        </row>
        <row r="26">
          <cell r="B26" t="str">
            <v>咸宁碧桂园凤凰温泉酒店有限公司</v>
          </cell>
          <cell r="C26" t="str">
            <v>Total Revenue 总收入</v>
          </cell>
          <cell r="D26">
            <v>0</v>
          </cell>
        </row>
        <row r="27">
          <cell r="B27" t="str">
            <v>咸宁碧桂园凤凰温泉酒店有限公司</v>
          </cell>
          <cell r="C27" t="str">
            <v>Total Revenue 总收入</v>
          </cell>
          <cell r="D27">
            <v>0</v>
          </cell>
        </row>
        <row r="28">
          <cell r="B28" t="str">
            <v>咸宁碧桂园凤凰温泉酒店有限公司</v>
          </cell>
          <cell r="C28" t="str">
            <v>Total Cost of Sales 总销售成本</v>
          </cell>
          <cell r="D28">
            <v>0</v>
          </cell>
        </row>
        <row r="29">
          <cell r="B29" t="str">
            <v>重庆市碧桂园凤城酒店有限公司</v>
          </cell>
          <cell r="C29" t="str">
            <v>Total Revenue 总收入</v>
          </cell>
          <cell r="D29">
            <v>869633.52</v>
          </cell>
        </row>
        <row r="30">
          <cell r="B30" t="str">
            <v>重庆市碧桂园凤城酒店有限公司</v>
          </cell>
          <cell r="C30" t="str">
            <v>Total Revenue 总收入</v>
          </cell>
          <cell r="D30">
            <v>869633.52</v>
          </cell>
        </row>
        <row r="31">
          <cell r="B31" t="str">
            <v>重庆市碧桂园凤城酒店有限公司</v>
          </cell>
          <cell r="C31" t="str">
            <v>Total Cost of Sales 总销售成本</v>
          </cell>
          <cell r="D31">
            <v>571704.77</v>
          </cell>
        </row>
        <row r="32">
          <cell r="B32" t="str">
            <v>武汉市碧桂园凤凰酒店有限公司</v>
          </cell>
          <cell r="C32" t="str">
            <v>Total Revenue 总收入</v>
          </cell>
          <cell r="D32">
            <v>256997.41</v>
          </cell>
        </row>
        <row r="33">
          <cell r="B33" t="str">
            <v>武汉市碧桂园凤凰酒店有限公司</v>
          </cell>
          <cell r="C33" t="str">
            <v>Total Revenue 总收入</v>
          </cell>
          <cell r="D33">
            <v>256997.41</v>
          </cell>
        </row>
        <row r="34">
          <cell r="B34" t="str">
            <v>武汉市碧桂园凤凰酒店有限公司</v>
          </cell>
          <cell r="C34" t="str">
            <v>Total Cost of Sales 总销售成本</v>
          </cell>
          <cell r="D34">
            <v>211313.86</v>
          </cell>
        </row>
        <row r="35">
          <cell r="B35" t="str">
            <v>韶关市碧桂园凤凰酒店有限公司</v>
          </cell>
          <cell r="C35" t="str">
            <v>Total Revenue 总收入</v>
          </cell>
          <cell r="D35">
            <v>1149639.4099999999</v>
          </cell>
        </row>
        <row r="36">
          <cell r="B36" t="str">
            <v>韶关市碧桂园凤凰酒店有限公司</v>
          </cell>
          <cell r="C36" t="str">
            <v>Total Revenue 总收入</v>
          </cell>
          <cell r="D36">
            <v>1149639.4099999999</v>
          </cell>
        </row>
        <row r="37">
          <cell r="B37" t="str">
            <v>韶关市碧桂园凤凰酒店有限公司</v>
          </cell>
          <cell r="C37" t="str">
            <v>Total Cost of Sales 总销售成本</v>
          </cell>
          <cell r="D37">
            <v>891561.28</v>
          </cell>
        </row>
        <row r="38">
          <cell r="B38" t="str">
            <v>黄山碧桂园凤凰酒店有限公司</v>
          </cell>
          <cell r="C38" t="str">
            <v>Total Revenue 总收入</v>
          </cell>
          <cell r="D38">
            <v>263845.86</v>
          </cell>
        </row>
        <row r="39">
          <cell r="B39" t="str">
            <v>黄山碧桂园凤凰酒店有限公司</v>
          </cell>
          <cell r="C39" t="str">
            <v>Total Revenue 总收入</v>
          </cell>
          <cell r="D39">
            <v>263845.86</v>
          </cell>
        </row>
        <row r="40">
          <cell r="B40" t="str">
            <v>黄山碧桂园凤凰酒店有限公司</v>
          </cell>
          <cell r="C40" t="str">
            <v>Total Cost of Sales 总销售成本</v>
          </cell>
          <cell r="D40">
            <v>187252.48000000001</v>
          </cell>
        </row>
        <row r="41">
          <cell r="B41" t="str">
            <v>池州市碧桂园凤凰酒店有限公司</v>
          </cell>
          <cell r="C41" t="str">
            <v>Total Revenue 总收入</v>
          </cell>
          <cell r="D41">
            <v>373746.24</v>
          </cell>
        </row>
        <row r="42">
          <cell r="B42" t="str">
            <v>池州市碧桂园凤凰酒店有限公司</v>
          </cell>
          <cell r="C42" t="str">
            <v>Total Revenue 总收入</v>
          </cell>
          <cell r="D42">
            <v>373746.24</v>
          </cell>
        </row>
        <row r="43">
          <cell r="B43" t="str">
            <v>池州市碧桂园凤凰酒店有限公司</v>
          </cell>
          <cell r="C43" t="str">
            <v>Total Cost of Sales 总销售成本</v>
          </cell>
          <cell r="D43">
            <v>279798.27</v>
          </cell>
        </row>
        <row r="44">
          <cell r="B44" t="str">
            <v>芜湖碧桂园凤凰酒店有限公司</v>
          </cell>
          <cell r="C44" t="str">
            <v>Total Revenue 总收入</v>
          </cell>
          <cell r="D44">
            <v>397009.13</v>
          </cell>
        </row>
        <row r="45">
          <cell r="B45" t="str">
            <v>芜湖碧桂园凤凰酒店有限公司</v>
          </cell>
          <cell r="C45" t="str">
            <v>Total Revenue 总收入</v>
          </cell>
          <cell r="D45">
            <v>397009.13</v>
          </cell>
        </row>
        <row r="46">
          <cell r="B46" t="str">
            <v>芜湖碧桂园凤凰酒店有限公司</v>
          </cell>
          <cell r="C46" t="str">
            <v>Total Cost of Sales 总销售成本</v>
          </cell>
          <cell r="D46">
            <v>348010.87</v>
          </cell>
        </row>
        <row r="47">
          <cell r="B47" t="str">
            <v>滁州碧桂园凤凰酒店管理有限公司</v>
          </cell>
          <cell r="C47" t="str">
            <v>Total Revenue 总收入</v>
          </cell>
          <cell r="D47">
            <v>76075.240000000005</v>
          </cell>
        </row>
        <row r="48">
          <cell r="B48" t="str">
            <v>滁州碧桂园凤凰酒店管理有限公司</v>
          </cell>
          <cell r="C48" t="str">
            <v>Total Revenue 总收入</v>
          </cell>
          <cell r="D48">
            <v>76075.240000000005</v>
          </cell>
        </row>
        <row r="49">
          <cell r="B49" t="str">
            <v>滁州碧桂园凤凰酒店管理有限公司</v>
          </cell>
          <cell r="C49" t="str">
            <v>Total Cost of Sales 总销售成本</v>
          </cell>
          <cell r="D49">
            <v>47741.43</v>
          </cell>
        </row>
        <row r="50">
          <cell r="B50" t="str">
            <v>清远市卓越弘建置业投资有限公司佛冈酒店分公司</v>
          </cell>
          <cell r="C50" t="str">
            <v>Total Revenue 总收入</v>
          </cell>
          <cell r="D50">
            <v>115707.15</v>
          </cell>
        </row>
        <row r="51">
          <cell r="B51" t="str">
            <v>清远市卓越弘建置业投资有限公司佛冈酒店分公司</v>
          </cell>
          <cell r="C51" t="str">
            <v>Total Revenue 总收入</v>
          </cell>
          <cell r="D51">
            <v>115707.15</v>
          </cell>
        </row>
        <row r="52">
          <cell r="B52" t="str">
            <v>清远市卓越弘建置业投资有限公司佛冈酒店分公司</v>
          </cell>
          <cell r="C52" t="str">
            <v>Total Cost of Sales 总销售成本</v>
          </cell>
          <cell r="D52">
            <v>75123.61</v>
          </cell>
        </row>
        <row r="53">
          <cell r="B53" t="str">
            <v>泰州市碧桂园凤凰酒店有限公司</v>
          </cell>
          <cell r="C53" t="str">
            <v>Total Revenue 总收入</v>
          </cell>
          <cell r="D53">
            <v>389227.95</v>
          </cell>
        </row>
        <row r="54">
          <cell r="B54" t="str">
            <v>泰州市碧桂园凤凰酒店有限公司</v>
          </cell>
          <cell r="C54" t="str">
            <v>Total Revenue 总收入</v>
          </cell>
          <cell r="D54">
            <v>389227.95</v>
          </cell>
        </row>
        <row r="55">
          <cell r="B55" t="str">
            <v>泰州市碧桂园凤凰酒店有限公司</v>
          </cell>
          <cell r="C55" t="str">
            <v>Total Cost of Sales 总销售成本</v>
          </cell>
          <cell r="D55">
            <v>287016.24</v>
          </cell>
        </row>
        <row r="56">
          <cell r="B56" t="str">
            <v>巢湖南岸碧桂园凤凰酒店有限公司</v>
          </cell>
          <cell r="C56" t="str">
            <v>Total Revenue 总收入</v>
          </cell>
          <cell r="D56">
            <v>442319.21</v>
          </cell>
        </row>
        <row r="57">
          <cell r="B57" t="str">
            <v>巢湖南岸碧桂园凤凰酒店有限公司</v>
          </cell>
          <cell r="C57" t="str">
            <v>Total Revenue 总收入</v>
          </cell>
          <cell r="D57">
            <v>442319.21</v>
          </cell>
        </row>
        <row r="58">
          <cell r="B58" t="str">
            <v>巢湖南岸碧桂园凤凰酒店有限公司</v>
          </cell>
          <cell r="C58" t="str">
            <v>Total Cost of Sales 总销售成本</v>
          </cell>
          <cell r="D58">
            <v>360938.31</v>
          </cell>
        </row>
        <row r="59">
          <cell r="B59" t="str">
            <v>句容碧桂园凤凰城酒店管理有限公司</v>
          </cell>
          <cell r="C59" t="str">
            <v>Total Revenue 总收入</v>
          </cell>
          <cell r="D59">
            <v>500879.07</v>
          </cell>
        </row>
        <row r="60">
          <cell r="B60" t="str">
            <v>句容碧桂园凤凰城酒店管理有限公司</v>
          </cell>
          <cell r="C60" t="str">
            <v>Total Revenue 总收入</v>
          </cell>
          <cell r="D60">
            <v>500879.07</v>
          </cell>
        </row>
        <row r="61">
          <cell r="B61" t="str">
            <v>句容碧桂园凤凰城酒店管理有限公司</v>
          </cell>
          <cell r="C61" t="str">
            <v>Total Cost of Sales 总销售成本</v>
          </cell>
          <cell r="D61">
            <v>339759.51</v>
          </cell>
        </row>
        <row r="62">
          <cell r="B62" t="str">
            <v>云浮市碧桂园凤凰酒店有限公司</v>
          </cell>
          <cell r="C62" t="str">
            <v>Total Revenue 总收入</v>
          </cell>
          <cell r="D62">
            <v>166867.84</v>
          </cell>
        </row>
        <row r="63">
          <cell r="B63" t="str">
            <v>云浮市碧桂园凤凰酒店有限公司</v>
          </cell>
          <cell r="C63" t="str">
            <v>Total Revenue 总收入</v>
          </cell>
          <cell r="D63">
            <v>166867.84</v>
          </cell>
        </row>
        <row r="64">
          <cell r="B64" t="str">
            <v>云浮市碧桂园凤凰酒店有限公司</v>
          </cell>
          <cell r="C64" t="str">
            <v>Total Cost of Sales 总销售成本</v>
          </cell>
          <cell r="D64">
            <v>120339.14</v>
          </cell>
        </row>
        <row r="65">
          <cell r="B65" t="str">
            <v>张家界碧桂园凤凰酒店管理有限公司</v>
          </cell>
          <cell r="C65" t="str">
            <v>Total Revenue 总收入</v>
          </cell>
          <cell r="D65">
            <v>368537.25</v>
          </cell>
        </row>
        <row r="66">
          <cell r="B66" t="str">
            <v>张家界碧桂园凤凰酒店管理有限公司</v>
          </cell>
          <cell r="C66" t="str">
            <v>Total Revenue 总收入</v>
          </cell>
          <cell r="D66">
            <v>368537.25</v>
          </cell>
        </row>
        <row r="67">
          <cell r="B67" t="str">
            <v>张家界碧桂园凤凰酒店管理有限公司</v>
          </cell>
          <cell r="C67" t="str">
            <v>Total Cost of Sales 总销售成本</v>
          </cell>
          <cell r="D67">
            <v>104152.34</v>
          </cell>
        </row>
        <row r="68">
          <cell r="B68" t="str">
            <v>临高金碧酒店管理有限公司</v>
          </cell>
          <cell r="C68" t="str">
            <v>Total Revenue 总收入</v>
          </cell>
          <cell r="D68">
            <v>119757.09</v>
          </cell>
        </row>
        <row r="69">
          <cell r="B69" t="str">
            <v>临高金碧酒店管理有限公司</v>
          </cell>
          <cell r="C69" t="str">
            <v>Total Revenue 总收入</v>
          </cell>
          <cell r="D69">
            <v>119757.09</v>
          </cell>
        </row>
        <row r="70">
          <cell r="B70" t="str">
            <v>临高金碧酒店管理有限公司</v>
          </cell>
          <cell r="C70" t="str">
            <v>Total Cost of Sales 总销售成本</v>
          </cell>
          <cell r="D70">
            <v>78755.28</v>
          </cell>
        </row>
        <row r="71">
          <cell r="B71" t="str">
            <v>海南临高碧桂园房地产开发有限公司酒店分公司</v>
          </cell>
          <cell r="C71" t="str">
            <v>Total Revenue 总收入</v>
          </cell>
          <cell r="D71">
            <v>111249.71</v>
          </cell>
        </row>
        <row r="72">
          <cell r="B72" t="str">
            <v>海南临高碧桂园房地产开发有限公司酒店分公司</v>
          </cell>
          <cell r="C72" t="str">
            <v>Total Revenue 总收入</v>
          </cell>
          <cell r="D72">
            <v>111249.71</v>
          </cell>
        </row>
        <row r="73">
          <cell r="B73" t="str">
            <v>海南临高碧桂园房地产开发有限公司酒店分公司</v>
          </cell>
          <cell r="C73" t="str">
            <v>Total Cost of Sales 总销售成本</v>
          </cell>
          <cell r="D73">
            <v>98422.06</v>
          </cell>
        </row>
        <row r="74">
          <cell r="B74" t="str">
            <v>科右前旗碧桂园凤凰置业有限公司</v>
          </cell>
          <cell r="C74" t="str">
            <v>Total Revenue 总收入</v>
          </cell>
          <cell r="D74">
            <v>247075.54</v>
          </cell>
        </row>
        <row r="75">
          <cell r="B75" t="str">
            <v>科右前旗碧桂园凤凰置业有限公司</v>
          </cell>
          <cell r="C75" t="str">
            <v>Total Revenue 总收入</v>
          </cell>
          <cell r="D75">
            <v>247075.54</v>
          </cell>
        </row>
        <row r="76">
          <cell r="B76" t="str">
            <v>科右前旗碧桂园凤凰置业有限公司</v>
          </cell>
          <cell r="C76" t="str">
            <v>Total Cost of Sales 总销售成本</v>
          </cell>
          <cell r="D76">
            <v>156319.82999999999</v>
          </cell>
        </row>
        <row r="77">
          <cell r="B77" t="str">
            <v>佛山市顺德区龙江镇碧桂园凤凰酒店有限公司</v>
          </cell>
          <cell r="C77" t="str">
            <v>Total Revenue 总收入</v>
          </cell>
          <cell r="D77">
            <v>296348.86</v>
          </cell>
        </row>
        <row r="78">
          <cell r="B78" t="str">
            <v>佛山市顺德区龙江镇碧桂园凤凰酒店有限公司</v>
          </cell>
          <cell r="C78" t="str">
            <v>Total Revenue 总收入</v>
          </cell>
          <cell r="D78">
            <v>296348.86</v>
          </cell>
        </row>
        <row r="79">
          <cell r="B79" t="str">
            <v>佛山市顺德区龙江镇碧桂园凤凰酒店有限公司</v>
          </cell>
          <cell r="C79" t="str">
            <v>Total Cost of Sales 总销售成本</v>
          </cell>
          <cell r="D79">
            <v>274756.84999999998</v>
          </cell>
        </row>
        <row r="80">
          <cell r="B80" t="str">
            <v>沈阳南营碧桂园酒店有限公司</v>
          </cell>
          <cell r="C80" t="str">
            <v>Total Revenue 总收入</v>
          </cell>
          <cell r="D80">
            <v>379468.06</v>
          </cell>
        </row>
        <row r="81">
          <cell r="B81" t="str">
            <v>沈阳南营碧桂园酒店有限公司</v>
          </cell>
          <cell r="C81" t="str">
            <v>Total Revenue 总收入</v>
          </cell>
          <cell r="D81">
            <v>379468.06</v>
          </cell>
        </row>
        <row r="82">
          <cell r="B82" t="str">
            <v>沈阳南营碧桂园酒店有限公司</v>
          </cell>
          <cell r="C82" t="str">
            <v>Total Cost of Sales 总销售成本</v>
          </cell>
          <cell r="D82">
            <v>262659.53999999998</v>
          </cell>
        </row>
        <row r="83">
          <cell r="B83" t="str">
            <v>广东康兰假日酒店有限公司</v>
          </cell>
          <cell r="C83" t="str">
            <v>Total Revenue 总收入</v>
          </cell>
          <cell r="D83">
            <v>680308.07</v>
          </cell>
        </row>
        <row r="84">
          <cell r="B84" t="str">
            <v>广东康兰假日酒店有限公司</v>
          </cell>
          <cell r="C84" t="str">
            <v>Total Revenue 总收入</v>
          </cell>
          <cell r="D84">
            <v>680308.07</v>
          </cell>
        </row>
        <row r="85">
          <cell r="B85" t="str">
            <v>广东康兰假日酒店有限公司</v>
          </cell>
          <cell r="C85" t="str">
            <v>Total Cost of Sales 总销售成本</v>
          </cell>
          <cell r="D85">
            <v>513085.6</v>
          </cell>
        </row>
        <row r="86">
          <cell r="B86" t="str">
            <v>韶关市碧桂园芙景湾酒店有限公司</v>
          </cell>
          <cell r="C86" t="str">
            <v>Total Revenue 总收入</v>
          </cell>
          <cell r="D86">
            <v>534774.80000000005</v>
          </cell>
        </row>
        <row r="87">
          <cell r="B87" t="str">
            <v>韶关市碧桂园芙景湾酒店有限公司</v>
          </cell>
          <cell r="C87" t="str">
            <v>Total Revenue 总收入</v>
          </cell>
          <cell r="D87">
            <v>534774.80000000005</v>
          </cell>
        </row>
        <row r="88">
          <cell r="B88" t="str">
            <v>韶关市碧桂园芙景湾酒店有限公司</v>
          </cell>
          <cell r="C88" t="str">
            <v>Total Cost of Sales 总销售成本</v>
          </cell>
          <cell r="D88">
            <v>447230.08</v>
          </cell>
        </row>
        <row r="89">
          <cell r="B89" t="str">
            <v>惠东县凤悦酒店有限公司</v>
          </cell>
          <cell r="C89" t="str">
            <v>Total Revenue 总收入</v>
          </cell>
          <cell r="D89">
            <v>508491.47</v>
          </cell>
        </row>
        <row r="90">
          <cell r="B90" t="str">
            <v>惠东县凤悦酒店有限公司</v>
          </cell>
          <cell r="C90" t="str">
            <v>Total Revenue 总收入</v>
          </cell>
          <cell r="D90">
            <v>508491.47</v>
          </cell>
        </row>
        <row r="91">
          <cell r="B91" t="str">
            <v>惠东县凤悦酒店有限公司</v>
          </cell>
          <cell r="C91" t="str">
            <v>Total Cost of Sales 总销售成本</v>
          </cell>
          <cell r="D91">
            <v>362270.18</v>
          </cell>
        </row>
        <row r="92">
          <cell r="B92" t="str">
            <v>鹤山市共和碧桂园房地产开发有限公司酒店分公司</v>
          </cell>
          <cell r="C92" t="str">
            <v>Total Revenue 总收入</v>
          </cell>
          <cell r="D92">
            <v>587902.75</v>
          </cell>
        </row>
        <row r="93">
          <cell r="B93" t="str">
            <v>鹤山市共和碧桂园房地产开发有限公司酒店分公司</v>
          </cell>
          <cell r="C93" t="str">
            <v>Total Revenue 总收入</v>
          </cell>
          <cell r="D93">
            <v>587902.75</v>
          </cell>
        </row>
        <row r="94">
          <cell r="B94" t="str">
            <v>鹤山市共和碧桂园房地产开发有限公司酒店分公司</v>
          </cell>
          <cell r="C94" t="str">
            <v>Total Cost of Sales 总销售成本</v>
          </cell>
          <cell r="D94">
            <v>485829.5</v>
          </cell>
        </row>
        <row r="95">
          <cell r="B95" t="str">
            <v>益阳市碧桂园凤凰酒店有限公司</v>
          </cell>
          <cell r="C95" t="str">
            <v>Total Revenue 总收入</v>
          </cell>
          <cell r="D95">
            <v>381445.75</v>
          </cell>
        </row>
        <row r="96">
          <cell r="B96" t="str">
            <v>益阳市碧桂园凤凰酒店有限公司</v>
          </cell>
          <cell r="C96" t="str">
            <v>Total Revenue 总收入</v>
          </cell>
          <cell r="D96">
            <v>381445.75</v>
          </cell>
        </row>
        <row r="97">
          <cell r="B97" t="str">
            <v>益阳市碧桂园凤凰酒店有限公司</v>
          </cell>
          <cell r="C97" t="str">
            <v>Total Cost of Sales 总销售成本</v>
          </cell>
          <cell r="D97">
            <v>260922.75</v>
          </cell>
        </row>
        <row r="98">
          <cell r="B98" t="str">
            <v>南充市碧桂园房地产开发有限公司酒店分公司</v>
          </cell>
          <cell r="C98" t="str">
            <v>Total Revenue 总收入</v>
          </cell>
          <cell r="D98">
            <v>2274083.23</v>
          </cell>
        </row>
        <row r="99">
          <cell r="B99" t="str">
            <v>南充市碧桂园房地产开发有限公司酒店分公司</v>
          </cell>
          <cell r="C99" t="str">
            <v>Total Revenue 总收入</v>
          </cell>
          <cell r="D99">
            <v>2274083.23</v>
          </cell>
        </row>
        <row r="100">
          <cell r="B100" t="str">
            <v>南充市碧桂园房地产开发有限公司酒店分公司</v>
          </cell>
          <cell r="C100" t="str">
            <v>Total Cost of Sales 总销售成本</v>
          </cell>
          <cell r="D100">
            <v>1731735.55</v>
          </cell>
        </row>
        <row r="101">
          <cell r="B101" t="str">
            <v>广州金叶子酒店有限公司</v>
          </cell>
          <cell r="C101" t="str">
            <v>Total Revenue 总收入</v>
          </cell>
          <cell r="D101">
            <v>348649.94</v>
          </cell>
        </row>
        <row r="102">
          <cell r="B102" t="str">
            <v>广州金叶子酒店有限公司</v>
          </cell>
          <cell r="C102" t="str">
            <v>Total Revenue 总收入</v>
          </cell>
          <cell r="D102">
            <v>348649.94</v>
          </cell>
        </row>
        <row r="103">
          <cell r="B103" t="str">
            <v>广州金叶子酒店有限公司</v>
          </cell>
          <cell r="C103" t="str">
            <v>Total Cost of Sales 总销售成本</v>
          </cell>
          <cell r="D103">
            <v>338080.88</v>
          </cell>
        </row>
        <row r="104">
          <cell r="B104" t="str">
            <v>沈阳于洪碧桂园凤凰酒店有限公司</v>
          </cell>
          <cell r="C104" t="str">
            <v>Total Revenue 总收入</v>
          </cell>
          <cell r="D104">
            <v>840519.2</v>
          </cell>
        </row>
        <row r="105">
          <cell r="B105" t="str">
            <v>沈阳于洪碧桂园凤凰酒店有限公司</v>
          </cell>
          <cell r="C105" t="str">
            <v>Total Revenue 总收入</v>
          </cell>
          <cell r="D105">
            <v>840519.2</v>
          </cell>
        </row>
        <row r="106">
          <cell r="B106" t="str">
            <v>沈阳于洪碧桂园凤凰酒店有限公司</v>
          </cell>
          <cell r="C106" t="str">
            <v>Total Cost of Sales 总销售成本</v>
          </cell>
          <cell r="D106">
            <v>537527.19999999995</v>
          </cell>
        </row>
        <row r="107">
          <cell r="B107" t="str">
            <v>广州市荔碧凤悦酒店有限公司</v>
          </cell>
          <cell r="C107" t="str">
            <v>Total Revenue 总收入</v>
          </cell>
          <cell r="D107">
            <v>831537.95</v>
          </cell>
        </row>
        <row r="108">
          <cell r="B108" t="str">
            <v>广州市荔碧凤悦酒店有限公司</v>
          </cell>
          <cell r="C108" t="str">
            <v>Total Revenue 总收入</v>
          </cell>
          <cell r="D108">
            <v>831537.95</v>
          </cell>
        </row>
        <row r="109">
          <cell r="B109" t="str">
            <v>广州市荔碧凤悦酒店有限公司</v>
          </cell>
          <cell r="C109" t="str">
            <v>Total Cost of Sales 总销售成本</v>
          </cell>
          <cell r="D109">
            <v>698141.99</v>
          </cell>
        </row>
        <row r="110">
          <cell r="B110" t="str">
            <v>佛山市芯林瑚酒店管理有限公司</v>
          </cell>
          <cell r="C110" t="str">
            <v>Total Revenue 总收入</v>
          </cell>
          <cell r="D110">
            <v>597241.06000000006</v>
          </cell>
        </row>
        <row r="111">
          <cell r="B111" t="str">
            <v>佛山市芯林瑚酒店管理有限公司</v>
          </cell>
          <cell r="C111" t="str">
            <v>Total Revenue 总收入</v>
          </cell>
          <cell r="D111">
            <v>597241.06000000006</v>
          </cell>
        </row>
        <row r="112">
          <cell r="B112" t="str">
            <v>佛山市芯林瑚酒店管理有限公司</v>
          </cell>
          <cell r="C112" t="str">
            <v>Total Cost of Sales 总销售成本</v>
          </cell>
          <cell r="D112">
            <v>481373.69</v>
          </cell>
        </row>
      </sheetData>
      <sheetData sheetId="9">
        <row r="1">
          <cell r="A1" t="str">
            <v>Source.Name.2.1</v>
          </cell>
          <cell r="B1" t="str">
            <v>Column7</v>
          </cell>
          <cell r="C1" t="str">
            <v>Column19</v>
          </cell>
        </row>
        <row r="2">
          <cell r="A2" t="str">
            <v>佛山市顺德区碧桂园物业发展有限公司渡假村</v>
          </cell>
          <cell r="B2" t="str">
            <v>Total Cost of Sales 总销售成本</v>
          </cell>
          <cell r="C2">
            <v>29155.64</v>
          </cell>
        </row>
        <row r="3">
          <cell r="A3" t="str">
            <v>佛山市顺德区碧桂园物业发展有限公司渡假村</v>
          </cell>
          <cell r="B3" t="str">
            <v>Total Other Expenses 其他费用合计</v>
          </cell>
          <cell r="C3">
            <v>27383.03</v>
          </cell>
        </row>
        <row r="4">
          <cell r="A4" t="str">
            <v>佛山市顺德区陈村镇碧桂园物业发展有限公司碧桂花城大酒店</v>
          </cell>
          <cell r="B4" t="str">
            <v>Total Cost of Sales 总销售成本</v>
          </cell>
          <cell r="C4">
            <v>0</v>
          </cell>
        </row>
        <row r="5">
          <cell r="A5" t="str">
            <v>佛山市顺德区陈村镇碧桂园物业发展有限公司碧桂花城大酒店</v>
          </cell>
          <cell r="B5" t="str">
            <v>Total Other Expenses 其他费用合计</v>
          </cell>
          <cell r="C5">
            <v>0</v>
          </cell>
        </row>
        <row r="6">
          <cell r="A6" t="str">
            <v>增城市碧桂园凤凰城酒店有限公司</v>
          </cell>
          <cell r="B6" t="str">
            <v>Total Cost of Sales 总销售成本</v>
          </cell>
          <cell r="C6">
            <v>4488.13</v>
          </cell>
        </row>
        <row r="7">
          <cell r="A7" t="str">
            <v>增城市碧桂园凤凰城酒店有限公司</v>
          </cell>
          <cell r="B7" t="str">
            <v>Total Other Expenses 其他费用合计</v>
          </cell>
          <cell r="C7">
            <v>21592.25</v>
          </cell>
        </row>
        <row r="8">
          <cell r="A8" t="str">
            <v>佛山市高明区碧桂园凤凰酒店有限公司</v>
          </cell>
          <cell r="B8" t="str">
            <v>Total Cost of Sales 总销售成本</v>
          </cell>
          <cell r="C8">
            <v>0</v>
          </cell>
        </row>
        <row r="9">
          <cell r="A9" t="str">
            <v>佛山市高明区碧桂园凤凰酒店有限公司</v>
          </cell>
          <cell r="B9" t="str">
            <v>Total Other Expenses 其他费用合计</v>
          </cell>
          <cell r="C9">
            <v>0</v>
          </cell>
        </row>
        <row r="10">
          <cell r="A10" t="str">
            <v>江门市新会碧桂园凤凰酒店有限公司</v>
          </cell>
          <cell r="B10" t="str">
            <v>Total Cost of Sales 总销售成本</v>
          </cell>
          <cell r="C10">
            <v>0</v>
          </cell>
        </row>
        <row r="11">
          <cell r="A11" t="str">
            <v>江门市新会碧桂园凤凰酒店有限公司</v>
          </cell>
          <cell r="B11" t="str">
            <v>Total Other Expenses 其他费用合计</v>
          </cell>
          <cell r="C11">
            <v>0</v>
          </cell>
        </row>
        <row r="12">
          <cell r="A12" t="str">
            <v>长沙经济技术开发区威尼斯酒店有限公司</v>
          </cell>
          <cell r="B12" t="str">
            <v>Total Cost of Sales 总销售成本</v>
          </cell>
          <cell r="C12">
            <v>-413.64</v>
          </cell>
        </row>
        <row r="13">
          <cell r="A13" t="str">
            <v>长沙经济技术开发区威尼斯酒店有限公司</v>
          </cell>
          <cell r="B13" t="str">
            <v>Total Other Expenses 其他费用合计</v>
          </cell>
          <cell r="C13">
            <v>20288.310000000001</v>
          </cell>
        </row>
        <row r="14">
          <cell r="A14" t="str">
            <v>随州碧桂园凤凰酒店有限公司</v>
          </cell>
          <cell r="B14" t="str">
            <v>Total Cost of Sales 总销售成本</v>
          </cell>
          <cell r="C14">
            <v>0</v>
          </cell>
        </row>
        <row r="15">
          <cell r="A15" t="str">
            <v>随州碧桂园凤凰酒店有限公司</v>
          </cell>
          <cell r="B15" t="str">
            <v>Total Other Expenses 其他费用合计</v>
          </cell>
          <cell r="C15">
            <v>0</v>
          </cell>
        </row>
        <row r="16">
          <cell r="A16" t="str">
            <v>安庆碧桂园凤凰酒店有限公司</v>
          </cell>
          <cell r="B16" t="str">
            <v>Total Cost of Sales 总销售成本</v>
          </cell>
          <cell r="C16">
            <v>0</v>
          </cell>
        </row>
        <row r="17">
          <cell r="A17" t="str">
            <v>安庆碧桂园凤凰酒店有限公司</v>
          </cell>
          <cell r="B17" t="str">
            <v>Total Other Expenses 其他费用合计</v>
          </cell>
          <cell r="C17">
            <v>0</v>
          </cell>
        </row>
        <row r="18">
          <cell r="A18" t="str">
            <v>咸宁碧桂园凤凰温泉酒店有限公司</v>
          </cell>
          <cell r="B18" t="str">
            <v>Total Cost of Sales 总销售成本</v>
          </cell>
          <cell r="C18">
            <v>1044411.16</v>
          </cell>
        </row>
        <row r="19">
          <cell r="A19" t="str">
            <v>咸宁碧桂园凤凰温泉酒店有限公司</v>
          </cell>
          <cell r="B19" t="str">
            <v>Total Other Expenses 其他费用合计</v>
          </cell>
          <cell r="C19">
            <v>616759.6</v>
          </cell>
        </row>
        <row r="20">
          <cell r="A20" t="str">
            <v>重庆市碧桂园凤城酒店有限公司</v>
          </cell>
          <cell r="B20" t="str">
            <v>Total Cost of Sales 总销售成本</v>
          </cell>
          <cell r="C20">
            <v>7418.82</v>
          </cell>
        </row>
        <row r="21">
          <cell r="A21" t="str">
            <v>重庆市碧桂园凤城酒店有限公司</v>
          </cell>
          <cell r="B21" t="str">
            <v>Total Other Expenses 其他费用合计</v>
          </cell>
          <cell r="C21">
            <v>11797.45</v>
          </cell>
        </row>
        <row r="22">
          <cell r="A22" t="str">
            <v>武汉市碧桂园凤凰酒店有限公司</v>
          </cell>
          <cell r="B22" t="str">
            <v>Total Cost of Sales 总销售成本</v>
          </cell>
          <cell r="C22">
            <v>0</v>
          </cell>
        </row>
        <row r="23">
          <cell r="A23" t="str">
            <v>武汉市碧桂园凤凰酒店有限公司</v>
          </cell>
          <cell r="B23" t="str">
            <v>Total Other Expenses 其他费用合计</v>
          </cell>
          <cell r="C23">
            <v>0</v>
          </cell>
        </row>
        <row r="24">
          <cell r="A24" t="str">
            <v>韶关市碧桂园凤凰酒店有限公司</v>
          </cell>
          <cell r="B24" t="str">
            <v>Total Cost of Sales 总销售成本</v>
          </cell>
          <cell r="C24">
            <v>0</v>
          </cell>
        </row>
        <row r="25">
          <cell r="A25" t="str">
            <v>韶关市碧桂园凤凰酒店有限公司</v>
          </cell>
          <cell r="B25" t="str">
            <v>Total Other Expenses 其他费用合计</v>
          </cell>
          <cell r="C25">
            <v>0</v>
          </cell>
        </row>
        <row r="26">
          <cell r="A26" t="str">
            <v>黄山碧桂园凤凰酒店有限公司</v>
          </cell>
          <cell r="B26" t="str">
            <v>Total Cost of Sales 总销售成本</v>
          </cell>
          <cell r="C26">
            <v>0</v>
          </cell>
        </row>
        <row r="27">
          <cell r="A27" t="str">
            <v>黄山碧桂园凤凰酒店有限公司</v>
          </cell>
          <cell r="B27" t="str">
            <v>Total Other Expenses 其他费用合计</v>
          </cell>
          <cell r="C27">
            <v>0</v>
          </cell>
        </row>
        <row r="28">
          <cell r="A28" t="str">
            <v>池州市碧桂园凤凰酒店有限公司</v>
          </cell>
          <cell r="B28" t="str">
            <v>Total Cost of Sales 总销售成本</v>
          </cell>
          <cell r="C28">
            <v>0</v>
          </cell>
        </row>
        <row r="29">
          <cell r="A29" t="str">
            <v>池州市碧桂园凤凰酒店有限公司</v>
          </cell>
          <cell r="B29" t="str">
            <v>Total Other Expenses 其他费用合计</v>
          </cell>
          <cell r="C29">
            <v>0</v>
          </cell>
        </row>
        <row r="30">
          <cell r="A30" t="str">
            <v>芜湖碧桂园凤凰酒店有限公司</v>
          </cell>
          <cell r="B30" t="str">
            <v>Total Cost of Sales 总销售成本</v>
          </cell>
          <cell r="C30">
            <v>0</v>
          </cell>
        </row>
        <row r="31">
          <cell r="A31" t="str">
            <v>芜湖碧桂园凤凰酒店有限公司</v>
          </cell>
          <cell r="B31" t="str">
            <v>Total Other Expenses 其他费用合计</v>
          </cell>
          <cell r="C31">
            <v>0</v>
          </cell>
        </row>
        <row r="32">
          <cell r="A32" t="str">
            <v>滁州碧桂园凤凰酒店管理有限公司</v>
          </cell>
          <cell r="B32" t="str">
            <v>Total Cost of Sales 总销售成本</v>
          </cell>
          <cell r="C32">
            <v>0</v>
          </cell>
        </row>
        <row r="33">
          <cell r="A33" t="str">
            <v>滁州碧桂园凤凰酒店管理有限公司</v>
          </cell>
          <cell r="B33" t="str">
            <v>Total Other Expenses 其他费用合计</v>
          </cell>
          <cell r="C33">
            <v>0</v>
          </cell>
        </row>
        <row r="34">
          <cell r="A34" t="str">
            <v>清远市卓越弘建置业投资有限公司佛冈酒店分公司</v>
          </cell>
          <cell r="B34" t="str">
            <v>Total Cost of Sales 总销售成本</v>
          </cell>
          <cell r="C34">
            <v>62157</v>
          </cell>
        </row>
        <row r="35">
          <cell r="A35" t="str">
            <v>清远市卓越弘建置业投资有限公司佛冈酒店分公司</v>
          </cell>
          <cell r="B35" t="str">
            <v>Total Other Expenses 其他费用合计</v>
          </cell>
          <cell r="C35">
            <v>112807.29</v>
          </cell>
        </row>
        <row r="36">
          <cell r="A36" t="str">
            <v>泰州市碧桂园凤凰酒店有限公司</v>
          </cell>
          <cell r="B36" t="str">
            <v>Total Cost of Sales 总销售成本</v>
          </cell>
          <cell r="C36">
            <v>0</v>
          </cell>
        </row>
        <row r="37">
          <cell r="A37" t="str">
            <v>泰州市碧桂园凤凰酒店有限公司</v>
          </cell>
          <cell r="B37" t="str">
            <v>Total Other Expenses 其他费用合计</v>
          </cell>
          <cell r="C37">
            <v>501.16</v>
          </cell>
        </row>
        <row r="38">
          <cell r="A38" t="str">
            <v>巢湖南岸碧桂园凤凰酒店有限公司</v>
          </cell>
          <cell r="B38" t="str">
            <v>Total Cost of Sales 总销售成本</v>
          </cell>
          <cell r="C38">
            <v>0</v>
          </cell>
        </row>
        <row r="39">
          <cell r="A39" t="str">
            <v>巢湖南岸碧桂园凤凰酒店有限公司</v>
          </cell>
          <cell r="B39" t="str">
            <v>Total Other Expenses 其他费用合计</v>
          </cell>
          <cell r="C39">
            <v>0</v>
          </cell>
        </row>
        <row r="40">
          <cell r="A40" t="str">
            <v>句容碧桂园凤凰城酒店管理有限公司</v>
          </cell>
          <cell r="B40" t="str">
            <v>Total Cost of Sales 总销售成本</v>
          </cell>
          <cell r="C40">
            <v>0</v>
          </cell>
        </row>
        <row r="41">
          <cell r="A41" t="str">
            <v>句容碧桂园凤凰城酒店管理有限公司</v>
          </cell>
          <cell r="B41" t="str">
            <v>Total Other Expenses 其他费用合计</v>
          </cell>
          <cell r="C41">
            <v>0</v>
          </cell>
        </row>
        <row r="42">
          <cell r="A42" t="str">
            <v>云浮市碧桂园凤凰酒店有限公司</v>
          </cell>
          <cell r="B42" t="str">
            <v>Total Cost of Sales 总销售成本</v>
          </cell>
          <cell r="C42">
            <v>0</v>
          </cell>
        </row>
        <row r="43">
          <cell r="A43" t="str">
            <v>云浮市碧桂园凤凰酒店有限公司</v>
          </cell>
          <cell r="B43" t="str">
            <v>Total Other Expenses 其他费用合计</v>
          </cell>
          <cell r="C43">
            <v>0</v>
          </cell>
        </row>
        <row r="44">
          <cell r="A44" t="str">
            <v>张家界碧桂园凤凰酒店管理有限公司</v>
          </cell>
          <cell r="B44" t="str">
            <v>Total Cost of Sales 总销售成本</v>
          </cell>
          <cell r="C44">
            <v>9460.64</v>
          </cell>
        </row>
        <row r="45">
          <cell r="A45" t="str">
            <v>张家界碧桂园凤凰酒店管理有限公司</v>
          </cell>
          <cell r="B45" t="str">
            <v>Total Other Expenses 其他费用合计</v>
          </cell>
          <cell r="C45">
            <v>17344.23</v>
          </cell>
        </row>
        <row r="46">
          <cell r="A46" t="str">
            <v>临高金碧酒店管理有限公司</v>
          </cell>
          <cell r="B46" t="str">
            <v>Total Cost of Sales 总销售成本</v>
          </cell>
          <cell r="C46">
            <v>132.04</v>
          </cell>
        </row>
        <row r="47">
          <cell r="A47" t="str">
            <v>临高金碧酒店管理有限公司</v>
          </cell>
          <cell r="B47" t="str">
            <v>Total Other Expenses 其他费用合计</v>
          </cell>
          <cell r="C47">
            <v>33324.46</v>
          </cell>
        </row>
        <row r="48">
          <cell r="A48" t="str">
            <v>海南临高碧桂园房地产开发有限公司酒店分公司</v>
          </cell>
          <cell r="B48" t="str">
            <v>Total Cost of Sales 总销售成本</v>
          </cell>
          <cell r="C48">
            <v>27.84</v>
          </cell>
        </row>
        <row r="49">
          <cell r="A49" t="str">
            <v>海南临高碧桂园房地产开发有限公司酒店分公司</v>
          </cell>
          <cell r="B49" t="str">
            <v>Total Other Expenses 其他费用合计</v>
          </cell>
          <cell r="C49">
            <v>526.12</v>
          </cell>
        </row>
        <row r="50">
          <cell r="A50" t="str">
            <v>科右前旗碧桂园凤凰置业有限公司</v>
          </cell>
          <cell r="B50" t="str">
            <v>Total Cost of Sales 总销售成本</v>
          </cell>
          <cell r="C50">
            <v>0</v>
          </cell>
        </row>
        <row r="51">
          <cell r="A51" t="str">
            <v>科右前旗碧桂园凤凰置业有限公司</v>
          </cell>
          <cell r="B51" t="str">
            <v>Total Other Expenses 其他费用合计</v>
          </cell>
          <cell r="C51">
            <v>0</v>
          </cell>
        </row>
        <row r="52">
          <cell r="A52" t="str">
            <v>佛山市顺德区龙江镇碧桂园凤凰酒店有限公司</v>
          </cell>
          <cell r="B52" t="str">
            <v>Total Cost of Sales 总销售成本</v>
          </cell>
          <cell r="C52">
            <v>0</v>
          </cell>
        </row>
        <row r="53">
          <cell r="A53" t="str">
            <v>佛山市顺德区龙江镇碧桂园凤凰酒店有限公司</v>
          </cell>
          <cell r="B53" t="str">
            <v>Total Other Expenses 其他费用合计</v>
          </cell>
          <cell r="C53">
            <v>0</v>
          </cell>
        </row>
        <row r="54">
          <cell r="A54" t="str">
            <v>沈阳南营碧桂园酒店有限公司</v>
          </cell>
          <cell r="B54" t="str">
            <v>Total Cost of Sales 总销售成本</v>
          </cell>
          <cell r="C54">
            <v>0</v>
          </cell>
        </row>
        <row r="55">
          <cell r="A55" t="str">
            <v>沈阳南营碧桂园酒店有限公司</v>
          </cell>
          <cell r="B55" t="str">
            <v>Total Other Expenses 其他费用合计</v>
          </cell>
          <cell r="C55">
            <v>0</v>
          </cell>
        </row>
        <row r="56">
          <cell r="A56" t="str">
            <v>广东康兰假日酒店有限公司</v>
          </cell>
          <cell r="B56" t="str">
            <v>Total Cost of Sales 总销售成本</v>
          </cell>
          <cell r="C56">
            <v>217.71</v>
          </cell>
        </row>
        <row r="57">
          <cell r="A57" t="str">
            <v>广东康兰假日酒店有限公司</v>
          </cell>
          <cell r="B57" t="str">
            <v>Total Other Expenses 其他费用合计</v>
          </cell>
          <cell r="C57">
            <v>25.53</v>
          </cell>
        </row>
        <row r="58">
          <cell r="A58" t="str">
            <v>韶关市碧桂园芙景湾酒店有限公司</v>
          </cell>
          <cell r="B58" t="str">
            <v>Total Cost of Sales 总销售成本</v>
          </cell>
          <cell r="C58">
            <v>0</v>
          </cell>
        </row>
        <row r="59">
          <cell r="A59" t="str">
            <v>韶关市碧桂园芙景湾酒店有限公司</v>
          </cell>
          <cell r="B59" t="str">
            <v>Total Other Expenses 其他费用合计</v>
          </cell>
          <cell r="C59">
            <v>0</v>
          </cell>
        </row>
        <row r="60">
          <cell r="A60" t="str">
            <v>惠东县凤悦酒店有限公司</v>
          </cell>
          <cell r="B60" t="str">
            <v>Total Cost of Sales 总销售成本</v>
          </cell>
          <cell r="C60">
            <v>0</v>
          </cell>
        </row>
        <row r="61">
          <cell r="A61" t="str">
            <v>惠东县凤悦酒店有限公司</v>
          </cell>
          <cell r="B61" t="str">
            <v>Total Other Expenses 其他费用合计</v>
          </cell>
          <cell r="C61">
            <v>53664.04</v>
          </cell>
        </row>
        <row r="62">
          <cell r="A62" t="str">
            <v>鹤山市共和碧桂园房地产开发有限公司酒店分公司</v>
          </cell>
          <cell r="B62" t="str">
            <v>Total Cost of Sales 总销售成本</v>
          </cell>
          <cell r="C62">
            <v>0</v>
          </cell>
        </row>
        <row r="63">
          <cell r="A63" t="str">
            <v>鹤山市共和碧桂园房地产开发有限公司酒店分公司</v>
          </cell>
          <cell r="B63" t="str">
            <v>Total Other Expenses 其他费用合计</v>
          </cell>
          <cell r="C63">
            <v>0</v>
          </cell>
        </row>
        <row r="64">
          <cell r="A64" t="str">
            <v>益阳市碧桂园凤凰酒店有限公司</v>
          </cell>
          <cell r="B64" t="str">
            <v>Total Cost of Sales 总销售成本</v>
          </cell>
          <cell r="C64">
            <v>0</v>
          </cell>
        </row>
        <row r="65">
          <cell r="A65" t="str">
            <v>益阳市碧桂园凤凰酒店有限公司</v>
          </cell>
          <cell r="B65" t="str">
            <v>Total Other Expenses 其他费用合计</v>
          </cell>
          <cell r="C65">
            <v>0</v>
          </cell>
        </row>
        <row r="66">
          <cell r="A66" t="str">
            <v>南充市碧桂园房地产开发有限公司酒店分公司</v>
          </cell>
          <cell r="B66" t="str">
            <v>Total Cost of Sales 总销售成本</v>
          </cell>
          <cell r="C66">
            <v>0</v>
          </cell>
        </row>
        <row r="67">
          <cell r="A67" t="str">
            <v>南充市碧桂园房地产开发有限公司酒店分公司</v>
          </cell>
          <cell r="B67" t="str">
            <v>Total Other Expenses 其他费用合计</v>
          </cell>
          <cell r="C67">
            <v>0</v>
          </cell>
        </row>
        <row r="68">
          <cell r="A68" t="str">
            <v>广州金叶子酒店有限公司</v>
          </cell>
          <cell r="B68" t="str">
            <v>Total Cost of Sales 总销售成本</v>
          </cell>
          <cell r="C68">
            <v>212016.7</v>
          </cell>
        </row>
        <row r="69">
          <cell r="A69" t="str">
            <v>广州金叶子酒店有限公司</v>
          </cell>
          <cell r="B69" t="str">
            <v>Total Other Expenses 其他费用合计</v>
          </cell>
          <cell r="C69">
            <v>373674.31</v>
          </cell>
        </row>
        <row r="70">
          <cell r="A70" t="str">
            <v>沈阳于洪碧桂园凤凰酒店有限公司</v>
          </cell>
          <cell r="B70" t="str">
            <v>Total Cost of Sales 总销售成本</v>
          </cell>
          <cell r="C70">
            <v>0</v>
          </cell>
        </row>
        <row r="71">
          <cell r="A71" t="str">
            <v>沈阳于洪碧桂园凤凰酒店有限公司</v>
          </cell>
          <cell r="B71" t="str">
            <v>Total Other Expenses 其他费用合计</v>
          </cell>
          <cell r="C71">
            <v>0</v>
          </cell>
        </row>
        <row r="72">
          <cell r="A72" t="str">
            <v>广州市荔碧凤悦酒店有限公司</v>
          </cell>
          <cell r="B72" t="str">
            <v>Total Cost of Sales 总销售成本</v>
          </cell>
          <cell r="C72">
            <v>0</v>
          </cell>
        </row>
        <row r="73">
          <cell r="A73" t="str">
            <v>广州市荔碧凤悦酒店有限公司</v>
          </cell>
          <cell r="B73" t="str">
            <v>Total Other Expenses 其他费用合计</v>
          </cell>
          <cell r="C73">
            <v>0</v>
          </cell>
        </row>
        <row r="74">
          <cell r="A74" t="str">
            <v>佛山市芯林瑚酒店管理有限公司</v>
          </cell>
          <cell r="B74" t="str">
            <v>Total Cost of Sales 总销售成本</v>
          </cell>
          <cell r="C74">
            <v>13606.67</v>
          </cell>
        </row>
        <row r="75">
          <cell r="A75" t="str">
            <v>佛山市芯林瑚酒店管理有限公司</v>
          </cell>
          <cell r="B75" t="str">
            <v>Total Other Expenses 其他费用合计</v>
          </cell>
          <cell r="C75">
            <v>16606.73</v>
          </cell>
        </row>
      </sheetData>
      <sheetData sheetId="10">
        <row r="1">
          <cell r="A1" t="str">
            <v>Source.Name.2.1</v>
          </cell>
          <cell r="B1" t="str">
            <v>Column7</v>
          </cell>
          <cell r="C1" t="str">
            <v>Column19</v>
          </cell>
        </row>
        <row r="2">
          <cell r="A2" t="str">
            <v>佛山市顺德区碧桂园物业发展有限公司渡假村</v>
          </cell>
          <cell r="B2" t="str">
            <v>Electricity 电费</v>
          </cell>
          <cell r="C2">
            <v>788940.64</v>
          </cell>
        </row>
        <row r="3">
          <cell r="A3" t="str">
            <v>佛山市顺德区碧桂园物业发展有限公司渡假村</v>
          </cell>
          <cell r="B3" t="str">
            <v>Gas 煤气费</v>
          </cell>
          <cell r="C3">
            <v>43790.58</v>
          </cell>
        </row>
        <row r="4">
          <cell r="A4" t="str">
            <v>佛山市顺德区碧桂园物业发展有限公司渡假村</v>
          </cell>
          <cell r="B4" t="str">
            <v>Oil 燃油费</v>
          </cell>
          <cell r="C4">
            <v>5165.04</v>
          </cell>
        </row>
        <row r="5">
          <cell r="A5" t="str">
            <v>佛山市顺德区碧桂园物业发展有限公司渡假村</v>
          </cell>
          <cell r="B5" t="str">
            <v>Steam 蒸汽费</v>
          </cell>
          <cell r="C5">
            <v>0</v>
          </cell>
        </row>
        <row r="6">
          <cell r="A6" t="str">
            <v>佛山市顺德区碧桂园物业发展有限公司渡假村</v>
          </cell>
          <cell r="B6" t="str">
            <v>Heating 暖气</v>
          </cell>
          <cell r="C6">
            <v>0</v>
          </cell>
        </row>
        <row r="7">
          <cell r="A7" t="str">
            <v>佛山市顺德区碧桂园物业发展有限公司渡假村</v>
          </cell>
          <cell r="B7" t="str">
            <v>Geothermal water 地热水</v>
          </cell>
          <cell r="C7">
            <v>0</v>
          </cell>
        </row>
        <row r="8">
          <cell r="A8" t="str">
            <v>佛山市顺德区碧桂园物业发展有限公司渡假村</v>
          </cell>
          <cell r="B8" t="str">
            <v>Water 水费</v>
          </cell>
          <cell r="C8">
            <v>203432.77</v>
          </cell>
        </row>
        <row r="9">
          <cell r="A9" t="str">
            <v>佛山市顺德区碧桂园物业发展有限公司渡假村</v>
          </cell>
          <cell r="B9" t="str">
            <v>Total Energy Costs 能源费合计</v>
          </cell>
          <cell r="C9">
            <v>1041329.03</v>
          </cell>
        </row>
        <row r="10">
          <cell r="A10" t="str">
            <v>佛山市顺德区陈村镇碧桂园物业发展有限公司碧桂花城大酒店</v>
          </cell>
          <cell r="B10" t="str">
            <v>Electricity 电费</v>
          </cell>
          <cell r="C10">
            <v>220864</v>
          </cell>
        </row>
        <row r="11">
          <cell r="A11" t="str">
            <v>佛山市顺德区陈村镇碧桂园物业发展有限公司碧桂花城大酒店</v>
          </cell>
          <cell r="B11" t="str">
            <v>Gas 煤气费</v>
          </cell>
          <cell r="C11">
            <v>0</v>
          </cell>
        </row>
        <row r="12">
          <cell r="A12" t="str">
            <v>佛山市顺德区陈村镇碧桂园物业发展有限公司碧桂花城大酒店</v>
          </cell>
          <cell r="B12" t="str">
            <v>Oil 燃油费</v>
          </cell>
          <cell r="C12">
            <v>0</v>
          </cell>
        </row>
        <row r="13">
          <cell r="A13" t="str">
            <v>佛山市顺德区陈村镇碧桂园物业发展有限公司碧桂花城大酒店</v>
          </cell>
          <cell r="B13" t="str">
            <v>Steam 蒸汽费</v>
          </cell>
          <cell r="C13">
            <v>0</v>
          </cell>
        </row>
        <row r="14">
          <cell r="A14" t="str">
            <v>佛山市顺德区陈村镇碧桂园物业发展有限公司碧桂花城大酒店</v>
          </cell>
          <cell r="B14" t="str">
            <v>Heating 暖气</v>
          </cell>
          <cell r="C14">
            <v>0</v>
          </cell>
        </row>
        <row r="15">
          <cell r="A15" t="str">
            <v>佛山市顺德区陈村镇碧桂园物业发展有限公司碧桂花城大酒店</v>
          </cell>
          <cell r="B15" t="str">
            <v>Geothermal water 地热水</v>
          </cell>
          <cell r="C15">
            <v>0</v>
          </cell>
        </row>
        <row r="16">
          <cell r="A16" t="str">
            <v>佛山市顺德区陈村镇碧桂园物业发展有限公司碧桂花城大酒店</v>
          </cell>
          <cell r="B16" t="str">
            <v>Water 水费</v>
          </cell>
          <cell r="C16">
            <v>49097.760000000002</v>
          </cell>
        </row>
        <row r="17">
          <cell r="A17" t="str">
            <v>佛山市顺德区陈村镇碧桂园物业发展有限公司碧桂花城大酒店</v>
          </cell>
          <cell r="B17" t="str">
            <v>Total Energy Costs 能源费合计</v>
          </cell>
          <cell r="C17">
            <v>269961.76</v>
          </cell>
        </row>
        <row r="18">
          <cell r="A18" t="str">
            <v>增城市碧桂园凤凰城酒店有限公司</v>
          </cell>
          <cell r="B18" t="str">
            <v>Electricity 电费</v>
          </cell>
          <cell r="C18">
            <v>2472647.0499999998</v>
          </cell>
        </row>
        <row r="19">
          <cell r="A19" t="str">
            <v>增城市碧桂园凤凰城酒店有限公司</v>
          </cell>
          <cell r="B19" t="str">
            <v>Gas 煤气费</v>
          </cell>
          <cell r="C19">
            <v>882736.12</v>
          </cell>
        </row>
        <row r="20">
          <cell r="A20" t="str">
            <v>增城市碧桂园凤凰城酒店有限公司</v>
          </cell>
          <cell r="B20" t="str">
            <v>Oil 燃油费</v>
          </cell>
          <cell r="C20">
            <v>0</v>
          </cell>
        </row>
        <row r="21">
          <cell r="A21" t="str">
            <v>增城市碧桂园凤凰城酒店有限公司</v>
          </cell>
          <cell r="B21" t="str">
            <v>Steam 蒸汽费</v>
          </cell>
          <cell r="C21">
            <v>0</v>
          </cell>
        </row>
        <row r="22">
          <cell r="A22" t="str">
            <v>增城市碧桂园凤凰城酒店有限公司</v>
          </cell>
          <cell r="B22" t="str">
            <v>Heating 暖气</v>
          </cell>
          <cell r="C22">
            <v>0</v>
          </cell>
        </row>
        <row r="23">
          <cell r="A23" t="str">
            <v>增城市碧桂园凤凰城酒店有限公司</v>
          </cell>
          <cell r="B23" t="str">
            <v>Geothermal water 地热水</v>
          </cell>
          <cell r="C23">
            <v>0</v>
          </cell>
        </row>
        <row r="24">
          <cell r="A24" t="str">
            <v>增城市碧桂园凤凰城酒店有限公司</v>
          </cell>
          <cell r="B24" t="str">
            <v>Water 水费</v>
          </cell>
          <cell r="C24">
            <v>445451.71</v>
          </cell>
        </row>
        <row r="25">
          <cell r="A25" t="str">
            <v>增城市碧桂园凤凰城酒店有限公司</v>
          </cell>
          <cell r="B25" t="str">
            <v>Total Energy Costs 能源费合计</v>
          </cell>
          <cell r="C25">
            <v>3800834.88</v>
          </cell>
        </row>
        <row r="26">
          <cell r="A26" t="str">
            <v>佛山市高明区碧桂园凤凰酒店有限公司</v>
          </cell>
          <cell r="B26" t="str">
            <v>Electricity 电费</v>
          </cell>
          <cell r="C26">
            <v>1506606.48</v>
          </cell>
        </row>
        <row r="27">
          <cell r="A27" t="str">
            <v>佛山市高明区碧桂园凤凰酒店有限公司</v>
          </cell>
          <cell r="B27" t="str">
            <v>Gas 煤气费</v>
          </cell>
          <cell r="C27">
            <v>354968</v>
          </cell>
        </row>
        <row r="28">
          <cell r="A28" t="str">
            <v>佛山市高明区碧桂园凤凰酒店有限公司</v>
          </cell>
          <cell r="B28" t="str">
            <v>Oil 燃油费</v>
          </cell>
          <cell r="C28">
            <v>0</v>
          </cell>
        </row>
        <row r="29">
          <cell r="A29" t="str">
            <v>佛山市高明区碧桂园凤凰酒店有限公司</v>
          </cell>
          <cell r="B29" t="str">
            <v>Steam 蒸汽费</v>
          </cell>
          <cell r="C29">
            <v>0</v>
          </cell>
        </row>
        <row r="30">
          <cell r="A30" t="str">
            <v>佛山市高明区碧桂园凤凰酒店有限公司</v>
          </cell>
          <cell r="B30" t="str">
            <v>Heating 暖气</v>
          </cell>
          <cell r="C30">
            <v>0</v>
          </cell>
        </row>
        <row r="31">
          <cell r="A31" t="str">
            <v>佛山市高明区碧桂园凤凰酒店有限公司</v>
          </cell>
          <cell r="B31" t="str">
            <v>Geothermal water 地热水</v>
          </cell>
          <cell r="C31">
            <v>0</v>
          </cell>
        </row>
        <row r="32">
          <cell r="A32" t="str">
            <v>佛山市高明区碧桂园凤凰酒店有限公司</v>
          </cell>
          <cell r="B32" t="str">
            <v>Water 水费</v>
          </cell>
          <cell r="C32">
            <v>185835.65</v>
          </cell>
        </row>
        <row r="33">
          <cell r="A33" t="str">
            <v>佛山市高明区碧桂园凤凰酒店有限公司</v>
          </cell>
          <cell r="B33" t="str">
            <v>Total Energy Costs 能源费合计</v>
          </cell>
          <cell r="C33">
            <v>2047410.13</v>
          </cell>
        </row>
        <row r="34">
          <cell r="A34" t="str">
            <v>江门市新会碧桂园凤凰酒店有限公司</v>
          </cell>
          <cell r="B34" t="str">
            <v>Electricity 电费</v>
          </cell>
          <cell r="C34">
            <v>835193.09</v>
          </cell>
        </row>
        <row r="35">
          <cell r="A35" t="str">
            <v>江门市新会碧桂园凤凰酒店有限公司</v>
          </cell>
          <cell r="B35" t="str">
            <v>Gas 煤气费</v>
          </cell>
          <cell r="C35">
            <v>95709.59</v>
          </cell>
        </row>
        <row r="36">
          <cell r="A36" t="str">
            <v>江门市新会碧桂园凤凰酒店有限公司</v>
          </cell>
          <cell r="B36" t="str">
            <v>Oil 燃油费</v>
          </cell>
          <cell r="C36">
            <v>0</v>
          </cell>
        </row>
        <row r="37">
          <cell r="A37" t="str">
            <v>江门市新会碧桂园凤凰酒店有限公司</v>
          </cell>
          <cell r="B37" t="str">
            <v>Steam 蒸汽费</v>
          </cell>
          <cell r="C37">
            <v>0</v>
          </cell>
        </row>
        <row r="38">
          <cell r="A38" t="str">
            <v>江门市新会碧桂园凤凰酒店有限公司</v>
          </cell>
          <cell r="B38" t="str">
            <v>Heating 暖气</v>
          </cell>
          <cell r="C38">
            <v>0</v>
          </cell>
        </row>
        <row r="39">
          <cell r="A39" t="str">
            <v>江门市新会碧桂园凤凰酒店有限公司</v>
          </cell>
          <cell r="B39" t="str">
            <v>Geothermal water 地热水</v>
          </cell>
          <cell r="C39">
            <v>0</v>
          </cell>
        </row>
        <row r="40">
          <cell r="A40" t="str">
            <v>江门市新会碧桂园凤凰酒店有限公司</v>
          </cell>
          <cell r="B40" t="str">
            <v>Water 水费</v>
          </cell>
          <cell r="C40">
            <v>244723.74</v>
          </cell>
        </row>
        <row r="41">
          <cell r="A41" t="str">
            <v>江门市新会碧桂园凤凰酒店有限公司</v>
          </cell>
          <cell r="B41" t="str">
            <v>Total Energy Costs 能源费合计</v>
          </cell>
          <cell r="C41">
            <v>1175626.42</v>
          </cell>
        </row>
        <row r="42">
          <cell r="A42" t="str">
            <v>长沙经济技术开发区威尼斯酒店有限公司</v>
          </cell>
          <cell r="B42" t="str">
            <v>Electricity 电费</v>
          </cell>
          <cell r="C42">
            <v>1808447.87</v>
          </cell>
        </row>
        <row r="43">
          <cell r="A43" t="str">
            <v>长沙经济技术开发区威尼斯酒店有限公司</v>
          </cell>
          <cell r="B43" t="str">
            <v>Gas 煤气费</v>
          </cell>
          <cell r="C43">
            <v>560769.30000000005</v>
          </cell>
        </row>
        <row r="44">
          <cell r="A44" t="str">
            <v>长沙经济技术开发区威尼斯酒店有限公司</v>
          </cell>
          <cell r="B44" t="str">
            <v>Oil 燃油费</v>
          </cell>
          <cell r="C44">
            <v>0</v>
          </cell>
        </row>
        <row r="45">
          <cell r="A45" t="str">
            <v>长沙经济技术开发区威尼斯酒店有限公司</v>
          </cell>
          <cell r="B45" t="str">
            <v>Steam 蒸汽费</v>
          </cell>
          <cell r="C45">
            <v>0</v>
          </cell>
        </row>
        <row r="46">
          <cell r="A46" t="str">
            <v>长沙经济技术开发区威尼斯酒店有限公司</v>
          </cell>
          <cell r="B46" t="str">
            <v>Heating 暖气</v>
          </cell>
          <cell r="C46">
            <v>0</v>
          </cell>
        </row>
        <row r="47">
          <cell r="A47" t="str">
            <v>长沙经济技术开发区威尼斯酒店有限公司</v>
          </cell>
          <cell r="B47" t="str">
            <v>Geothermal water 地热水</v>
          </cell>
          <cell r="C47">
            <v>0</v>
          </cell>
        </row>
        <row r="48">
          <cell r="A48" t="str">
            <v>长沙经济技术开发区威尼斯酒店有限公司</v>
          </cell>
          <cell r="B48" t="str">
            <v>Water 水费</v>
          </cell>
          <cell r="C48">
            <v>334452.7</v>
          </cell>
        </row>
        <row r="49">
          <cell r="A49" t="str">
            <v>长沙经济技术开发区威尼斯酒店有限公司</v>
          </cell>
          <cell r="B49" t="str">
            <v>Total Energy Costs 能源费合计</v>
          </cell>
          <cell r="C49">
            <v>2703669.87</v>
          </cell>
        </row>
        <row r="50">
          <cell r="A50" t="str">
            <v>随州碧桂园凤凰酒店有限公司</v>
          </cell>
          <cell r="B50" t="str">
            <v>Electricity 电费</v>
          </cell>
          <cell r="C50">
            <v>1504941.56</v>
          </cell>
        </row>
        <row r="51">
          <cell r="A51" t="str">
            <v>随州碧桂园凤凰酒店有限公司</v>
          </cell>
          <cell r="B51" t="str">
            <v>Gas 煤气费</v>
          </cell>
          <cell r="C51">
            <v>305013.01</v>
          </cell>
        </row>
        <row r="52">
          <cell r="A52" t="str">
            <v>随州碧桂园凤凰酒店有限公司</v>
          </cell>
          <cell r="B52" t="str">
            <v>Oil 燃油费</v>
          </cell>
          <cell r="C52">
            <v>3851.5</v>
          </cell>
        </row>
        <row r="53">
          <cell r="A53" t="str">
            <v>随州碧桂园凤凰酒店有限公司</v>
          </cell>
          <cell r="B53" t="str">
            <v>Steam 蒸汽费</v>
          </cell>
          <cell r="C53">
            <v>0</v>
          </cell>
        </row>
        <row r="54">
          <cell r="A54" t="str">
            <v>随州碧桂园凤凰酒店有限公司</v>
          </cell>
          <cell r="B54" t="str">
            <v>Heating 暖气</v>
          </cell>
          <cell r="C54">
            <v>0</v>
          </cell>
        </row>
        <row r="55">
          <cell r="A55" t="str">
            <v>随州碧桂园凤凰酒店有限公司</v>
          </cell>
          <cell r="B55" t="str">
            <v>Geothermal water 地热水</v>
          </cell>
          <cell r="C55">
            <v>0</v>
          </cell>
        </row>
        <row r="56">
          <cell r="A56" t="str">
            <v>随州碧桂园凤凰酒店有限公司</v>
          </cell>
          <cell r="B56" t="str">
            <v>Water 水费</v>
          </cell>
          <cell r="C56">
            <v>116827.17</v>
          </cell>
        </row>
        <row r="57">
          <cell r="A57" t="str">
            <v>随州碧桂园凤凰酒店有限公司</v>
          </cell>
          <cell r="B57" t="str">
            <v>Total Energy Costs 能源费合计</v>
          </cell>
          <cell r="C57">
            <v>1930633.24</v>
          </cell>
        </row>
        <row r="58">
          <cell r="A58" t="str">
            <v>安庆碧桂园凤凰酒店有限公司</v>
          </cell>
          <cell r="B58" t="str">
            <v>Electricity 电费</v>
          </cell>
          <cell r="C58">
            <v>761621.01</v>
          </cell>
        </row>
        <row r="59">
          <cell r="A59" t="str">
            <v>安庆碧桂园凤凰酒店有限公司</v>
          </cell>
          <cell r="B59" t="str">
            <v>Gas 煤气费</v>
          </cell>
          <cell r="C59">
            <v>426765.23</v>
          </cell>
        </row>
        <row r="60">
          <cell r="A60" t="str">
            <v>安庆碧桂园凤凰酒店有限公司</v>
          </cell>
          <cell r="B60" t="str">
            <v>Oil 燃油费</v>
          </cell>
          <cell r="C60">
            <v>0</v>
          </cell>
        </row>
        <row r="61">
          <cell r="A61" t="str">
            <v>安庆碧桂园凤凰酒店有限公司</v>
          </cell>
          <cell r="B61" t="str">
            <v>Steam 蒸汽费</v>
          </cell>
          <cell r="C61">
            <v>0</v>
          </cell>
        </row>
        <row r="62">
          <cell r="A62" t="str">
            <v>安庆碧桂园凤凰酒店有限公司</v>
          </cell>
          <cell r="B62" t="str">
            <v>Heating 暖气</v>
          </cell>
          <cell r="C62">
            <v>0</v>
          </cell>
        </row>
        <row r="63">
          <cell r="A63" t="str">
            <v>安庆碧桂园凤凰酒店有限公司</v>
          </cell>
          <cell r="B63" t="str">
            <v>Geothermal water 地热水</v>
          </cell>
          <cell r="C63">
            <v>0</v>
          </cell>
        </row>
        <row r="64">
          <cell r="A64" t="str">
            <v>安庆碧桂园凤凰酒店有限公司</v>
          </cell>
          <cell r="B64" t="str">
            <v>Water 水费</v>
          </cell>
          <cell r="C64">
            <v>52412.05</v>
          </cell>
        </row>
        <row r="65">
          <cell r="A65" t="str">
            <v>安庆碧桂园凤凰酒店有限公司</v>
          </cell>
          <cell r="B65" t="str">
            <v>Total Energy Costs 能源费合计</v>
          </cell>
          <cell r="C65">
            <v>1240798.29</v>
          </cell>
        </row>
        <row r="66">
          <cell r="A66" t="str">
            <v>咸宁碧桂园凤凰温泉酒店有限公司</v>
          </cell>
          <cell r="B66" t="str">
            <v>Electricity 电费</v>
          </cell>
          <cell r="C66">
            <v>2457889.7400000002</v>
          </cell>
        </row>
        <row r="67">
          <cell r="A67" t="str">
            <v>咸宁碧桂园凤凰温泉酒店有限公司</v>
          </cell>
          <cell r="B67" t="str">
            <v>Gas 煤气费</v>
          </cell>
          <cell r="C67">
            <v>1438584.19</v>
          </cell>
        </row>
        <row r="68">
          <cell r="A68" t="str">
            <v>咸宁碧桂园凤凰温泉酒店有限公司</v>
          </cell>
          <cell r="B68" t="str">
            <v>Oil 燃油费</v>
          </cell>
          <cell r="C68">
            <v>0</v>
          </cell>
        </row>
        <row r="69">
          <cell r="A69" t="str">
            <v>咸宁碧桂园凤凰温泉酒店有限公司</v>
          </cell>
          <cell r="B69" t="str">
            <v>Steam 蒸汽费</v>
          </cell>
          <cell r="C69">
            <v>0</v>
          </cell>
        </row>
        <row r="70">
          <cell r="A70" t="str">
            <v>咸宁碧桂园凤凰温泉酒店有限公司</v>
          </cell>
          <cell r="B70" t="str">
            <v>Heating 暖气</v>
          </cell>
          <cell r="C70">
            <v>0</v>
          </cell>
        </row>
        <row r="71">
          <cell r="A71" t="str">
            <v>咸宁碧桂园凤凰温泉酒店有限公司</v>
          </cell>
          <cell r="B71" t="str">
            <v>Geothermal water 地热水</v>
          </cell>
          <cell r="C71">
            <v>382089.5</v>
          </cell>
        </row>
        <row r="72">
          <cell r="A72" t="str">
            <v>咸宁碧桂园凤凰温泉酒店有限公司</v>
          </cell>
          <cell r="B72" t="str">
            <v>Water 水费</v>
          </cell>
          <cell r="C72">
            <v>243324.36</v>
          </cell>
        </row>
        <row r="73">
          <cell r="A73" t="str">
            <v>咸宁碧桂园凤凰温泉酒店有限公司</v>
          </cell>
          <cell r="B73" t="str">
            <v>Total Energy Costs 能源费合计</v>
          </cell>
          <cell r="C73">
            <v>4521887.79</v>
          </cell>
        </row>
        <row r="74">
          <cell r="A74" t="str">
            <v>重庆市碧桂园凤城酒店有限公司</v>
          </cell>
          <cell r="B74" t="str">
            <v>Electricity 电费</v>
          </cell>
          <cell r="C74">
            <v>1620943.96</v>
          </cell>
        </row>
        <row r="75">
          <cell r="A75" t="str">
            <v>重庆市碧桂园凤城酒店有限公司</v>
          </cell>
          <cell r="B75" t="str">
            <v>Gas 煤气费</v>
          </cell>
          <cell r="C75">
            <v>428345.86</v>
          </cell>
        </row>
        <row r="76">
          <cell r="A76" t="str">
            <v>重庆市碧桂园凤城酒店有限公司</v>
          </cell>
          <cell r="B76" t="str">
            <v>Oil 燃油费</v>
          </cell>
          <cell r="C76">
            <v>0</v>
          </cell>
        </row>
        <row r="77">
          <cell r="A77" t="str">
            <v>重庆市碧桂园凤城酒店有限公司</v>
          </cell>
          <cell r="B77" t="str">
            <v>Steam 蒸汽费</v>
          </cell>
          <cell r="C77">
            <v>0</v>
          </cell>
        </row>
        <row r="78">
          <cell r="A78" t="str">
            <v>重庆市碧桂园凤城酒店有限公司</v>
          </cell>
          <cell r="B78" t="str">
            <v>Heating 暖气</v>
          </cell>
          <cell r="C78">
            <v>0</v>
          </cell>
        </row>
        <row r="79">
          <cell r="A79" t="str">
            <v>重庆市碧桂园凤城酒店有限公司</v>
          </cell>
          <cell r="B79" t="str">
            <v>Geothermal water 地热水</v>
          </cell>
          <cell r="C79">
            <v>0</v>
          </cell>
        </row>
        <row r="80">
          <cell r="A80" t="str">
            <v>重庆市碧桂园凤城酒店有限公司</v>
          </cell>
          <cell r="B80" t="str">
            <v>Water 水费</v>
          </cell>
          <cell r="C80">
            <v>259997.67</v>
          </cell>
        </row>
        <row r="81">
          <cell r="A81" t="str">
            <v>重庆市碧桂园凤城酒店有限公司</v>
          </cell>
          <cell r="B81" t="str">
            <v>Total Energy Costs 能源费合计</v>
          </cell>
          <cell r="C81">
            <v>2309287.4900000002</v>
          </cell>
        </row>
        <row r="82">
          <cell r="A82" t="str">
            <v>武汉市碧桂园凤凰酒店有限公司</v>
          </cell>
          <cell r="B82" t="str">
            <v>Electricity 电费</v>
          </cell>
          <cell r="C82">
            <v>739163.1</v>
          </cell>
        </row>
        <row r="83">
          <cell r="A83" t="str">
            <v>武汉市碧桂园凤凰酒店有限公司</v>
          </cell>
          <cell r="B83" t="str">
            <v>Gas 煤气费</v>
          </cell>
          <cell r="C83">
            <v>283315.15000000002</v>
          </cell>
        </row>
        <row r="84">
          <cell r="A84" t="str">
            <v>武汉市碧桂园凤凰酒店有限公司</v>
          </cell>
          <cell r="B84" t="str">
            <v>Oil 燃油费</v>
          </cell>
          <cell r="C84">
            <v>0</v>
          </cell>
        </row>
        <row r="85">
          <cell r="A85" t="str">
            <v>武汉市碧桂园凤凰酒店有限公司</v>
          </cell>
          <cell r="B85" t="str">
            <v>Steam 蒸汽费</v>
          </cell>
          <cell r="C85">
            <v>0</v>
          </cell>
        </row>
        <row r="86">
          <cell r="A86" t="str">
            <v>武汉市碧桂园凤凰酒店有限公司</v>
          </cell>
          <cell r="B86" t="str">
            <v>Heating 暖气</v>
          </cell>
          <cell r="C86">
            <v>0</v>
          </cell>
        </row>
        <row r="87">
          <cell r="A87" t="str">
            <v>武汉市碧桂园凤凰酒店有限公司</v>
          </cell>
          <cell r="B87" t="str">
            <v>Geothermal water 地热水</v>
          </cell>
          <cell r="C87">
            <v>0</v>
          </cell>
        </row>
        <row r="88">
          <cell r="A88" t="str">
            <v>武汉市碧桂园凤凰酒店有限公司</v>
          </cell>
          <cell r="B88" t="str">
            <v>Water 水费</v>
          </cell>
          <cell r="C88">
            <v>74965.740000000005</v>
          </cell>
        </row>
        <row r="89">
          <cell r="A89" t="str">
            <v>武汉市碧桂园凤凰酒店有限公司</v>
          </cell>
          <cell r="B89" t="str">
            <v>Total Energy Costs 能源费合计</v>
          </cell>
          <cell r="C89">
            <v>1097443.99</v>
          </cell>
        </row>
        <row r="90">
          <cell r="A90" t="str">
            <v>韶关市碧桂园凤凰酒店有限公司</v>
          </cell>
          <cell r="B90" t="str">
            <v>Electricity 电费</v>
          </cell>
          <cell r="C90">
            <v>1171844.47</v>
          </cell>
        </row>
        <row r="91">
          <cell r="A91" t="str">
            <v>韶关市碧桂园凤凰酒店有限公司</v>
          </cell>
          <cell r="B91" t="str">
            <v>Gas 煤气费</v>
          </cell>
          <cell r="C91">
            <v>454578.46</v>
          </cell>
        </row>
        <row r="92">
          <cell r="A92" t="str">
            <v>韶关市碧桂园凤凰酒店有限公司</v>
          </cell>
          <cell r="B92" t="str">
            <v>Oil 燃油费</v>
          </cell>
          <cell r="C92">
            <v>0</v>
          </cell>
        </row>
        <row r="93">
          <cell r="A93" t="str">
            <v>韶关市碧桂园凤凰酒店有限公司</v>
          </cell>
          <cell r="B93" t="str">
            <v>Steam 蒸汽费</v>
          </cell>
          <cell r="C93">
            <v>0</v>
          </cell>
        </row>
        <row r="94">
          <cell r="A94" t="str">
            <v>韶关市碧桂园凤凰酒店有限公司</v>
          </cell>
          <cell r="B94" t="str">
            <v>Heating 暖气</v>
          </cell>
          <cell r="C94">
            <v>0</v>
          </cell>
        </row>
        <row r="95">
          <cell r="A95" t="str">
            <v>韶关市碧桂园凤凰酒店有限公司</v>
          </cell>
          <cell r="B95" t="str">
            <v>Geothermal water 地热水</v>
          </cell>
          <cell r="C95">
            <v>0</v>
          </cell>
        </row>
        <row r="96">
          <cell r="A96" t="str">
            <v>韶关市碧桂园凤凰酒店有限公司</v>
          </cell>
          <cell r="B96" t="str">
            <v>Water 水费</v>
          </cell>
          <cell r="C96">
            <v>164651.04999999999</v>
          </cell>
        </row>
        <row r="97">
          <cell r="A97" t="str">
            <v>韶关市碧桂园凤凰酒店有限公司</v>
          </cell>
          <cell r="B97" t="str">
            <v>Total Energy Costs 能源费合计</v>
          </cell>
          <cell r="C97">
            <v>1791073.98</v>
          </cell>
        </row>
        <row r="98">
          <cell r="A98" t="str">
            <v>黄山碧桂园凤凰酒店有限公司</v>
          </cell>
          <cell r="B98" t="str">
            <v>Electricity 电费</v>
          </cell>
          <cell r="C98">
            <v>1256101.76</v>
          </cell>
        </row>
        <row r="99">
          <cell r="A99" t="str">
            <v>黄山碧桂园凤凰酒店有限公司</v>
          </cell>
          <cell r="B99" t="str">
            <v>Gas 煤气费</v>
          </cell>
          <cell r="C99">
            <v>378648.54</v>
          </cell>
        </row>
        <row r="100">
          <cell r="A100" t="str">
            <v>黄山碧桂园凤凰酒店有限公司</v>
          </cell>
          <cell r="B100" t="str">
            <v>Oil 燃油费</v>
          </cell>
          <cell r="C100">
            <v>4424.78</v>
          </cell>
        </row>
        <row r="101">
          <cell r="A101" t="str">
            <v>黄山碧桂园凤凰酒店有限公司</v>
          </cell>
          <cell r="B101" t="str">
            <v>Steam 蒸汽费</v>
          </cell>
          <cell r="C101">
            <v>0</v>
          </cell>
        </row>
        <row r="102">
          <cell r="A102" t="str">
            <v>黄山碧桂园凤凰酒店有限公司</v>
          </cell>
          <cell r="B102" t="str">
            <v>Heating 暖气</v>
          </cell>
          <cell r="C102">
            <v>0</v>
          </cell>
        </row>
        <row r="103">
          <cell r="A103" t="str">
            <v>黄山碧桂园凤凰酒店有限公司</v>
          </cell>
          <cell r="B103" t="str">
            <v>Geothermal water 地热水</v>
          </cell>
          <cell r="C103">
            <v>0</v>
          </cell>
        </row>
        <row r="104">
          <cell r="A104" t="str">
            <v>黄山碧桂园凤凰酒店有限公司</v>
          </cell>
          <cell r="B104" t="str">
            <v>Water 水费</v>
          </cell>
          <cell r="C104">
            <v>145089.81</v>
          </cell>
        </row>
        <row r="105">
          <cell r="A105" t="str">
            <v>黄山碧桂园凤凰酒店有限公司</v>
          </cell>
          <cell r="B105" t="str">
            <v>Total Energy Costs 能源费合计</v>
          </cell>
          <cell r="C105">
            <v>1784264.89</v>
          </cell>
        </row>
        <row r="106">
          <cell r="A106" t="str">
            <v>池州市碧桂园凤凰酒店有限公司</v>
          </cell>
          <cell r="B106" t="str">
            <v>Electricity 电费</v>
          </cell>
          <cell r="C106">
            <v>1348531.07</v>
          </cell>
        </row>
        <row r="107">
          <cell r="A107" t="str">
            <v>池州市碧桂园凤凰酒店有限公司</v>
          </cell>
          <cell r="B107" t="str">
            <v>Gas 煤气费</v>
          </cell>
          <cell r="C107">
            <v>443333.82</v>
          </cell>
        </row>
        <row r="108">
          <cell r="A108" t="str">
            <v>池州市碧桂园凤凰酒店有限公司</v>
          </cell>
          <cell r="B108" t="str">
            <v>Oil 燃油费</v>
          </cell>
          <cell r="C108">
            <v>0</v>
          </cell>
        </row>
        <row r="109">
          <cell r="A109" t="str">
            <v>池州市碧桂园凤凰酒店有限公司</v>
          </cell>
          <cell r="B109" t="str">
            <v>Steam 蒸汽费</v>
          </cell>
          <cell r="C109">
            <v>0</v>
          </cell>
        </row>
        <row r="110">
          <cell r="A110" t="str">
            <v>池州市碧桂园凤凰酒店有限公司</v>
          </cell>
          <cell r="B110" t="str">
            <v>Heating 暖气</v>
          </cell>
          <cell r="C110">
            <v>0</v>
          </cell>
        </row>
        <row r="111">
          <cell r="A111" t="str">
            <v>池州市碧桂园凤凰酒店有限公司</v>
          </cell>
          <cell r="B111" t="str">
            <v>Geothermal water 地热水</v>
          </cell>
          <cell r="C111">
            <v>0</v>
          </cell>
        </row>
        <row r="112">
          <cell r="A112" t="str">
            <v>池州市碧桂园凤凰酒店有限公司</v>
          </cell>
          <cell r="B112" t="str">
            <v>Water 水费</v>
          </cell>
          <cell r="C112">
            <v>104828.74</v>
          </cell>
        </row>
        <row r="113">
          <cell r="A113" t="str">
            <v>池州市碧桂园凤凰酒店有限公司</v>
          </cell>
          <cell r="B113" t="str">
            <v>Total Energy Costs 能源费合计</v>
          </cell>
          <cell r="C113">
            <v>1896693.63</v>
          </cell>
        </row>
        <row r="114">
          <cell r="A114" t="str">
            <v>芜湖碧桂园凤凰酒店有限公司</v>
          </cell>
          <cell r="B114" t="str">
            <v>Electricity 电费</v>
          </cell>
          <cell r="C114">
            <v>764827.85</v>
          </cell>
        </row>
        <row r="115">
          <cell r="A115" t="str">
            <v>芜湖碧桂园凤凰酒店有限公司</v>
          </cell>
          <cell r="B115" t="str">
            <v>Gas 煤气费</v>
          </cell>
          <cell r="C115">
            <v>322074.44</v>
          </cell>
        </row>
        <row r="116">
          <cell r="A116" t="str">
            <v>芜湖碧桂园凤凰酒店有限公司</v>
          </cell>
          <cell r="B116" t="str">
            <v>Oil 燃油费</v>
          </cell>
          <cell r="C116">
            <v>0</v>
          </cell>
        </row>
        <row r="117">
          <cell r="A117" t="str">
            <v>芜湖碧桂园凤凰酒店有限公司</v>
          </cell>
          <cell r="B117" t="str">
            <v>Steam 蒸汽费</v>
          </cell>
          <cell r="C117">
            <v>0</v>
          </cell>
        </row>
        <row r="118">
          <cell r="A118" t="str">
            <v>芜湖碧桂园凤凰酒店有限公司</v>
          </cell>
          <cell r="B118" t="str">
            <v>Heating 暖气</v>
          </cell>
          <cell r="C118">
            <v>0</v>
          </cell>
        </row>
        <row r="119">
          <cell r="A119" t="str">
            <v>芜湖碧桂园凤凰酒店有限公司</v>
          </cell>
          <cell r="B119" t="str">
            <v>Geothermal water 地热水</v>
          </cell>
          <cell r="C119">
            <v>0</v>
          </cell>
        </row>
        <row r="120">
          <cell r="A120" t="str">
            <v>芜湖碧桂园凤凰酒店有限公司</v>
          </cell>
          <cell r="B120" t="str">
            <v>Water 水费</v>
          </cell>
          <cell r="C120">
            <v>109299.43</v>
          </cell>
        </row>
        <row r="121">
          <cell r="A121" t="str">
            <v>芜湖碧桂园凤凰酒店有限公司</v>
          </cell>
          <cell r="B121" t="str">
            <v>Total Energy Costs 能源费合计</v>
          </cell>
          <cell r="C121">
            <v>1196201.72</v>
          </cell>
        </row>
        <row r="122">
          <cell r="A122" t="str">
            <v>滁州碧桂园凤凰酒店管理有限公司</v>
          </cell>
          <cell r="B122" t="str">
            <v>Electricity 电费</v>
          </cell>
          <cell r="C122">
            <v>797898.84</v>
          </cell>
        </row>
        <row r="123">
          <cell r="A123" t="str">
            <v>滁州碧桂园凤凰酒店管理有限公司</v>
          </cell>
          <cell r="B123" t="str">
            <v>Gas 煤气费</v>
          </cell>
          <cell r="C123">
            <v>178752.87</v>
          </cell>
        </row>
        <row r="124">
          <cell r="A124" t="str">
            <v>滁州碧桂园凤凰酒店管理有限公司</v>
          </cell>
          <cell r="B124" t="str">
            <v>Oil 燃油费</v>
          </cell>
          <cell r="C124">
            <v>0</v>
          </cell>
        </row>
        <row r="125">
          <cell r="A125" t="str">
            <v>滁州碧桂园凤凰酒店管理有限公司</v>
          </cell>
          <cell r="B125" t="str">
            <v>Steam 蒸汽费</v>
          </cell>
          <cell r="C125">
            <v>0</v>
          </cell>
        </row>
        <row r="126">
          <cell r="A126" t="str">
            <v>滁州碧桂园凤凰酒店管理有限公司</v>
          </cell>
          <cell r="B126" t="str">
            <v>Heating 暖气</v>
          </cell>
          <cell r="C126">
            <v>0</v>
          </cell>
        </row>
        <row r="127">
          <cell r="A127" t="str">
            <v>滁州碧桂园凤凰酒店管理有限公司</v>
          </cell>
          <cell r="B127" t="str">
            <v>Geothermal water 地热水</v>
          </cell>
          <cell r="C127">
            <v>0</v>
          </cell>
        </row>
        <row r="128">
          <cell r="A128" t="str">
            <v>滁州碧桂园凤凰酒店管理有限公司</v>
          </cell>
          <cell r="B128" t="str">
            <v>Water 水费</v>
          </cell>
          <cell r="C128">
            <v>137416.51</v>
          </cell>
        </row>
        <row r="129">
          <cell r="A129" t="str">
            <v>滁州碧桂园凤凰酒店管理有限公司</v>
          </cell>
          <cell r="B129" t="str">
            <v>Total Energy Costs 能源费合计</v>
          </cell>
          <cell r="C129">
            <v>1114068.22</v>
          </cell>
        </row>
        <row r="130">
          <cell r="A130" t="str">
            <v>清远市卓越弘建置业投资有限公司佛冈酒店分公司</v>
          </cell>
          <cell r="B130" t="str">
            <v>Electricity 电费</v>
          </cell>
          <cell r="C130">
            <v>854506.65</v>
          </cell>
        </row>
        <row r="131">
          <cell r="A131" t="str">
            <v>清远市卓越弘建置业投资有限公司佛冈酒店分公司</v>
          </cell>
          <cell r="B131" t="str">
            <v>Gas 煤气费</v>
          </cell>
          <cell r="C131">
            <v>89038.15</v>
          </cell>
        </row>
        <row r="132">
          <cell r="A132" t="str">
            <v>清远市卓越弘建置业投资有限公司佛冈酒店分公司</v>
          </cell>
          <cell r="B132" t="str">
            <v>Oil 燃油费</v>
          </cell>
          <cell r="C132">
            <v>0</v>
          </cell>
        </row>
        <row r="133">
          <cell r="A133" t="str">
            <v>清远市卓越弘建置业投资有限公司佛冈酒店分公司</v>
          </cell>
          <cell r="B133" t="str">
            <v>Steam 蒸汽费</v>
          </cell>
          <cell r="C133">
            <v>0</v>
          </cell>
        </row>
        <row r="134">
          <cell r="A134" t="str">
            <v>清远市卓越弘建置业投资有限公司佛冈酒店分公司</v>
          </cell>
          <cell r="B134" t="str">
            <v>Heating 暖气</v>
          </cell>
          <cell r="C134">
            <v>0</v>
          </cell>
        </row>
        <row r="135">
          <cell r="A135" t="str">
            <v>清远市卓越弘建置业投资有限公司佛冈酒店分公司</v>
          </cell>
          <cell r="B135" t="str">
            <v>Geothermal water 地热水</v>
          </cell>
          <cell r="C135">
            <v>0</v>
          </cell>
        </row>
        <row r="136">
          <cell r="A136" t="str">
            <v>清远市卓越弘建置业投资有限公司佛冈酒店分公司</v>
          </cell>
          <cell r="B136" t="str">
            <v>Water 水费</v>
          </cell>
          <cell r="C136">
            <v>72120.05</v>
          </cell>
        </row>
        <row r="137">
          <cell r="A137" t="str">
            <v>清远市卓越弘建置业投资有限公司佛冈酒店分公司</v>
          </cell>
          <cell r="B137" t="str">
            <v>Total Energy Costs 能源费合计</v>
          </cell>
          <cell r="C137">
            <v>1015664.85</v>
          </cell>
        </row>
        <row r="138">
          <cell r="A138" t="str">
            <v>泰州市碧桂园凤凰酒店有限公司</v>
          </cell>
          <cell r="B138" t="str">
            <v>Electricity 电费</v>
          </cell>
          <cell r="C138">
            <v>873057.48</v>
          </cell>
        </row>
        <row r="139">
          <cell r="A139" t="str">
            <v>泰州市碧桂园凤凰酒店有限公司</v>
          </cell>
          <cell r="B139" t="str">
            <v>Gas 煤气费</v>
          </cell>
          <cell r="C139">
            <v>347986.13</v>
          </cell>
        </row>
        <row r="140">
          <cell r="A140" t="str">
            <v>泰州市碧桂园凤凰酒店有限公司</v>
          </cell>
          <cell r="B140" t="str">
            <v>Oil 燃油费</v>
          </cell>
          <cell r="C140">
            <v>0</v>
          </cell>
        </row>
        <row r="141">
          <cell r="A141" t="str">
            <v>泰州市碧桂园凤凰酒店有限公司</v>
          </cell>
          <cell r="B141" t="str">
            <v>Steam 蒸汽费</v>
          </cell>
          <cell r="C141">
            <v>0</v>
          </cell>
        </row>
        <row r="142">
          <cell r="A142" t="str">
            <v>泰州市碧桂园凤凰酒店有限公司</v>
          </cell>
          <cell r="B142" t="str">
            <v>Heating 暖气</v>
          </cell>
          <cell r="C142">
            <v>0</v>
          </cell>
        </row>
        <row r="143">
          <cell r="A143" t="str">
            <v>泰州市碧桂园凤凰酒店有限公司</v>
          </cell>
          <cell r="B143" t="str">
            <v>Geothermal water 地热水</v>
          </cell>
          <cell r="C143">
            <v>0</v>
          </cell>
        </row>
        <row r="144">
          <cell r="A144" t="str">
            <v>泰州市碧桂园凤凰酒店有限公司</v>
          </cell>
          <cell r="B144" t="str">
            <v>Water 水费</v>
          </cell>
          <cell r="C144">
            <v>112492.7</v>
          </cell>
        </row>
        <row r="145">
          <cell r="A145" t="str">
            <v>泰州市碧桂园凤凰酒店有限公司</v>
          </cell>
          <cell r="B145" t="str">
            <v>Total Energy Costs 能源费合计</v>
          </cell>
          <cell r="C145">
            <v>1333536.31</v>
          </cell>
        </row>
        <row r="146">
          <cell r="A146" t="str">
            <v>巢湖南岸碧桂园凤凰酒店有限公司</v>
          </cell>
          <cell r="B146" t="str">
            <v>Electricity 电费</v>
          </cell>
          <cell r="C146">
            <v>1282932.54</v>
          </cell>
        </row>
        <row r="147">
          <cell r="A147" t="str">
            <v>巢湖南岸碧桂园凤凰酒店有限公司</v>
          </cell>
          <cell r="B147" t="str">
            <v>Gas 煤气费</v>
          </cell>
          <cell r="C147">
            <v>410956.54</v>
          </cell>
        </row>
        <row r="148">
          <cell r="A148" t="str">
            <v>巢湖南岸碧桂园凤凰酒店有限公司</v>
          </cell>
          <cell r="B148" t="str">
            <v>Oil 燃油费</v>
          </cell>
          <cell r="C148">
            <v>10358.799999999999</v>
          </cell>
        </row>
        <row r="149">
          <cell r="A149" t="str">
            <v>巢湖南岸碧桂园凤凰酒店有限公司</v>
          </cell>
          <cell r="B149" t="str">
            <v>Steam 蒸汽费</v>
          </cell>
          <cell r="C149">
            <v>0</v>
          </cell>
        </row>
        <row r="150">
          <cell r="A150" t="str">
            <v>巢湖南岸碧桂园凤凰酒店有限公司</v>
          </cell>
          <cell r="B150" t="str">
            <v>Heating 暖气</v>
          </cell>
          <cell r="C150">
            <v>0</v>
          </cell>
        </row>
        <row r="151">
          <cell r="A151" t="str">
            <v>巢湖南岸碧桂园凤凰酒店有限公司</v>
          </cell>
          <cell r="B151" t="str">
            <v>Geothermal water 地热水</v>
          </cell>
          <cell r="C151">
            <v>0</v>
          </cell>
        </row>
        <row r="152">
          <cell r="A152" t="str">
            <v>巢湖南岸碧桂园凤凰酒店有限公司</v>
          </cell>
          <cell r="B152" t="str">
            <v>Water 水费</v>
          </cell>
          <cell r="C152">
            <v>101532.15</v>
          </cell>
        </row>
        <row r="153">
          <cell r="A153" t="str">
            <v>巢湖南岸碧桂园凤凰酒店有限公司</v>
          </cell>
          <cell r="B153" t="str">
            <v>Total Energy Costs 能源费合计</v>
          </cell>
          <cell r="C153">
            <v>1805780.03</v>
          </cell>
        </row>
        <row r="154">
          <cell r="A154" t="str">
            <v>句容碧桂园凤凰城酒店管理有限公司</v>
          </cell>
          <cell r="B154" t="str">
            <v>Electricity 电费</v>
          </cell>
          <cell r="C154">
            <v>1053246.8400000001</v>
          </cell>
        </row>
        <row r="155">
          <cell r="A155" t="str">
            <v>句容碧桂园凤凰城酒店管理有限公司</v>
          </cell>
          <cell r="B155" t="str">
            <v>Gas 煤气费</v>
          </cell>
          <cell r="C155">
            <v>610234.76</v>
          </cell>
        </row>
        <row r="156">
          <cell r="A156" t="str">
            <v>句容碧桂园凤凰城酒店管理有限公司</v>
          </cell>
          <cell r="B156" t="str">
            <v>Oil 燃油费</v>
          </cell>
          <cell r="C156">
            <v>0</v>
          </cell>
        </row>
        <row r="157">
          <cell r="A157" t="str">
            <v>句容碧桂园凤凰城酒店管理有限公司</v>
          </cell>
          <cell r="B157" t="str">
            <v>Steam 蒸汽费</v>
          </cell>
          <cell r="C157">
            <v>0</v>
          </cell>
        </row>
        <row r="158">
          <cell r="A158" t="str">
            <v>句容碧桂园凤凰城酒店管理有限公司</v>
          </cell>
          <cell r="B158" t="str">
            <v>Heating 暖气</v>
          </cell>
          <cell r="C158">
            <v>0</v>
          </cell>
        </row>
        <row r="159">
          <cell r="A159" t="str">
            <v>句容碧桂园凤凰城酒店管理有限公司</v>
          </cell>
          <cell r="B159" t="str">
            <v>Geothermal water 地热水</v>
          </cell>
          <cell r="C159">
            <v>0</v>
          </cell>
        </row>
        <row r="160">
          <cell r="A160" t="str">
            <v>句容碧桂园凤凰城酒店管理有限公司</v>
          </cell>
          <cell r="B160" t="str">
            <v>Water 水费</v>
          </cell>
          <cell r="C160">
            <v>140954.6</v>
          </cell>
        </row>
        <row r="161">
          <cell r="A161" t="str">
            <v>句容碧桂园凤凰城酒店管理有限公司</v>
          </cell>
          <cell r="B161" t="str">
            <v>Total Energy Costs 能源费合计</v>
          </cell>
          <cell r="C161">
            <v>1804436.2</v>
          </cell>
        </row>
        <row r="162">
          <cell r="A162" t="str">
            <v>云浮市碧桂园凤凰酒店有限公司</v>
          </cell>
          <cell r="B162" t="str">
            <v>Electricity 电费</v>
          </cell>
          <cell r="C162">
            <v>510685.75</v>
          </cell>
        </row>
        <row r="163">
          <cell r="A163" t="str">
            <v>云浮市碧桂园凤凰酒店有限公司</v>
          </cell>
          <cell r="B163" t="str">
            <v>Gas 煤气费</v>
          </cell>
          <cell r="C163">
            <v>70730.3</v>
          </cell>
        </row>
        <row r="164">
          <cell r="A164" t="str">
            <v>云浮市碧桂园凤凰酒店有限公司</v>
          </cell>
          <cell r="B164" t="str">
            <v>Oil 燃油费</v>
          </cell>
          <cell r="C164">
            <v>0</v>
          </cell>
        </row>
        <row r="165">
          <cell r="A165" t="str">
            <v>云浮市碧桂园凤凰酒店有限公司</v>
          </cell>
          <cell r="B165" t="str">
            <v>Steam 蒸汽费</v>
          </cell>
          <cell r="C165">
            <v>0</v>
          </cell>
        </row>
        <row r="166">
          <cell r="A166" t="str">
            <v>云浮市碧桂园凤凰酒店有限公司</v>
          </cell>
          <cell r="B166" t="str">
            <v>Heating 暖气</v>
          </cell>
          <cell r="C166">
            <v>0</v>
          </cell>
        </row>
        <row r="167">
          <cell r="A167" t="str">
            <v>云浮市碧桂园凤凰酒店有限公司</v>
          </cell>
          <cell r="B167" t="str">
            <v>Geothermal water 地热水</v>
          </cell>
          <cell r="C167">
            <v>0</v>
          </cell>
        </row>
        <row r="168">
          <cell r="A168" t="str">
            <v>云浮市碧桂园凤凰酒店有限公司</v>
          </cell>
          <cell r="B168" t="str">
            <v>Water 水费</v>
          </cell>
          <cell r="C168">
            <v>75626.710000000006</v>
          </cell>
        </row>
        <row r="169">
          <cell r="A169" t="str">
            <v>云浮市碧桂园凤凰酒店有限公司</v>
          </cell>
          <cell r="B169" t="str">
            <v>Total Energy Costs 能源费合计</v>
          </cell>
          <cell r="C169">
            <v>657042.76</v>
          </cell>
        </row>
        <row r="170">
          <cell r="A170" t="str">
            <v>张家界碧桂园凤凰酒店管理有限公司</v>
          </cell>
          <cell r="B170" t="str">
            <v>Electricity 电费</v>
          </cell>
          <cell r="C170">
            <v>4146777.28</v>
          </cell>
        </row>
        <row r="171">
          <cell r="A171" t="str">
            <v>张家界碧桂园凤凰酒店管理有限公司</v>
          </cell>
          <cell r="B171" t="str">
            <v>Gas 煤气费</v>
          </cell>
          <cell r="C171">
            <v>333593.42</v>
          </cell>
        </row>
        <row r="172">
          <cell r="A172" t="str">
            <v>张家界碧桂园凤凰酒店管理有限公司</v>
          </cell>
          <cell r="B172" t="str">
            <v>Oil 燃油费</v>
          </cell>
          <cell r="C172">
            <v>0</v>
          </cell>
        </row>
        <row r="173">
          <cell r="A173" t="str">
            <v>张家界碧桂园凤凰酒店管理有限公司</v>
          </cell>
          <cell r="B173" t="str">
            <v>Steam 蒸汽费</v>
          </cell>
          <cell r="C173">
            <v>0</v>
          </cell>
        </row>
        <row r="174">
          <cell r="A174" t="str">
            <v>张家界碧桂园凤凰酒店管理有限公司</v>
          </cell>
          <cell r="B174" t="str">
            <v>Heating 暖气</v>
          </cell>
          <cell r="C174">
            <v>0</v>
          </cell>
        </row>
        <row r="175">
          <cell r="A175" t="str">
            <v>张家界碧桂园凤凰酒店管理有限公司</v>
          </cell>
          <cell r="B175" t="str">
            <v>Geothermal water 地热水</v>
          </cell>
          <cell r="C175">
            <v>0</v>
          </cell>
        </row>
        <row r="176">
          <cell r="A176" t="str">
            <v>张家界碧桂园凤凰酒店管理有限公司</v>
          </cell>
          <cell r="B176" t="str">
            <v>Water 水费</v>
          </cell>
          <cell r="C176">
            <v>650780.9</v>
          </cell>
        </row>
        <row r="177">
          <cell r="A177" t="str">
            <v>张家界碧桂园凤凰酒店管理有限公司</v>
          </cell>
          <cell r="B177" t="str">
            <v>Total Energy Costs 能源费合计</v>
          </cell>
          <cell r="C177">
            <v>5131151.5999999996</v>
          </cell>
        </row>
        <row r="178">
          <cell r="A178" t="str">
            <v>临高金碧酒店管理有限公司</v>
          </cell>
          <cell r="B178" t="str">
            <v>Electricity 电费</v>
          </cell>
          <cell r="C178">
            <v>1104030.27</v>
          </cell>
        </row>
        <row r="179">
          <cell r="A179" t="str">
            <v>临高金碧酒店管理有限公司</v>
          </cell>
          <cell r="B179" t="str">
            <v>Gas 煤气费</v>
          </cell>
          <cell r="C179">
            <v>74993.78</v>
          </cell>
        </row>
        <row r="180">
          <cell r="A180" t="str">
            <v>临高金碧酒店管理有限公司</v>
          </cell>
          <cell r="B180" t="str">
            <v>Oil 燃油费</v>
          </cell>
          <cell r="C180">
            <v>0</v>
          </cell>
        </row>
        <row r="181">
          <cell r="A181" t="str">
            <v>临高金碧酒店管理有限公司</v>
          </cell>
          <cell r="B181" t="str">
            <v>Steam 蒸汽费</v>
          </cell>
          <cell r="C181">
            <v>0</v>
          </cell>
        </row>
        <row r="182">
          <cell r="A182" t="str">
            <v>临高金碧酒店管理有限公司</v>
          </cell>
          <cell r="B182" t="str">
            <v>Heating 暖气</v>
          </cell>
          <cell r="C182">
            <v>0</v>
          </cell>
        </row>
        <row r="183">
          <cell r="A183" t="str">
            <v>临高金碧酒店管理有限公司</v>
          </cell>
          <cell r="B183" t="str">
            <v>Geothermal water 地热水</v>
          </cell>
          <cell r="C183">
            <v>0</v>
          </cell>
        </row>
        <row r="184">
          <cell r="A184" t="str">
            <v>临高金碧酒店管理有限公司</v>
          </cell>
          <cell r="B184" t="str">
            <v>Water 水费</v>
          </cell>
          <cell r="C184">
            <v>-10669.75</v>
          </cell>
        </row>
        <row r="185">
          <cell r="A185" t="str">
            <v>临高金碧酒店管理有限公司</v>
          </cell>
          <cell r="B185" t="str">
            <v>Total Energy Costs 能源费合计</v>
          </cell>
          <cell r="C185">
            <v>1168354.3</v>
          </cell>
        </row>
        <row r="186">
          <cell r="A186" t="str">
            <v>海南临高碧桂园房地产开发有限公司酒店分公司</v>
          </cell>
          <cell r="B186" t="str">
            <v>Electricity 电费</v>
          </cell>
          <cell r="C186">
            <v>218087.78</v>
          </cell>
        </row>
        <row r="187">
          <cell r="A187" t="str">
            <v>海南临高碧桂园房地产开发有限公司酒店分公司</v>
          </cell>
          <cell r="B187" t="str">
            <v>Gas 煤气费</v>
          </cell>
          <cell r="C187">
            <v>45262.69</v>
          </cell>
        </row>
        <row r="188">
          <cell r="A188" t="str">
            <v>海南临高碧桂园房地产开发有限公司酒店分公司</v>
          </cell>
          <cell r="B188" t="str">
            <v>Oil 燃油费</v>
          </cell>
          <cell r="C188">
            <v>3358.32</v>
          </cell>
        </row>
        <row r="189">
          <cell r="A189" t="str">
            <v>海南临高碧桂园房地产开发有限公司酒店分公司</v>
          </cell>
          <cell r="B189" t="str">
            <v>Steam 蒸汽费</v>
          </cell>
          <cell r="C189">
            <v>0</v>
          </cell>
        </row>
        <row r="190">
          <cell r="A190" t="str">
            <v>海南临高碧桂园房地产开发有限公司酒店分公司</v>
          </cell>
          <cell r="B190" t="str">
            <v>Heating 暖气</v>
          </cell>
          <cell r="C190">
            <v>0</v>
          </cell>
        </row>
        <row r="191">
          <cell r="A191" t="str">
            <v>海南临高碧桂园房地产开发有限公司酒店分公司</v>
          </cell>
          <cell r="B191" t="str">
            <v>Geothermal water 地热水</v>
          </cell>
          <cell r="C191">
            <v>0</v>
          </cell>
        </row>
        <row r="192">
          <cell r="A192" t="str">
            <v>海南临高碧桂园房地产开发有限公司酒店分公司</v>
          </cell>
          <cell r="B192" t="str">
            <v>Water 水费</v>
          </cell>
          <cell r="C192">
            <v>6797.74</v>
          </cell>
        </row>
        <row r="193">
          <cell r="A193" t="str">
            <v>海南临高碧桂园房地产开发有限公司酒店分公司</v>
          </cell>
          <cell r="B193" t="str">
            <v>Total Energy Costs 能源费合计</v>
          </cell>
          <cell r="C193">
            <v>273506.53000000003</v>
          </cell>
        </row>
        <row r="194">
          <cell r="A194" t="str">
            <v>科右前旗碧桂园凤凰置业有限公司</v>
          </cell>
          <cell r="B194" t="str">
            <v>Electricity 电费</v>
          </cell>
          <cell r="C194">
            <v>403334.94</v>
          </cell>
        </row>
        <row r="195">
          <cell r="A195" t="str">
            <v>科右前旗碧桂园凤凰置业有限公司</v>
          </cell>
          <cell r="B195" t="str">
            <v>Gas 煤气费</v>
          </cell>
          <cell r="C195">
            <v>178354.24</v>
          </cell>
        </row>
        <row r="196">
          <cell r="A196" t="str">
            <v>科右前旗碧桂园凤凰置业有限公司</v>
          </cell>
          <cell r="B196" t="str">
            <v>Oil 燃油费</v>
          </cell>
          <cell r="C196">
            <v>6400.95</v>
          </cell>
        </row>
        <row r="197">
          <cell r="A197" t="str">
            <v>科右前旗碧桂园凤凰置业有限公司</v>
          </cell>
          <cell r="B197" t="str">
            <v>Steam 蒸汽费</v>
          </cell>
          <cell r="C197">
            <v>0</v>
          </cell>
        </row>
        <row r="198">
          <cell r="A198" t="str">
            <v>科右前旗碧桂园凤凰置业有限公司</v>
          </cell>
          <cell r="B198" t="str">
            <v>Heating 暖气</v>
          </cell>
          <cell r="C198">
            <v>505494.16</v>
          </cell>
        </row>
        <row r="199">
          <cell r="A199" t="str">
            <v>科右前旗碧桂园凤凰置业有限公司</v>
          </cell>
          <cell r="B199" t="str">
            <v>Geothermal water 地热水</v>
          </cell>
          <cell r="C199">
            <v>0</v>
          </cell>
        </row>
        <row r="200">
          <cell r="A200" t="str">
            <v>科右前旗碧桂园凤凰置业有限公司</v>
          </cell>
          <cell r="B200" t="str">
            <v>Water 水费</v>
          </cell>
          <cell r="C200">
            <v>60889.13</v>
          </cell>
        </row>
        <row r="201">
          <cell r="A201" t="str">
            <v>科右前旗碧桂园凤凰置业有限公司</v>
          </cell>
          <cell r="B201" t="str">
            <v>Total Energy Costs 能源费合计</v>
          </cell>
          <cell r="C201">
            <v>1154473.42</v>
          </cell>
        </row>
        <row r="202">
          <cell r="A202" t="str">
            <v>佛山市顺德区龙江镇碧桂园凤凰酒店有限公司</v>
          </cell>
          <cell r="B202" t="str">
            <v>Electricity 电费</v>
          </cell>
          <cell r="C202">
            <v>1102813.1599999999</v>
          </cell>
        </row>
        <row r="203">
          <cell r="A203" t="str">
            <v>佛山市顺德区龙江镇碧桂园凤凰酒店有限公司</v>
          </cell>
          <cell r="B203" t="str">
            <v>Gas 煤气费</v>
          </cell>
          <cell r="C203">
            <v>117062.34</v>
          </cell>
        </row>
        <row r="204">
          <cell r="A204" t="str">
            <v>佛山市顺德区龙江镇碧桂园凤凰酒店有限公司</v>
          </cell>
          <cell r="B204" t="str">
            <v>Oil 燃油费</v>
          </cell>
          <cell r="C204">
            <v>1976.92</v>
          </cell>
        </row>
        <row r="205">
          <cell r="A205" t="str">
            <v>佛山市顺德区龙江镇碧桂园凤凰酒店有限公司</v>
          </cell>
          <cell r="B205" t="str">
            <v>Steam 蒸汽费</v>
          </cell>
          <cell r="C205">
            <v>3932.04</v>
          </cell>
        </row>
        <row r="206">
          <cell r="A206" t="str">
            <v>佛山市顺德区龙江镇碧桂园凤凰酒店有限公司</v>
          </cell>
          <cell r="B206" t="str">
            <v>Heating 暖气</v>
          </cell>
          <cell r="C206">
            <v>0</v>
          </cell>
        </row>
        <row r="207">
          <cell r="A207" t="str">
            <v>佛山市顺德区龙江镇碧桂园凤凰酒店有限公司</v>
          </cell>
          <cell r="B207" t="str">
            <v>Geothermal water 地热水</v>
          </cell>
          <cell r="C207">
            <v>0</v>
          </cell>
        </row>
        <row r="208">
          <cell r="A208" t="str">
            <v>佛山市顺德区龙江镇碧桂园凤凰酒店有限公司</v>
          </cell>
          <cell r="B208" t="str">
            <v>Water 水费</v>
          </cell>
          <cell r="C208">
            <v>137063.91</v>
          </cell>
        </row>
        <row r="209">
          <cell r="A209" t="str">
            <v>佛山市顺德区龙江镇碧桂园凤凰酒店有限公司</v>
          </cell>
          <cell r="B209" t="str">
            <v>Total Energy Costs 能源费合计</v>
          </cell>
          <cell r="C209">
            <v>1362848.37</v>
          </cell>
        </row>
        <row r="210">
          <cell r="A210" t="str">
            <v>沈阳南营碧桂园酒店有限公司</v>
          </cell>
          <cell r="B210" t="str">
            <v>Electricity 电费</v>
          </cell>
          <cell r="C210">
            <v>538793.15</v>
          </cell>
        </row>
        <row r="211">
          <cell r="A211" t="str">
            <v>沈阳南营碧桂园酒店有限公司</v>
          </cell>
          <cell r="B211" t="str">
            <v>Gas 煤气费</v>
          </cell>
          <cell r="C211">
            <v>211148.1</v>
          </cell>
        </row>
        <row r="212">
          <cell r="A212" t="str">
            <v>沈阳南营碧桂园酒店有限公司</v>
          </cell>
          <cell r="B212" t="str">
            <v>Oil 燃油费</v>
          </cell>
          <cell r="C212">
            <v>314.16000000000003</v>
          </cell>
        </row>
        <row r="213">
          <cell r="A213" t="str">
            <v>沈阳南营碧桂园酒店有限公司</v>
          </cell>
          <cell r="B213" t="str">
            <v>Steam 蒸汽费</v>
          </cell>
          <cell r="C213">
            <v>0</v>
          </cell>
        </row>
        <row r="214">
          <cell r="A214" t="str">
            <v>沈阳南营碧桂园酒店有限公司</v>
          </cell>
          <cell r="B214" t="str">
            <v>Heating 暖气</v>
          </cell>
          <cell r="C214">
            <v>445668.13</v>
          </cell>
        </row>
        <row r="215">
          <cell r="A215" t="str">
            <v>沈阳南营碧桂园酒店有限公司</v>
          </cell>
          <cell r="B215" t="str">
            <v>Geothermal water 地热水</v>
          </cell>
          <cell r="C215">
            <v>0</v>
          </cell>
        </row>
        <row r="216">
          <cell r="A216" t="str">
            <v>沈阳南营碧桂园酒店有限公司</v>
          </cell>
          <cell r="B216" t="str">
            <v>Water 水费</v>
          </cell>
          <cell r="C216">
            <v>81901.259999999995</v>
          </cell>
        </row>
        <row r="217">
          <cell r="A217" t="str">
            <v>沈阳南营碧桂园酒店有限公司</v>
          </cell>
          <cell r="B217" t="str">
            <v>Total Energy Costs 能源费合计</v>
          </cell>
          <cell r="C217">
            <v>1277824.8</v>
          </cell>
        </row>
        <row r="218">
          <cell r="A218" t="str">
            <v>广东康兰假日酒店有限公司</v>
          </cell>
          <cell r="B218" t="str">
            <v>Electricity 电费</v>
          </cell>
          <cell r="C218">
            <v>1043947.11</v>
          </cell>
        </row>
        <row r="219">
          <cell r="A219" t="str">
            <v>广东康兰假日酒店有限公司</v>
          </cell>
          <cell r="B219" t="str">
            <v>Gas 煤气费</v>
          </cell>
          <cell r="C219">
            <v>77771.5</v>
          </cell>
        </row>
        <row r="220">
          <cell r="A220" t="str">
            <v>广东康兰假日酒店有限公司</v>
          </cell>
          <cell r="B220" t="str">
            <v>Oil 燃油费</v>
          </cell>
          <cell r="C220">
            <v>0</v>
          </cell>
        </row>
        <row r="221">
          <cell r="A221" t="str">
            <v>广东康兰假日酒店有限公司</v>
          </cell>
          <cell r="B221" t="str">
            <v>Steam 蒸汽费</v>
          </cell>
          <cell r="C221">
            <v>0</v>
          </cell>
        </row>
        <row r="222">
          <cell r="A222" t="str">
            <v>广东康兰假日酒店有限公司</v>
          </cell>
          <cell r="B222" t="str">
            <v>Heating 暖气</v>
          </cell>
          <cell r="C222">
            <v>0</v>
          </cell>
        </row>
        <row r="223">
          <cell r="A223" t="str">
            <v>广东康兰假日酒店有限公司</v>
          </cell>
          <cell r="B223" t="str">
            <v>Geothermal water 地热水</v>
          </cell>
          <cell r="C223">
            <v>0</v>
          </cell>
        </row>
        <row r="224">
          <cell r="A224" t="str">
            <v>广东康兰假日酒店有限公司</v>
          </cell>
          <cell r="B224" t="str">
            <v>Water 水费</v>
          </cell>
          <cell r="C224">
            <v>114877.79</v>
          </cell>
        </row>
        <row r="225">
          <cell r="A225" t="str">
            <v>广东康兰假日酒店有限公司</v>
          </cell>
          <cell r="B225" t="str">
            <v>Total Energy Costs 能源费合计</v>
          </cell>
          <cell r="C225">
            <v>1236596.3999999999</v>
          </cell>
        </row>
        <row r="226">
          <cell r="A226" t="str">
            <v>韶关市碧桂园芙景湾酒店有限公司</v>
          </cell>
          <cell r="B226" t="str">
            <v>Electricity 电费</v>
          </cell>
          <cell r="C226">
            <v>401539.12</v>
          </cell>
        </row>
        <row r="227">
          <cell r="A227" t="str">
            <v>韶关市碧桂园芙景湾酒店有限公司</v>
          </cell>
          <cell r="B227" t="str">
            <v>Gas 煤气费</v>
          </cell>
          <cell r="C227">
            <v>39587.42</v>
          </cell>
        </row>
        <row r="228">
          <cell r="A228" t="str">
            <v>韶关市碧桂园芙景湾酒店有限公司</v>
          </cell>
          <cell r="B228" t="str">
            <v>Oil 燃油费</v>
          </cell>
          <cell r="C228">
            <v>0</v>
          </cell>
        </row>
        <row r="229">
          <cell r="A229" t="str">
            <v>韶关市碧桂园芙景湾酒店有限公司</v>
          </cell>
          <cell r="B229" t="str">
            <v>Steam 蒸汽费</v>
          </cell>
          <cell r="C229">
            <v>0</v>
          </cell>
        </row>
        <row r="230">
          <cell r="A230" t="str">
            <v>韶关市碧桂园芙景湾酒店有限公司</v>
          </cell>
          <cell r="B230" t="str">
            <v>Heating 暖气</v>
          </cell>
          <cell r="C230">
            <v>0</v>
          </cell>
        </row>
        <row r="231">
          <cell r="A231" t="str">
            <v>韶关市碧桂园芙景湾酒店有限公司</v>
          </cell>
          <cell r="B231" t="str">
            <v>Geothermal water 地热水</v>
          </cell>
          <cell r="C231">
            <v>0</v>
          </cell>
        </row>
        <row r="232">
          <cell r="A232" t="str">
            <v>韶关市碧桂园芙景湾酒店有限公司</v>
          </cell>
          <cell r="B232" t="str">
            <v>Water 水费</v>
          </cell>
          <cell r="C232">
            <v>79157.59</v>
          </cell>
        </row>
        <row r="233">
          <cell r="A233" t="str">
            <v>韶关市碧桂园芙景湾酒店有限公司</v>
          </cell>
          <cell r="B233" t="str">
            <v>Total Energy Costs 能源费合计</v>
          </cell>
          <cell r="C233">
            <v>520284.13</v>
          </cell>
        </row>
        <row r="234">
          <cell r="A234" t="str">
            <v>惠东县凤悦酒店有限公司</v>
          </cell>
          <cell r="B234" t="str">
            <v>Electricity 电费</v>
          </cell>
          <cell r="C234">
            <v>1963364.49</v>
          </cell>
        </row>
        <row r="235">
          <cell r="A235" t="str">
            <v>惠东县凤悦酒店有限公司</v>
          </cell>
          <cell r="B235" t="str">
            <v>Gas 煤气费</v>
          </cell>
          <cell r="C235">
            <v>159387.04999999999</v>
          </cell>
        </row>
        <row r="236">
          <cell r="A236" t="str">
            <v>惠东县凤悦酒店有限公司</v>
          </cell>
          <cell r="B236" t="str">
            <v>Oil 燃油费</v>
          </cell>
          <cell r="C236">
            <v>18052.169999999998</v>
          </cell>
        </row>
        <row r="237">
          <cell r="A237" t="str">
            <v>惠东县凤悦酒店有限公司</v>
          </cell>
          <cell r="B237" t="str">
            <v>Steam 蒸汽费</v>
          </cell>
          <cell r="C237">
            <v>0</v>
          </cell>
        </row>
        <row r="238">
          <cell r="A238" t="str">
            <v>惠东县凤悦酒店有限公司</v>
          </cell>
          <cell r="B238" t="str">
            <v>Heating 暖气</v>
          </cell>
          <cell r="C238">
            <v>0</v>
          </cell>
        </row>
        <row r="239">
          <cell r="A239" t="str">
            <v>惠东县凤悦酒店有限公司</v>
          </cell>
          <cell r="B239" t="str">
            <v>Geothermal water 地热水</v>
          </cell>
          <cell r="C239">
            <v>0</v>
          </cell>
        </row>
        <row r="240">
          <cell r="A240" t="str">
            <v>惠东县凤悦酒店有限公司</v>
          </cell>
          <cell r="B240" t="str">
            <v>Water 水费</v>
          </cell>
          <cell r="C240">
            <v>290327.38</v>
          </cell>
        </row>
        <row r="241">
          <cell r="A241" t="str">
            <v>惠东县凤悦酒店有限公司</v>
          </cell>
          <cell r="B241" t="str">
            <v>Total Energy Costs 能源费合计</v>
          </cell>
          <cell r="C241">
            <v>2431131.09</v>
          </cell>
        </row>
        <row r="242">
          <cell r="A242" t="str">
            <v>鹤山市共和碧桂园房地产开发有限公司酒店分公司</v>
          </cell>
          <cell r="B242" t="str">
            <v>Electricity 电费</v>
          </cell>
          <cell r="C242">
            <v>582786.48</v>
          </cell>
        </row>
        <row r="243">
          <cell r="A243" t="str">
            <v>鹤山市共和碧桂园房地产开发有限公司酒店分公司</v>
          </cell>
          <cell r="B243" t="str">
            <v>Gas 煤气费</v>
          </cell>
          <cell r="C243">
            <v>104602.07</v>
          </cell>
        </row>
        <row r="244">
          <cell r="A244" t="str">
            <v>鹤山市共和碧桂园房地产开发有限公司酒店分公司</v>
          </cell>
          <cell r="B244" t="str">
            <v>Oil 燃油费</v>
          </cell>
          <cell r="C244">
            <v>0</v>
          </cell>
        </row>
        <row r="245">
          <cell r="A245" t="str">
            <v>鹤山市共和碧桂园房地产开发有限公司酒店分公司</v>
          </cell>
          <cell r="B245" t="str">
            <v>Steam 蒸汽费</v>
          </cell>
          <cell r="C245">
            <v>0</v>
          </cell>
        </row>
        <row r="246">
          <cell r="A246" t="str">
            <v>鹤山市共和碧桂园房地产开发有限公司酒店分公司</v>
          </cell>
          <cell r="B246" t="str">
            <v>Heating 暖气</v>
          </cell>
          <cell r="C246">
            <v>0</v>
          </cell>
        </row>
        <row r="247">
          <cell r="A247" t="str">
            <v>鹤山市共和碧桂园房地产开发有限公司酒店分公司</v>
          </cell>
          <cell r="B247" t="str">
            <v>Geothermal water 地热水</v>
          </cell>
          <cell r="C247">
            <v>0</v>
          </cell>
        </row>
        <row r="248">
          <cell r="A248" t="str">
            <v>鹤山市共和碧桂园房地产开发有限公司酒店分公司</v>
          </cell>
          <cell r="B248" t="str">
            <v>Water 水费</v>
          </cell>
          <cell r="C248">
            <v>58344.24</v>
          </cell>
        </row>
        <row r="249">
          <cell r="A249" t="str">
            <v>鹤山市共和碧桂园房地产开发有限公司酒店分公司</v>
          </cell>
          <cell r="B249" t="str">
            <v>Total Energy Costs 能源费合计</v>
          </cell>
          <cell r="C249">
            <v>745732.79</v>
          </cell>
        </row>
        <row r="250">
          <cell r="A250" t="str">
            <v>益阳市碧桂园凤凰酒店有限公司</v>
          </cell>
          <cell r="B250" t="str">
            <v>Electricity 电费</v>
          </cell>
          <cell r="C250">
            <v>1512250.22</v>
          </cell>
        </row>
        <row r="251">
          <cell r="A251" t="str">
            <v>益阳市碧桂园凤凰酒店有限公司</v>
          </cell>
          <cell r="B251" t="str">
            <v>Gas 煤气费</v>
          </cell>
          <cell r="C251">
            <v>501364.36</v>
          </cell>
        </row>
        <row r="252">
          <cell r="A252" t="str">
            <v>益阳市碧桂园凤凰酒店有限公司</v>
          </cell>
          <cell r="B252" t="str">
            <v>Oil 燃油费</v>
          </cell>
          <cell r="C252">
            <v>0</v>
          </cell>
        </row>
        <row r="253">
          <cell r="A253" t="str">
            <v>益阳市碧桂园凤凰酒店有限公司</v>
          </cell>
          <cell r="B253" t="str">
            <v>Steam 蒸汽费</v>
          </cell>
          <cell r="C253">
            <v>0</v>
          </cell>
        </row>
        <row r="254">
          <cell r="A254" t="str">
            <v>益阳市碧桂园凤凰酒店有限公司</v>
          </cell>
          <cell r="B254" t="str">
            <v>Heating 暖气</v>
          </cell>
          <cell r="C254">
            <v>0</v>
          </cell>
        </row>
        <row r="255">
          <cell r="A255" t="str">
            <v>益阳市碧桂园凤凰酒店有限公司</v>
          </cell>
          <cell r="B255" t="str">
            <v>Geothermal water 地热水</v>
          </cell>
          <cell r="C255">
            <v>0</v>
          </cell>
        </row>
        <row r="256">
          <cell r="A256" t="str">
            <v>益阳市碧桂园凤凰酒店有限公司</v>
          </cell>
          <cell r="B256" t="str">
            <v>Water 水费</v>
          </cell>
          <cell r="C256">
            <v>224324.83</v>
          </cell>
        </row>
        <row r="257">
          <cell r="A257" t="str">
            <v>益阳市碧桂园凤凰酒店有限公司</v>
          </cell>
          <cell r="B257" t="str">
            <v>Total Energy Costs 能源费合计</v>
          </cell>
          <cell r="C257">
            <v>2237939.41</v>
          </cell>
        </row>
        <row r="258">
          <cell r="A258" t="str">
            <v>南充市碧桂园房地产开发有限公司酒店分公司</v>
          </cell>
          <cell r="B258" t="str">
            <v>Electricity 电费</v>
          </cell>
          <cell r="C258">
            <v>1052602.3999999999</v>
          </cell>
        </row>
        <row r="259">
          <cell r="A259" t="str">
            <v>南充市碧桂园房地产开发有限公司酒店分公司</v>
          </cell>
          <cell r="B259" t="str">
            <v>Gas 煤气费</v>
          </cell>
          <cell r="C259">
            <v>241236.21</v>
          </cell>
        </row>
        <row r="260">
          <cell r="A260" t="str">
            <v>南充市碧桂园房地产开发有限公司酒店分公司</v>
          </cell>
          <cell r="B260" t="str">
            <v>Oil 燃油费</v>
          </cell>
          <cell r="C260">
            <v>0</v>
          </cell>
        </row>
        <row r="261">
          <cell r="A261" t="str">
            <v>南充市碧桂园房地产开发有限公司酒店分公司</v>
          </cell>
          <cell r="B261" t="str">
            <v>Steam 蒸汽费</v>
          </cell>
          <cell r="C261">
            <v>0</v>
          </cell>
        </row>
        <row r="262">
          <cell r="A262" t="str">
            <v>南充市碧桂园房地产开发有限公司酒店分公司</v>
          </cell>
          <cell r="B262" t="str">
            <v>Heating 暖气</v>
          </cell>
          <cell r="C262">
            <v>0</v>
          </cell>
        </row>
        <row r="263">
          <cell r="A263" t="str">
            <v>南充市碧桂园房地产开发有限公司酒店分公司</v>
          </cell>
          <cell r="B263" t="str">
            <v>Geothermal water 地热水</v>
          </cell>
          <cell r="C263">
            <v>0</v>
          </cell>
        </row>
        <row r="264">
          <cell r="A264" t="str">
            <v>南充市碧桂园房地产开发有限公司酒店分公司</v>
          </cell>
          <cell r="B264" t="str">
            <v>Water 水费</v>
          </cell>
          <cell r="C264">
            <v>196276.7</v>
          </cell>
        </row>
        <row r="265">
          <cell r="A265" t="str">
            <v>南充市碧桂园房地产开发有限公司酒店分公司</v>
          </cell>
          <cell r="B265" t="str">
            <v>Total Energy Costs 能源费合计</v>
          </cell>
          <cell r="C265">
            <v>1490115.31</v>
          </cell>
        </row>
        <row r="266">
          <cell r="A266" t="str">
            <v>广州金叶子酒店有限公司</v>
          </cell>
          <cell r="B266" t="str">
            <v>Electricity 电费</v>
          </cell>
          <cell r="C266">
            <v>2145498.7400000002</v>
          </cell>
        </row>
        <row r="267">
          <cell r="A267" t="str">
            <v>广州金叶子酒店有限公司</v>
          </cell>
          <cell r="B267" t="str">
            <v>Gas 煤气费</v>
          </cell>
          <cell r="C267">
            <v>107816.22</v>
          </cell>
        </row>
        <row r="268">
          <cell r="A268" t="str">
            <v>广州金叶子酒店有限公司</v>
          </cell>
          <cell r="B268" t="str">
            <v>Oil 燃油费</v>
          </cell>
          <cell r="C268">
            <v>0</v>
          </cell>
        </row>
        <row r="269">
          <cell r="A269" t="str">
            <v>广州金叶子酒店有限公司</v>
          </cell>
          <cell r="B269" t="str">
            <v>Steam 蒸汽费</v>
          </cell>
          <cell r="C269">
            <v>0</v>
          </cell>
        </row>
        <row r="270">
          <cell r="A270" t="str">
            <v>广州金叶子酒店有限公司</v>
          </cell>
          <cell r="B270" t="str">
            <v>Heating 暖气</v>
          </cell>
          <cell r="C270">
            <v>0</v>
          </cell>
        </row>
        <row r="271">
          <cell r="A271" t="str">
            <v>广州金叶子酒店有限公司</v>
          </cell>
          <cell r="B271" t="str">
            <v>Geothermal water 地热水</v>
          </cell>
          <cell r="C271">
            <v>682205.92</v>
          </cell>
        </row>
        <row r="272">
          <cell r="A272" t="str">
            <v>广州金叶子酒店有限公司</v>
          </cell>
          <cell r="B272" t="str">
            <v>Water 水费</v>
          </cell>
          <cell r="C272">
            <v>572105.85</v>
          </cell>
        </row>
        <row r="273">
          <cell r="A273" t="str">
            <v>广州金叶子酒店有限公司</v>
          </cell>
          <cell r="B273" t="str">
            <v>Total Energy Costs 能源费合计</v>
          </cell>
          <cell r="C273">
            <v>3507626.73</v>
          </cell>
        </row>
        <row r="274">
          <cell r="A274" t="str">
            <v>沈阳于洪碧桂园凤凰酒店有限公司</v>
          </cell>
          <cell r="B274" t="str">
            <v>Electricity 电费</v>
          </cell>
          <cell r="C274">
            <v>2031623.78</v>
          </cell>
        </row>
        <row r="275">
          <cell r="A275" t="str">
            <v>沈阳于洪碧桂园凤凰酒店有限公司</v>
          </cell>
          <cell r="B275" t="str">
            <v>Gas 煤气费</v>
          </cell>
          <cell r="C275">
            <v>820935.24</v>
          </cell>
        </row>
        <row r="276">
          <cell r="A276" t="str">
            <v>沈阳于洪碧桂园凤凰酒店有限公司</v>
          </cell>
          <cell r="B276" t="str">
            <v>Oil 燃油费</v>
          </cell>
          <cell r="C276">
            <v>0</v>
          </cell>
        </row>
        <row r="277">
          <cell r="A277" t="str">
            <v>沈阳于洪碧桂园凤凰酒店有限公司</v>
          </cell>
          <cell r="B277" t="str">
            <v>Steam 蒸汽费</v>
          </cell>
          <cell r="C277">
            <v>0</v>
          </cell>
        </row>
        <row r="278">
          <cell r="A278" t="str">
            <v>沈阳于洪碧桂园凤凰酒店有限公司</v>
          </cell>
          <cell r="B278" t="str">
            <v>Heating 暖气</v>
          </cell>
          <cell r="C278">
            <v>1933979.96</v>
          </cell>
        </row>
        <row r="279">
          <cell r="A279" t="str">
            <v>沈阳于洪碧桂园凤凰酒店有限公司</v>
          </cell>
          <cell r="B279" t="str">
            <v>Geothermal water 地热水</v>
          </cell>
          <cell r="C279">
            <v>0</v>
          </cell>
        </row>
        <row r="280">
          <cell r="A280" t="str">
            <v>沈阳于洪碧桂园凤凰酒店有限公司</v>
          </cell>
          <cell r="B280" t="str">
            <v>Water 水费</v>
          </cell>
          <cell r="C280">
            <v>285469.53999999998</v>
          </cell>
        </row>
        <row r="281">
          <cell r="A281" t="str">
            <v>沈阳于洪碧桂园凤凰酒店有限公司</v>
          </cell>
          <cell r="B281" t="str">
            <v>Total Energy Costs 能源费合计</v>
          </cell>
          <cell r="C281">
            <v>5072008.5199999996</v>
          </cell>
        </row>
        <row r="282">
          <cell r="A282" t="str">
            <v>广州市荔碧凤悦酒店有限公司</v>
          </cell>
          <cell r="B282" t="str">
            <v>Electricity 电费</v>
          </cell>
          <cell r="C282">
            <v>1932739.28</v>
          </cell>
        </row>
        <row r="283">
          <cell r="A283" t="str">
            <v>广州市荔碧凤悦酒店有限公司</v>
          </cell>
          <cell r="B283" t="str">
            <v>Gas 煤气费</v>
          </cell>
          <cell r="C283">
            <v>89918.81</v>
          </cell>
        </row>
        <row r="284">
          <cell r="A284" t="str">
            <v>广州市荔碧凤悦酒店有限公司</v>
          </cell>
          <cell r="B284" t="str">
            <v>Oil 燃油费</v>
          </cell>
          <cell r="C284">
            <v>0</v>
          </cell>
        </row>
        <row r="285">
          <cell r="A285" t="str">
            <v>广州市荔碧凤悦酒店有限公司</v>
          </cell>
          <cell r="B285" t="str">
            <v>Steam 蒸汽费</v>
          </cell>
          <cell r="C285">
            <v>0</v>
          </cell>
        </row>
        <row r="286">
          <cell r="A286" t="str">
            <v>广州市荔碧凤悦酒店有限公司</v>
          </cell>
          <cell r="B286" t="str">
            <v>Heating 暖气</v>
          </cell>
          <cell r="C286">
            <v>0</v>
          </cell>
        </row>
        <row r="287">
          <cell r="A287" t="str">
            <v>广州市荔碧凤悦酒店有限公司</v>
          </cell>
          <cell r="B287" t="str">
            <v>Geothermal water 地热水</v>
          </cell>
          <cell r="C287">
            <v>0</v>
          </cell>
        </row>
        <row r="288">
          <cell r="A288" t="str">
            <v>广州市荔碧凤悦酒店有限公司</v>
          </cell>
          <cell r="B288" t="str">
            <v>Water 水费</v>
          </cell>
          <cell r="C288">
            <v>108227.26</v>
          </cell>
        </row>
        <row r="289">
          <cell r="A289" t="str">
            <v>广州市荔碧凤悦酒店有限公司</v>
          </cell>
          <cell r="B289" t="str">
            <v>Total Energy Costs 能源费合计</v>
          </cell>
          <cell r="C289">
            <v>2130885.35</v>
          </cell>
        </row>
        <row r="290">
          <cell r="A290" t="str">
            <v>佛山市芯林瑚酒店管理有限公司</v>
          </cell>
          <cell r="B290" t="str">
            <v>Electricity 电费</v>
          </cell>
          <cell r="C290">
            <v>2311199.15</v>
          </cell>
        </row>
        <row r="291">
          <cell r="A291" t="str">
            <v>佛山市芯林瑚酒店管理有限公司</v>
          </cell>
          <cell r="B291" t="str">
            <v>Gas 煤气费</v>
          </cell>
          <cell r="C291">
            <v>150839.76999999999</v>
          </cell>
        </row>
        <row r="292">
          <cell r="A292" t="str">
            <v>佛山市芯林瑚酒店管理有限公司</v>
          </cell>
          <cell r="B292" t="str">
            <v>Oil 燃油费</v>
          </cell>
          <cell r="C292">
            <v>1594.19</v>
          </cell>
        </row>
        <row r="293">
          <cell r="A293" t="str">
            <v>佛山市芯林瑚酒店管理有限公司</v>
          </cell>
          <cell r="B293" t="str">
            <v>Steam 蒸汽费</v>
          </cell>
          <cell r="C293">
            <v>0</v>
          </cell>
        </row>
        <row r="294">
          <cell r="A294" t="str">
            <v>佛山市芯林瑚酒店管理有限公司</v>
          </cell>
          <cell r="B294" t="str">
            <v>Heating 暖气</v>
          </cell>
          <cell r="C294">
            <v>0</v>
          </cell>
        </row>
        <row r="295">
          <cell r="A295" t="str">
            <v>佛山市芯林瑚酒店管理有限公司</v>
          </cell>
          <cell r="B295" t="str">
            <v>Geothermal water 地热水</v>
          </cell>
          <cell r="C295">
            <v>0</v>
          </cell>
        </row>
        <row r="296">
          <cell r="A296" t="str">
            <v>佛山市芯林瑚酒店管理有限公司</v>
          </cell>
          <cell r="B296" t="str">
            <v>Water 水费</v>
          </cell>
          <cell r="C296">
            <v>445884.38</v>
          </cell>
        </row>
        <row r="297">
          <cell r="A297" t="str">
            <v>佛山市芯林瑚酒店管理有限公司</v>
          </cell>
          <cell r="B297" t="str">
            <v>Total Energy Costs 能源费合计</v>
          </cell>
          <cell r="C297">
            <v>2909517.49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T"/>
      <sheetName val="Sheet1"/>
      <sheetName val="酒店主体 (报送)"/>
      <sheetName val="酒店主体"/>
      <sheetName val="客房主体"/>
      <sheetName val="前厅公共"/>
      <sheetName val="前台"/>
      <sheetName val="预订"/>
      <sheetName val="礼宾"/>
      <sheetName val="管家公共"/>
      <sheetName val="客房"/>
      <sheetName val="公区"/>
      <sheetName val="餐饮"/>
      <sheetName val="中餐"/>
      <sheetName val="中餐厅"/>
      <sheetName val="中厨房"/>
      <sheetName val="西餐"/>
      <sheetName val="西餐厅"/>
      <sheetName val="西厨房"/>
      <sheetName val="特色餐厅"/>
      <sheetName val="餐饮其他"/>
      <sheetName val="餐饮公共"/>
      <sheetName val="出品公共"/>
      <sheetName val="宴会厅"/>
      <sheetName val="新零售"/>
      <sheetName val="水疗及健身"/>
      <sheetName val="康乐"/>
      <sheetName val="温泉"/>
      <sheetName val="其他营运部门"/>
      <sheetName val="行政"/>
      <sheetName val="人力行政"/>
      <sheetName val="财务"/>
      <sheetName val="采购"/>
      <sheetName val="综合办公室"/>
      <sheetName val="营销"/>
      <sheetName val="销售公共"/>
      <sheetName val="销售"/>
      <sheetName val="策划"/>
      <sheetName val="物业保养"/>
      <sheetName val="技术支持公共"/>
      <sheetName val="工程"/>
      <sheetName val="保安"/>
      <sheetName val="非经营"/>
      <sheetName val="业主代表部"/>
      <sheetName val="其他主体"/>
      <sheetName val="大润发"/>
      <sheetName val="商业街"/>
      <sheetName val="样板房"/>
      <sheetName val="其他"/>
    </sheetNames>
    <sheetDataSet>
      <sheetData sheetId="0"/>
      <sheetData sheetId="1"/>
      <sheetData sheetId="2"/>
      <sheetData sheetId="3"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4">
          <cell r="Q154">
            <v>0.35005865918173301</v>
          </cell>
          <cell r="T154">
            <v>-0.62718640693583705</v>
          </cell>
          <cell r="V154">
            <v>0.28422648042450899</v>
          </cell>
          <cell r="W154">
            <v>1.4688740464288501</v>
          </cell>
          <cell r="X154">
            <v>-0.40544012440454702</v>
          </cell>
          <cell r="Y154">
            <v>0.27480410232772501</v>
          </cell>
          <cell r="Z154">
            <v>193.769229478981</v>
          </cell>
          <cell r="AA154">
            <v>53.248579165706403</v>
          </cell>
          <cell r="AB154">
            <v>3.2149003395928601</v>
          </cell>
          <cell r="AC154">
            <v>0.53395630746575196</v>
          </cell>
          <cell r="AD154">
            <v>0.66317678649824496</v>
          </cell>
          <cell r="AE154">
            <v>2.8520062587199999</v>
          </cell>
          <cell r="AF154">
            <v>0.25435811353656801</v>
          </cell>
          <cell r="AG154">
            <v>0.35515130786911497</v>
          </cell>
          <cell r="AH154">
            <v>2.7009853392227701</v>
          </cell>
          <cell r="AI154">
            <v>2.8114986468625699E-2</v>
          </cell>
          <cell r="AJ154">
            <v>0.82206270346233901</v>
          </cell>
          <cell r="AK154">
            <v>0</v>
          </cell>
        </row>
        <row r="155">
          <cell r="Q155">
            <v>0.15621406690995299</v>
          </cell>
          <cell r="T155">
            <v>0.53154149982218402</v>
          </cell>
          <cell r="V155">
            <v>0.11101040172977</v>
          </cell>
          <cell r="W155">
            <v>1.9300584353463699</v>
          </cell>
          <cell r="X155">
            <v>-0.249537913735913</v>
          </cell>
          <cell r="Y155">
            <v>0.29355229452530801</v>
          </cell>
          <cell r="Z155">
            <v>206.23829330988301</v>
          </cell>
          <cell r="AA155">
            <v>60.541724220099702</v>
          </cell>
          <cell r="AB155">
            <v>3.5265349798060801</v>
          </cell>
          <cell r="AC155">
            <v>0.56821556491416403</v>
          </cell>
          <cell r="AD155">
            <v>0.59620918544418999</v>
          </cell>
          <cell r="AE155">
            <v>3.5360379340621799</v>
          </cell>
          <cell r="AF155">
            <v>0.26798291923385997</v>
          </cell>
          <cell r="AG155">
            <v>0.34565001468045897</v>
          </cell>
          <cell r="AH155">
            <v>4.0342332705458697</v>
          </cell>
          <cell r="AI155">
            <v>2.7249454581250599E-2</v>
          </cell>
          <cell r="AJ155">
            <v>0.661399796330844</v>
          </cell>
          <cell r="AK155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T"/>
      <sheetName val="Sheet1"/>
      <sheetName val="酒店主体 (报送)"/>
      <sheetName val="酒店主体"/>
      <sheetName val="客房主体"/>
      <sheetName val="前厅公共"/>
      <sheetName val="前台"/>
      <sheetName val="预订"/>
      <sheetName val="礼宾"/>
      <sheetName val="管家公共"/>
      <sheetName val="客房"/>
      <sheetName val="公区"/>
      <sheetName val="餐饮"/>
      <sheetName val="中餐"/>
      <sheetName val="中餐厅"/>
      <sheetName val="中厨房"/>
      <sheetName val="西餐"/>
      <sheetName val="西餐厅"/>
      <sheetName val="西厨房"/>
      <sheetName val="特色餐厅"/>
      <sheetName val="餐饮其他"/>
      <sheetName val="餐饮公共"/>
      <sheetName val="出品公共"/>
      <sheetName val="宴会厅"/>
      <sheetName val="新零售"/>
      <sheetName val="水疗及健身"/>
      <sheetName val="康乐"/>
      <sheetName val="温泉"/>
      <sheetName val="其他营运部门"/>
      <sheetName val="行政"/>
      <sheetName val="人力行政"/>
      <sheetName val="财务"/>
      <sheetName val="采购"/>
      <sheetName val="综合办公室"/>
      <sheetName val="营销"/>
      <sheetName val="销售公共"/>
      <sheetName val="销售"/>
      <sheetName val="策划"/>
      <sheetName val="物业保养"/>
      <sheetName val="技术支持公共"/>
      <sheetName val="工程"/>
      <sheetName val="保安"/>
      <sheetName val="非经营"/>
      <sheetName val="业主代表部"/>
      <sheetName val="其他主体"/>
      <sheetName val="大润发"/>
      <sheetName val="商业街"/>
      <sheetName val="样板房"/>
      <sheetName val="其他"/>
    </sheetNames>
    <sheetDataSet>
      <sheetData sheetId="0">
        <row r="1">
          <cell r="B1">
            <v>2026</v>
          </cell>
        </row>
        <row r="2">
          <cell r="B2">
            <v>1</v>
          </cell>
        </row>
        <row r="6">
          <cell r="B6" t="str">
            <v>沈阳于洪碧桂园凤凰酒店有限公司</v>
          </cell>
        </row>
      </sheetData>
      <sheetData sheetId="1" refreshError="1"/>
      <sheetData sheetId="2" refreshError="1"/>
      <sheetData sheetId="3">
        <row r="5">
          <cell r="J5">
            <v>18135</v>
          </cell>
          <cell r="K5">
            <v>18104</v>
          </cell>
          <cell r="M5">
            <v>1.71232876712329E-3</v>
          </cell>
          <cell r="N5">
            <v>19561</v>
          </cell>
          <cell r="P5">
            <v>-7.2900158478605398E-2</v>
          </cell>
          <cell r="S5">
            <v>18135</v>
          </cell>
          <cell r="T5">
            <v>18104</v>
          </cell>
          <cell r="V5">
            <v>1.71232876712329E-3</v>
          </cell>
          <cell r="W5">
            <v>19561</v>
          </cell>
          <cell r="Y5">
            <v>-7.2900158478605398E-2</v>
          </cell>
          <cell r="Z5">
            <v>213160</v>
          </cell>
          <cell r="AA5">
            <v>8.5076937511728304E-2</v>
          </cell>
        </row>
        <row r="6">
          <cell r="J6">
            <v>17982</v>
          </cell>
          <cell r="K6">
            <v>18104</v>
          </cell>
          <cell r="M6">
            <v>-6.73884224480778E-3</v>
          </cell>
          <cell r="N6">
            <v>17372</v>
          </cell>
          <cell r="P6">
            <v>3.51139765139305E-2</v>
          </cell>
          <cell r="S6">
            <v>17982</v>
          </cell>
          <cell r="T6">
            <v>18104</v>
          </cell>
          <cell r="V6">
            <v>-6.73884224480778E-3</v>
          </cell>
          <cell r="W6">
            <v>17372</v>
          </cell>
          <cell r="Y6">
            <v>3.51139765139305E-2</v>
          </cell>
          <cell r="Z6">
            <v>213160</v>
          </cell>
          <cell r="AA6">
            <v>8.4359166823043702E-2</v>
          </cell>
        </row>
        <row r="7">
          <cell r="J7">
            <v>5673</v>
          </cell>
          <cell r="K7">
            <v>4468</v>
          </cell>
          <cell r="M7">
            <v>0.26969561324977598</v>
          </cell>
          <cell r="N7">
            <v>4260</v>
          </cell>
          <cell r="P7">
            <v>0.33169014084506998</v>
          </cell>
          <cell r="S7">
            <v>5673</v>
          </cell>
          <cell r="T7">
            <v>4468</v>
          </cell>
          <cell r="V7">
            <v>0.26969561324977598</v>
          </cell>
          <cell r="W7">
            <v>4260</v>
          </cell>
          <cell r="Y7">
            <v>0.33169014084506998</v>
          </cell>
          <cell r="Z7">
            <v>76276</v>
          </cell>
          <cell r="AA7">
            <v>7.4374639467198106E-2</v>
          </cell>
        </row>
        <row r="8">
          <cell r="J8">
            <v>5607</v>
          </cell>
          <cell r="K8">
            <v>4468</v>
          </cell>
          <cell r="M8">
            <v>0.25492390331244402</v>
          </cell>
          <cell r="N8">
            <v>4180</v>
          </cell>
          <cell r="P8">
            <v>0.34138755980861202</v>
          </cell>
          <cell r="S8">
            <v>5607</v>
          </cell>
          <cell r="T8">
            <v>4468</v>
          </cell>
          <cell r="V8">
            <v>0.25492390331244402</v>
          </cell>
          <cell r="W8">
            <v>4180</v>
          </cell>
          <cell r="Y8">
            <v>0.34138755980861202</v>
          </cell>
          <cell r="Z8">
            <v>76276</v>
          </cell>
          <cell r="AA8">
            <v>7.3509360742566504E-2</v>
          </cell>
        </row>
        <row r="9">
          <cell r="J9">
            <v>0.31282051282051299</v>
          </cell>
          <cell r="K9">
            <v>0.24679628811312401</v>
          </cell>
          <cell r="M9">
            <v>0.26752519339806702</v>
          </cell>
          <cell r="N9">
            <v>0.217780277081949</v>
          </cell>
          <cell r="P9">
            <v>0.43640423739015299</v>
          </cell>
          <cell r="S9">
            <v>0.31282051282051299</v>
          </cell>
          <cell r="T9">
            <v>0.24679628811312401</v>
          </cell>
          <cell r="V9">
            <v>0.26752519339806702</v>
          </cell>
          <cell r="W9">
            <v>0.217780277081949</v>
          </cell>
          <cell r="Y9">
            <v>0.43640423739015299</v>
          </cell>
          <cell r="Z9">
            <v>0.35783449052354999</v>
          </cell>
          <cell r="AA9">
            <v>0.87420447470790996</v>
          </cell>
        </row>
        <row r="10">
          <cell r="J10">
            <v>0.309181141439206</v>
          </cell>
          <cell r="K10">
            <v>0.24679628811312401</v>
          </cell>
          <cell r="M10">
            <v>0.25277873424695302</v>
          </cell>
          <cell r="N10">
            <v>0.213690506620316</v>
          </cell>
          <cell r="P10">
            <v>0.44686418844313602</v>
          </cell>
          <cell r="S10">
            <v>0.309181141439206</v>
          </cell>
          <cell r="T10">
            <v>0.24679628811312401</v>
          </cell>
          <cell r="V10">
            <v>0.25277873424695302</v>
          </cell>
          <cell r="W10">
            <v>0.213690506620316</v>
          </cell>
          <cell r="Y10">
            <v>0.44686418844313602</v>
          </cell>
          <cell r="Z10">
            <v>0.35783449052354999</v>
          </cell>
          <cell r="AA10">
            <v>0.86403393084562796</v>
          </cell>
        </row>
        <row r="11">
          <cell r="J11">
            <v>199.24168341265599</v>
          </cell>
          <cell r="K11">
            <v>230.944156222023</v>
          </cell>
          <cell r="M11">
            <v>-0.13727332757833</v>
          </cell>
          <cell r="N11">
            <v>222.82187558685399</v>
          </cell>
          <cell r="P11">
            <v>-0.105825301542292</v>
          </cell>
          <cell r="S11">
            <v>199.24168341265599</v>
          </cell>
          <cell r="T11">
            <v>230.944156222023</v>
          </cell>
          <cell r="V11">
            <v>-0.13727332757833</v>
          </cell>
          <cell r="W11">
            <v>222.82187558685399</v>
          </cell>
          <cell r="Y11">
            <v>-0.105825301542292</v>
          </cell>
          <cell r="Z11">
            <v>249.46507551523399</v>
          </cell>
          <cell r="AA11">
            <v>0.79867565831069298</v>
          </cell>
        </row>
        <row r="12">
          <cell r="J12">
            <v>201.58695737471001</v>
          </cell>
          <cell r="K12">
            <v>230.944156222023</v>
          </cell>
          <cell r="M12">
            <v>-0.12711817145565599</v>
          </cell>
          <cell r="N12">
            <v>227.086409090909</v>
          </cell>
          <cell r="P12">
            <v>-0.112289642600279</v>
          </cell>
          <cell r="S12">
            <v>201.58695737471001</v>
          </cell>
          <cell r="T12">
            <v>230.944156222023</v>
          </cell>
          <cell r="V12">
            <v>-0.12711817145565599</v>
          </cell>
          <cell r="W12">
            <v>227.086409090909</v>
          </cell>
          <cell r="Y12">
            <v>-0.112289642600279</v>
          </cell>
          <cell r="Z12">
            <v>249.46507551523399</v>
          </cell>
          <cell r="AA12">
            <v>0.80807686991199601</v>
          </cell>
        </row>
        <row r="13">
          <cell r="J13">
            <v>62.326885580369499</v>
          </cell>
          <cell r="K13">
            <v>56.996160517012797</v>
          </cell>
          <cell r="M13">
            <v>9.3527792310948293E-2</v>
          </cell>
          <cell r="N13">
            <v>48.526209805224703</v>
          </cell>
          <cell r="P13">
            <v>0.28439632583171398</v>
          </cell>
          <cell r="S13">
            <v>62.326885580369499</v>
          </cell>
          <cell r="T13">
            <v>56.996160517012797</v>
          </cell>
          <cell r="V13">
            <v>9.3527792310948293E-2</v>
          </cell>
          <cell r="W13">
            <v>48.526209805224703</v>
          </cell>
          <cell r="Y13">
            <v>0.28439632583171398</v>
          </cell>
          <cell r="Z13">
            <v>89.267208200412796</v>
          </cell>
          <cell r="AA13">
            <v>0.69820583433549399</v>
          </cell>
        </row>
        <row r="16">
          <cell r="J16">
            <v>2831815.91</v>
          </cell>
          <cell r="K16">
            <v>2691281.43</v>
          </cell>
          <cell r="M16">
            <v>5.2218425926566898E-2</v>
          </cell>
          <cell r="N16">
            <v>2941734.5</v>
          </cell>
          <cell r="P16">
            <v>-3.7365231294666297E-2</v>
          </cell>
          <cell r="S16">
            <v>2831815.91</v>
          </cell>
          <cell r="T16">
            <v>2691281.43</v>
          </cell>
          <cell r="V16">
            <v>5.2218425926566898E-2</v>
          </cell>
          <cell r="W16">
            <v>2941734.5</v>
          </cell>
          <cell r="Y16">
            <v>-3.7365231294666297E-2</v>
          </cell>
          <cell r="Z16">
            <v>36674896.130000003</v>
          </cell>
          <cell r="AA16">
            <v>7.7214013093920703E-2</v>
          </cell>
        </row>
        <row r="17">
          <cell r="J17">
            <v>778132.3</v>
          </cell>
          <cell r="K17">
            <v>702119.4</v>
          </cell>
          <cell r="M17">
            <v>0.10826207052532701</v>
          </cell>
          <cell r="N17">
            <v>915654.12</v>
          </cell>
          <cell r="P17">
            <v>-0.15018970263575099</v>
          </cell>
          <cell r="S17">
            <v>778132.3</v>
          </cell>
          <cell r="T17">
            <v>702119.4</v>
          </cell>
          <cell r="V17">
            <v>0.10826207052532701</v>
          </cell>
          <cell r="W17">
            <v>915654.12</v>
          </cell>
          <cell r="Y17">
            <v>-0.15018970263575099</v>
          </cell>
          <cell r="Z17">
            <v>6882097.8899999997</v>
          </cell>
          <cell r="AA17">
            <v>0.113066148206154</v>
          </cell>
        </row>
        <row r="18">
          <cell r="J18">
            <v>811305</v>
          </cell>
          <cell r="K18">
            <v>807191.69</v>
          </cell>
          <cell r="M18">
            <v>5.0958279810836204E-3</v>
          </cell>
          <cell r="N18">
            <v>926845.52</v>
          </cell>
          <cell r="P18">
            <v>-0.12465995412050999</v>
          </cell>
          <cell r="S18">
            <v>811305</v>
          </cell>
          <cell r="T18">
            <v>807191.69</v>
          </cell>
          <cell r="V18">
            <v>5.0958279810836204E-3</v>
          </cell>
          <cell r="W18">
            <v>926845.52</v>
          </cell>
          <cell r="Y18">
            <v>-0.12465995412050999</v>
          </cell>
          <cell r="Z18">
            <v>11912456.439999999</v>
          </cell>
          <cell r="AA18">
            <v>6.8105600560752197E-2</v>
          </cell>
        </row>
        <row r="19">
          <cell r="J19">
            <v>1585426.35</v>
          </cell>
          <cell r="K19">
            <v>1433880.54</v>
          </cell>
          <cell r="M19">
            <v>0.10568928566392299</v>
          </cell>
          <cell r="N19">
            <v>1655901.24</v>
          </cell>
          <cell r="P19">
            <v>-4.2559838894739799E-2</v>
          </cell>
          <cell r="S19">
            <v>1585426.35</v>
          </cell>
          <cell r="T19">
            <v>1433880.54</v>
          </cell>
          <cell r="V19">
            <v>0.10568928566392299</v>
          </cell>
          <cell r="W19">
            <v>1655901.24</v>
          </cell>
          <cell r="Y19">
            <v>-4.2559838894739799E-2</v>
          </cell>
          <cell r="Z19">
            <v>14580341.810000001</v>
          </cell>
          <cell r="AA19">
            <v>0.108737255316787</v>
          </cell>
        </row>
        <row r="20">
          <cell r="J20">
            <v>-343047.74</v>
          </cell>
          <cell r="K20">
            <v>-251910.2</v>
          </cell>
          <cell r="M20">
            <v>-0.36178582685417499</v>
          </cell>
          <cell r="N20">
            <v>-556666.38</v>
          </cell>
          <cell r="P20">
            <v>0.38374625749807301</v>
          </cell>
          <cell r="S20">
            <v>-343047.74</v>
          </cell>
          <cell r="T20">
            <v>-251910.2</v>
          </cell>
          <cell r="V20">
            <v>-0.36178582685417499</v>
          </cell>
          <cell r="W20">
            <v>-556666.38</v>
          </cell>
          <cell r="Y20">
            <v>0.38374625749807301</v>
          </cell>
          <cell r="Z20">
            <v>3299999.99</v>
          </cell>
          <cell r="AA20">
            <v>-0.10395386092107201</v>
          </cell>
        </row>
        <row r="21">
          <cell r="J21">
            <v>-0.121140551117251</v>
          </cell>
          <cell r="K21">
            <v>-9.3602325342838494E-2</v>
          </cell>
          <cell r="M21">
            <v>-0.29420450478712001</v>
          </cell>
          <cell r="N21">
            <v>-0.18923066646565201</v>
          </cell>
          <cell r="P21">
            <v>0.35982600822663102</v>
          </cell>
          <cell r="S21">
            <v>-0.121140551117251</v>
          </cell>
          <cell r="T21">
            <v>-9.3602325342838494E-2</v>
          </cell>
          <cell r="V21">
            <v>-0.29420450478712001</v>
          </cell>
          <cell r="W21">
            <v>-0.18923066646565201</v>
          </cell>
          <cell r="Y21">
            <v>0.35982600822663102</v>
          </cell>
          <cell r="Z21">
            <v>8.9979804668092994E-2</v>
          </cell>
          <cell r="AA21">
            <v>-1.34630822509673</v>
          </cell>
        </row>
        <row r="22">
          <cell r="J22">
            <v>70069.05</v>
          </cell>
          <cell r="K22">
            <v>72447.73</v>
          </cell>
          <cell r="M22">
            <v>-3.2833050807803001E-2</v>
          </cell>
          <cell r="N22">
            <v>65525.04</v>
          </cell>
          <cell r="P22">
            <v>6.9347687540518899E-2</v>
          </cell>
          <cell r="S22">
            <v>70069.05</v>
          </cell>
          <cell r="T22">
            <v>72447.73</v>
          </cell>
          <cell r="V22">
            <v>-3.2833050807803001E-2</v>
          </cell>
          <cell r="W22">
            <v>65525.04</v>
          </cell>
          <cell r="Y22">
            <v>6.9347687540518899E-2</v>
          </cell>
          <cell r="Z22">
            <v>988388.35</v>
          </cell>
          <cell r="AA22">
            <v>7.0892225712696794E-2</v>
          </cell>
        </row>
        <row r="23">
          <cell r="J23">
            <v>-416992.64</v>
          </cell>
          <cell r="K23">
            <v>-384468.78</v>
          </cell>
          <cell r="M23">
            <v>-8.4594280971266506E-2</v>
          </cell>
          <cell r="N23">
            <v>-720957.83</v>
          </cell>
          <cell r="P23">
            <v>0.42161299503467498</v>
          </cell>
          <cell r="S23">
            <v>-416992.64</v>
          </cell>
          <cell r="T23">
            <v>-384468.78</v>
          </cell>
          <cell r="V23">
            <v>-8.4594280971266506E-2</v>
          </cell>
          <cell r="W23">
            <v>-720957.83</v>
          </cell>
          <cell r="Y23">
            <v>0.42161299503467498</v>
          </cell>
          <cell r="Z23">
            <v>-5239270.87</v>
          </cell>
          <cell r="AA23">
            <v>1.9204101772275799</v>
          </cell>
        </row>
        <row r="24">
          <cell r="J24">
            <v>-830109.43</v>
          </cell>
          <cell r="K24">
            <v>-708826.71</v>
          </cell>
          <cell r="M24">
            <v>-0.17110348451739399</v>
          </cell>
          <cell r="N24">
            <v>-1343149.25</v>
          </cell>
          <cell r="P24">
            <v>0.38196784162296199</v>
          </cell>
          <cell r="S24">
            <v>-830109.43</v>
          </cell>
          <cell r="T24">
            <v>-708826.71</v>
          </cell>
          <cell r="V24">
            <v>-0.17110348451739399</v>
          </cell>
          <cell r="W24">
            <v>-1343149.25</v>
          </cell>
          <cell r="Y24">
            <v>0.38196784162296199</v>
          </cell>
          <cell r="Z24">
            <v>-2927659.23</v>
          </cell>
          <cell r="AA24">
            <v>1.7164596816822799</v>
          </cell>
        </row>
        <row r="25">
          <cell r="J25">
            <v>103771.03694999999</v>
          </cell>
          <cell r="K25">
            <v>99829.550449999995</v>
          </cell>
          <cell r="M25">
            <v>3.9482162167745201E-2</v>
          </cell>
          <cell r="N25">
            <v>107941.5876</v>
          </cell>
          <cell r="P25">
            <v>-3.8637106816094197E-2</v>
          </cell>
          <cell r="S25">
            <v>103771.03694999999</v>
          </cell>
          <cell r="T25">
            <v>99829.550449999995</v>
          </cell>
          <cell r="V25">
            <v>3.9482162167745201E-2</v>
          </cell>
          <cell r="W25">
            <v>107941.5876</v>
          </cell>
          <cell r="Y25">
            <v>-3.8637106816094197E-2</v>
          </cell>
          <cell r="Z25">
            <v>1361952.4604</v>
          </cell>
          <cell r="AA25">
            <v>7.6192848111249697E-2</v>
          </cell>
        </row>
        <row r="26">
          <cell r="J26">
            <v>-933880.46695000003</v>
          </cell>
          <cell r="K26">
            <v>-808656.26044999994</v>
          </cell>
          <cell r="M26">
            <v>-0.15485468007174799</v>
          </cell>
          <cell r="N26">
            <v>-1451090.8376</v>
          </cell>
          <cell r="P26">
            <v>0.35642866542071799</v>
          </cell>
          <cell r="S26">
            <v>-933880.46695000003</v>
          </cell>
          <cell r="T26">
            <v>-808656.26044999994</v>
          </cell>
          <cell r="V26">
            <v>-0.15485468007174799</v>
          </cell>
          <cell r="W26">
            <v>-1451090.8376</v>
          </cell>
          <cell r="Y26">
            <v>0.35642866542071799</v>
          </cell>
          <cell r="Z26">
            <v>-4289611.6903999997</v>
          </cell>
          <cell r="AA26">
            <v>1.78229253966274</v>
          </cell>
        </row>
        <row r="27">
          <cell r="J27">
            <v>191741.14</v>
          </cell>
          <cell r="K27">
            <v>202888.32000000001</v>
          </cell>
          <cell r="M27">
            <v>-5.4942443212107998E-2</v>
          </cell>
          <cell r="N27">
            <v>216043.94</v>
          </cell>
          <cell r="P27">
            <v>-0.11249007956437</v>
          </cell>
          <cell r="S27">
            <v>191741.14</v>
          </cell>
          <cell r="T27">
            <v>202888.32000000001</v>
          </cell>
          <cell r="V27">
            <v>-5.4942443212107998E-2</v>
          </cell>
          <cell r="W27">
            <v>216043.94</v>
          </cell>
          <cell r="Y27">
            <v>-0.11249007956437</v>
          </cell>
          <cell r="Z27">
            <v>2238154.92</v>
          </cell>
          <cell r="AA27">
            <v>8.5669288701427301E-2</v>
          </cell>
        </row>
        <row r="28">
          <cell r="J28">
            <v>0</v>
          </cell>
          <cell r="K28">
            <v>0</v>
          </cell>
          <cell r="M28" t="str">
            <v/>
          </cell>
          <cell r="N28">
            <v>0</v>
          </cell>
          <cell r="P28" t="str">
            <v/>
          </cell>
          <cell r="S28">
            <v>0</v>
          </cell>
          <cell r="T28">
            <v>0</v>
          </cell>
          <cell r="V28" t="str">
            <v/>
          </cell>
          <cell r="W28">
            <v>0</v>
          </cell>
          <cell r="Y28" t="str">
            <v/>
          </cell>
          <cell r="Z28">
            <v>0</v>
          </cell>
          <cell r="AA28" t="str">
            <v/>
          </cell>
        </row>
        <row r="29">
          <cell r="J29">
            <v>-1125621.6069499999</v>
          </cell>
          <cell r="K29">
            <v>-1011544.58045</v>
          </cell>
          <cell r="M29">
            <v>-0.11277508545323001</v>
          </cell>
          <cell r="N29">
            <v>-1667134.7775999999</v>
          </cell>
          <cell r="P29">
            <v>0.32481667224863497</v>
          </cell>
          <cell r="S29">
            <v>-1125621.6069499999</v>
          </cell>
          <cell r="T29">
            <v>-1011544.58045</v>
          </cell>
          <cell r="V29">
            <v>-0.11277508545323001</v>
          </cell>
          <cell r="W29">
            <v>-1667134.7775999999</v>
          </cell>
          <cell r="Y29">
            <v>0.32481667224863497</v>
          </cell>
          <cell r="Z29">
            <v>-6527766.6103999997</v>
          </cell>
          <cell r="AA29">
            <v>1.8275640545792999</v>
          </cell>
        </row>
        <row r="31">
          <cell r="J31">
            <v>1111588.76</v>
          </cell>
          <cell r="K31">
            <v>1168718</v>
          </cell>
          <cell r="M31">
            <v>-4.8881971527776603E-2</v>
          </cell>
          <cell r="N31">
            <v>1241107.43</v>
          </cell>
          <cell r="P31">
            <v>-0.10435733996049</v>
          </cell>
          <cell r="S31">
            <v>1111588.76</v>
          </cell>
          <cell r="T31">
            <v>1168718</v>
          </cell>
          <cell r="V31">
            <v>-4.8881971527776603E-2</v>
          </cell>
          <cell r="W31">
            <v>1241107.43</v>
          </cell>
          <cell r="Y31">
            <v>-0.10435733996049</v>
          </cell>
          <cell r="Z31">
            <v>14803680</v>
          </cell>
          <cell r="AA31">
            <v>7.5088677950347502E-2</v>
          </cell>
        </row>
        <row r="32">
          <cell r="J32">
            <v>72327</v>
          </cell>
          <cell r="K32">
            <v>72327</v>
          </cell>
          <cell r="M32">
            <v>0</v>
          </cell>
          <cell r="N32">
            <v>92625</v>
          </cell>
          <cell r="P32">
            <v>-0.219141700404858</v>
          </cell>
          <cell r="S32">
            <v>72327</v>
          </cell>
          <cell r="T32">
            <v>72327</v>
          </cell>
          <cell r="V32">
            <v>0</v>
          </cell>
          <cell r="W32">
            <v>92625</v>
          </cell>
          <cell r="Y32">
            <v>-0.219141700404858</v>
          </cell>
          <cell r="Z32">
            <v>867924</v>
          </cell>
          <cell r="AA32">
            <v>8.3333333333333301E-2</v>
          </cell>
        </row>
        <row r="33">
          <cell r="J33">
            <v>0.39253567157195601</v>
          </cell>
          <cell r="K33">
            <v>0.43426079003562301</v>
          </cell>
          <cell r="M33">
            <v>-9.6083089749465306E-2</v>
          </cell>
          <cell r="N33">
            <v>0.42189647978089101</v>
          </cell>
          <cell r="P33">
            <v>-6.9592446526653806E-2</v>
          </cell>
          <cell r="S33">
            <v>0.39253567157195601</v>
          </cell>
          <cell r="T33">
            <v>0.43426079003562301</v>
          </cell>
          <cell r="V33">
            <v>-9.6083089749465306E-2</v>
          </cell>
          <cell r="W33">
            <v>0.42189647978089101</v>
          </cell>
          <cell r="Y33">
            <v>-6.9592446526653806E-2</v>
          </cell>
          <cell r="Z33">
            <v>0.403646132971338</v>
          </cell>
          <cell r="AA33">
            <v>0.97247474832077496</v>
          </cell>
        </row>
        <row r="34">
          <cell r="J34">
            <v>939636.01</v>
          </cell>
          <cell r="K34">
            <v>780583.94</v>
          </cell>
          <cell r="M34">
            <v>0.20376036688636001</v>
          </cell>
          <cell r="N34">
            <v>962610.95</v>
          </cell>
          <cell r="P34">
            <v>-2.3867316281826999E-2</v>
          </cell>
          <cell r="S34">
            <v>939636.01</v>
          </cell>
          <cell r="T34">
            <v>780583.94</v>
          </cell>
          <cell r="V34">
            <v>0.20376036688636001</v>
          </cell>
          <cell r="W34">
            <v>962610.95</v>
          </cell>
          <cell r="Y34">
            <v>-2.3867316281826999E-2</v>
          </cell>
          <cell r="Z34">
            <v>5803093.7400000002</v>
          </cell>
          <cell r="AA34">
            <v>0.16191984001967899</v>
          </cell>
        </row>
        <row r="35">
          <cell r="J35">
            <v>0.33181394549054599</v>
          </cell>
          <cell r="K35">
            <v>0.29004173673505401</v>
          </cell>
          <cell r="M35">
            <v>0.14402137163331599</v>
          </cell>
          <cell r="N35">
            <v>0.327225638479611</v>
          </cell>
          <cell r="P35">
            <v>1.4021844474818799E-2</v>
          </cell>
          <cell r="S35">
            <v>0.33181394549054599</v>
          </cell>
          <cell r="T35">
            <v>0.29004173673505401</v>
          </cell>
          <cell r="V35">
            <v>0.14402137163331599</v>
          </cell>
          <cell r="W35">
            <v>0.327225638479611</v>
          </cell>
          <cell r="Y35">
            <v>1.4021844474818799E-2</v>
          </cell>
          <cell r="Z35">
            <v>0.158230679629739</v>
          </cell>
          <cell r="AA35">
            <v>2.0970266086639602</v>
          </cell>
        </row>
        <row r="36">
          <cell r="J36">
            <v>46717.47</v>
          </cell>
          <cell r="K36">
            <v>42167</v>
          </cell>
          <cell r="M36">
            <v>0.107915431498565</v>
          </cell>
          <cell r="N36">
            <v>35318.51</v>
          </cell>
          <cell r="P36">
            <v>0.322747477172735</v>
          </cell>
          <cell r="S36">
            <v>46717.47</v>
          </cell>
          <cell r="T36">
            <v>42167</v>
          </cell>
          <cell r="V36">
            <v>0.107915431498565</v>
          </cell>
          <cell r="W36">
            <v>35318.51</v>
          </cell>
          <cell r="Y36">
            <v>0.322747477172735</v>
          </cell>
          <cell r="Z36">
            <v>859338</v>
          </cell>
          <cell r="AA36">
            <v>5.4364487547391101E-2</v>
          </cell>
        </row>
        <row r="37">
          <cell r="J37">
            <v>1.6497354165935198E-2</v>
          </cell>
          <cell r="K37">
            <v>1.56680009492727E-2</v>
          </cell>
          <cell r="M37">
            <v>5.2932931223811597E-2</v>
          </cell>
          <cell r="N37">
            <v>1.20060154986794E-2</v>
          </cell>
          <cell r="P37">
            <v>0.374090693765117</v>
          </cell>
          <cell r="S37">
            <v>1.6497354165935198E-2</v>
          </cell>
          <cell r="T37">
            <v>1.56680009492727E-2</v>
          </cell>
          <cell r="V37">
            <v>5.2932931223811597E-2</v>
          </cell>
          <cell r="W37">
            <v>1.20060154986794E-2</v>
          </cell>
          <cell r="Y37">
            <v>0.374090693765117</v>
          </cell>
          <cell r="Z37">
            <v>2.34312320055097E-2</v>
          </cell>
          <cell r="AA37">
            <v>0.70407540508565303</v>
          </cell>
        </row>
        <row r="38">
          <cell r="J38">
            <v>61100.13</v>
          </cell>
          <cell r="K38">
            <v>41072.17</v>
          </cell>
          <cell r="M38">
            <v>0.48762848420232002</v>
          </cell>
          <cell r="N38">
            <v>80284.83</v>
          </cell>
          <cell r="P38">
            <v>-0.23895797001749899</v>
          </cell>
          <cell r="S38">
            <v>61100.13</v>
          </cell>
          <cell r="T38">
            <v>41072.17</v>
          </cell>
          <cell r="V38">
            <v>0.48762848420232002</v>
          </cell>
          <cell r="W38">
            <v>80284.83</v>
          </cell>
          <cell r="Y38">
            <v>-0.23895797001749899</v>
          </cell>
          <cell r="Z38">
            <v>688117.27</v>
          </cell>
          <cell r="AA38">
            <v>8.8793193636892698E-2</v>
          </cell>
        </row>
        <row r="39">
          <cell r="J39">
            <v>2.1576307197172299E-2</v>
          </cell>
          <cell r="K39">
            <v>1.5261194738745701E-2</v>
          </cell>
          <cell r="M39">
            <v>0.413801970719471</v>
          </cell>
          <cell r="N39">
            <v>2.7291664152560301E-2</v>
          </cell>
          <cell r="P39">
            <v>-0.20941767872560699</v>
          </cell>
          <cell r="S39">
            <v>2.1576307197172299E-2</v>
          </cell>
          <cell r="T39">
            <v>1.5261194738745701E-2</v>
          </cell>
          <cell r="V39">
            <v>0.413801970719471</v>
          </cell>
          <cell r="W39">
            <v>2.7291664152560301E-2</v>
          </cell>
          <cell r="Y39">
            <v>-0.20941767872560699</v>
          </cell>
          <cell r="Z39">
            <v>1.8762623554838698E-2</v>
          </cell>
          <cell r="AA39">
            <v>1.14996216462532</v>
          </cell>
        </row>
        <row r="43">
          <cell r="J43">
            <v>1138840.1399999999</v>
          </cell>
          <cell r="K43">
            <v>1031858.49</v>
          </cell>
          <cell r="M43">
            <v>0.103678606162363</v>
          </cell>
          <cell r="N43">
            <v>988137.7</v>
          </cell>
          <cell r="P43">
            <v>0.15251157809281099</v>
          </cell>
          <cell r="S43">
            <v>1138840.1399999999</v>
          </cell>
          <cell r="T43">
            <v>1031858.49</v>
          </cell>
          <cell r="V43">
            <v>0.103678606162363</v>
          </cell>
          <cell r="W43">
            <v>988137.7</v>
          </cell>
          <cell r="Y43">
            <v>0.15251157809281099</v>
          </cell>
          <cell r="Z43">
            <v>19028198.100000001</v>
          </cell>
          <cell r="AA43">
            <v>5.98501305281239E-2</v>
          </cell>
        </row>
        <row r="44">
          <cell r="J44">
            <v>180387.79</v>
          </cell>
          <cell r="K44">
            <v>270048</v>
          </cell>
          <cell r="M44">
            <v>-0.33201582681597303</v>
          </cell>
          <cell r="N44">
            <v>171199.92</v>
          </cell>
          <cell r="P44">
            <v>5.36674900315375E-2</v>
          </cell>
          <cell r="S44">
            <v>180387.79</v>
          </cell>
          <cell r="T44">
            <v>270048</v>
          </cell>
          <cell r="V44">
            <v>-0.33201582681597303</v>
          </cell>
          <cell r="W44">
            <v>171199.92</v>
          </cell>
          <cell r="Y44">
            <v>5.36674900315375E-2</v>
          </cell>
          <cell r="Z44">
            <v>3387840</v>
          </cell>
          <cell r="AA44">
            <v>5.3245663903844297E-2</v>
          </cell>
        </row>
        <row r="45">
          <cell r="J45">
            <v>106427.81</v>
          </cell>
          <cell r="K45">
            <v>128041</v>
          </cell>
          <cell r="M45">
            <v>-0.168798978452214</v>
          </cell>
          <cell r="N45">
            <v>130063.95</v>
          </cell>
          <cell r="P45">
            <v>-0.18172706580109199</v>
          </cell>
          <cell r="S45">
            <v>106427.81</v>
          </cell>
          <cell r="T45">
            <v>128041</v>
          </cell>
          <cell r="V45">
            <v>-0.168798978452214</v>
          </cell>
          <cell r="W45">
            <v>130063.95</v>
          </cell>
          <cell r="Y45">
            <v>-0.18172706580109199</v>
          </cell>
          <cell r="Z45">
            <v>1602012</v>
          </cell>
          <cell r="AA45">
            <v>6.6433840695325597E-2</v>
          </cell>
        </row>
        <row r="46">
          <cell r="J46">
            <v>203838.36</v>
          </cell>
          <cell r="K46">
            <v>139226.4</v>
          </cell>
          <cell r="M46">
            <v>0.464078364448122</v>
          </cell>
          <cell r="N46">
            <v>144280.81</v>
          </cell>
          <cell r="P46">
            <v>0.41278912975329102</v>
          </cell>
          <cell r="S46">
            <v>203838.36</v>
          </cell>
          <cell r="T46">
            <v>139226.4</v>
          </cell>
          <cell r="V46">
            <v>0.464078364448122</v>
          </cell>
          <cell r="W46">
            <v>144280.81</v>
          </cell>
          <cell r="Y46">
            <v>0.41278912975329102</v>
          </cell>
          <cell r="Z46">
            <v>3206139.98</v>
          </cell>
          <cell r="AA46">
            <v>6.3577498571974395E-2</v>
          </cell>
        </row>
        <row r="47">
          <cell r="J47">
            <v>490653.96</v>
          </cell>
          <cell r="K47">
            <v>537315.4</v>
          </cell>
          <cell r="M47">
            <v>-8.6841806506941704E-2</v>
          </cell>
          <cell r="N47">
            <v>445544.68</v>
          </cell>
          <cell r="P47">
            <v>0.101245244360229</v>
          </cell>
          <cell r="S47">
            <v>490653.96</v>
          </cell>
          <cell r="T47">
            <v>537315.4</v>
          </cell>
          <cell r="V47">
            <v>-8.6841806506941704E-2</v>
          </cell>
          <cell r="W47">
            <v>445544.68</v>
          </cell>
          <cell r="Y47">
            <v>0.101245244360229</v>
          </cell>
          <cell r="Z47">
            <v>8195991.9800000004</v>
          </cell>
          <cell r="AA47">
            <v>5.98651098240826E-2</v>
          </cell>
        </row>
        <row r="48">
          <cell r="J48">
            <v>648186.18000000005</v>
          </cell>
          <cell r="K48">
            <v>494543.09</v>
          </cell>
          <cell r="M48">
            <v>0.31067685123251898</v>
          </cell>
          <cell r="N48">
            <v>542593.02</v>
          </cell>
          <cell r="P48">
            <v>0.19460840097058399</v>
          </cell>
          <cell r="S48">
            <v>648186.18000000005</v>
          </cell>
          <cell r="T48">
            <v>494543.09</v>
          </cell>
          <cell r="V48">
            <v>0.31067685123251898</v>
          </cell>
          <cell r="W48">
            <v>542593.02</v>
          </cell>
          <cell r="Y48">
            <v>0.19460840097058399</v>
          </cell>
          <cell r="Z48">
            <v>10832206.119999999</v>
          </cell>
          <cell r="AA48">
            <v>5.9838796715954698E-2</v>
          </cell>
        </row>
        <row r="49">
          <cell r="J49">
            <v>0.56916344729471902</v>
          </cell>
          <cell r="K49">
            <v>0.47927413961579202</v>
          </cell>
          <cell r="M49">
            <v>0.187553010373116</v>
          </cell>
          <cell r="N49">
            <v>0.54910668826824405</v>
          </cell>
          <cell r="P49">
            <v>3.6526160498479003E-2</v>
          </cell>
          <cell r="S49">
            <v>0.56916344729471902</v>
          </cell>
          <cell r="T49">
            <v>0.47927413961579202</v>
          </cell>
          <cell r="V49">
            <v>0.187553010373116</v>
          </cell>
          <cell r="W49">
            <v>0.54910668826824405</v>
          </cell>
          <cell r="Y49">
            <v>3.6526160498479003E-2</v>
          </cell>
          <cell r="Z49">
            <v>0.56927125012430901</v>
          </cell>
          <cell r="AA49">
            <v>0.99981063011777505</v>
          </cell>
        </row>
        <row r="52">
          <cell r="J52">
            <v>1258135.92</v>
          </cell>
          <cell r="K52">
            <v>1408050</v>
          </cell>
          <cell r="M52">
            <v>-0.10646928731223999</v>
          </cell>
          <cell r="N52">
            <v>570086.41</v>
          </cell>
          <cell r="P52">
            <v>1.2069214384535101</v>
          </cell>
          <cell r="S52">
            <v>1258135.92</v>
          </cell>
          <cell r="T52">
            <v>1408050</v>
          </cell>
          <cell r="V52">
            <v>-0.10646928731223999</v>
          </cell>
          <cell r="W52">
            <v>570086.41</v>
          </cell>
          <cell r="Y52">
            <v>1.2069214384535101</v>
          </cell>
          <cell r="Z52">
            <v>12406980.189999999</v>
          </cell>
          <cell r="AA52">
            <v>0.101405491161665</v>
          </cell>
        </row>
        <row r="53">
          <cell r="J53">
            <v>34448.120000000003</v>
          </cell>
          <cell r="K53">
            <v>0</v>
          </cell>
          <cell r="M53" t="str">
            <v/>
          </cell>
          <cell r="N53">
            <v>102541.49</v>
          </cell>
          <cell r="P53">
            <v>-0.66405676375484701</v>
          </cell>
          <cell r="S53">
            <v>34448.120000000003</v>
          </cell>
          <cell r="T53">
            <v>0</v>
          </cell>
          <cell r="V53" t="str">
            <v/>
          </cell>
          <cell r="W53">
            <v>102541.49</v>
          </cell>
          <cell r="Y53">
            <v>-0.66405676375484701</v>
          </cell>
          <cell r="Z53">
            <v>0</v>
          </cell>
          <cell r="AA53" t="str">
            <v/>
          </cell>
        </row>
        <row r="54">
          <cell r="J54">
            <v>3062.53</v>
          </cell>
          <cell r="K54">
            <v>0</v>
          </cell>
          <cell r="M54" t="str">
            <v/>
          </cell>
          <cell r="N54">
            <v>4389.3599999999997</v>
          </cell>
          <cell r="P54">
            <v>-0.30228324858293698</v>
          </cell>
          <cell r="S54">
            <v>3062.53</v>
          </cell>
          <cell r="T54">
            <v>0</v>
          </cell>
          <cell r="V54" t="str">
            <v/>
          </cell>
          <cell r="W54">
            <v>4389.3599999999997</v>
          </cell>
          <cell r="Y54">
            <v>-0.30228324858293698</v>
          </cell>
          <cell r="Z54">
            <v>619469.03</v>
          </cell>
          <cell r="AA54">
            <v>4.9437984010274102E-3</v>
          </cell>
        </row>
        <row r="55">
          <cell r="J55">
            <v>257360.45</v>
          </cell>
          <cell r="K55">
            <v>188679.25</v>
          </cell>
          <cell r="M55">
            <v>0.36401035089974099</v>
          </cell>
          <cell r="N55">
            <v>1159875.47</v>
          </cell>
          <cell r="P55">
            <v>-0.77811372284647096</v>
          </cell>
          <cell r="S55">
            <v>257360.45</v>
          </cell>
          <cell r="T55">
            <v>188679.25</v>
          </cell>
          <cell r="V55">
            <v>0.36401035089974099</v>
          </cell>
          <cell r="W55">
            <v>1159875.47</v>
          </cell>
          <cell r="Y55">
            <v>-0.77811372284647096</v>
          </cell>
          <cell r="Z55">
            <v>3867924.53</v>
          </cell>
          <cell r="AA55">
            <v>6.6537091922008101E-2</v>
          </cell>
        </row>
        <row r="56">
          <cell r="J56">
            <v>1553007.02</v>
          </cell>
          <cell r="K56">
            <v>1596729.25</v>
          </cell>
          <cell r="M56">
            <v>-2.7382369302748101E-2</v>
          </cell>
          <cell r="N56">
            <v>1836892.73</v>
          </cell>
          <cell r="P56">
            <v>-0.154546700176662</v>
          </cell>
          <cell r="S56">
            <v>1553007.02</v>
          </cell>
          <cell r="T56">
            <v>1596729.25</v>
          </cell>
          <cell r="V56">
            <v>-2.7382369302748101E-2</v>
          </cell>
          <cell r="W56">
            <v>1836892.73</v>
          </cell>
          <cell r="Y56">
            <v>-0.154546700176662</v>
          </cell>
          <cell r="Z56">
            <v>16894373.75</v>
          </cell>
          <cell r="AA56">
            <v>9.1924509483519601E-2</v>
          </cell>
        </row>
        <row r="57">
          <cell r="J57">
            <v>695964.34</v>
          </cell>
          <cell r="K57">
            <v>647703</v>
          </cell>
          <cell r="M57">
            <v>7.4511527660054006E-2</v>
          </cell>
          <cell r="N57">
            <v>810980.13</v>
          </cell>
          <cell r="P57">
            <v>-0.14182319115512701</v>
          </cell>
          <cell r="S57">
            <v>695964.34</v>
          </cell>
          <cell r="T57">
            <v>647703</v>
          </cell>
          <cell r="V57">
            <v>7.4511527660054006E-2</v>
          </cell>
          <cell r="W57">
            <v>810980.13</v>
          </cell>
          <cell r="Y57">
            <v>-0.14182319115512701</v>
          </cell>
          <cell r="Z57">
            <v>5707210.8799999999</v>
          </cell>
          <cell r="AA57">
            <v>0.121944738793321</v>
          </cell>
        </row>
        <row r="58">
          <cell r="J58">
            <v>18352.919999999998</v>
          </cell>
          <cell r="K58">
            <v>0</v>
          </cell>
          <cell r="M58" t="str">
            <v/>
          </cell>
          <cell r="N58">
            <v>57150.31</v>
          </cell>
          <cell r="P58">
            <v>-0.67886578393013097</v>
          </cell>
          <cell r="S58">
            <v>18352.919999999998</v>
          </cell>
          <cell r="T58">
            <v>0</v>
          </cell>
          <cell r="V58" t="str">
            <v/>
          </cell>
          <cell r="W58">
            <v>57150.31</v>
          </cell>
          <cell r="Y58">
            <v>-0.67886578393013097</v>
          </cell>
          <cell r="Z58">
            <v>0</v>
          </cell>
          <cell r="AA58" t="str">
            <v/>
          </cell>
        </row>
        <row r="59">
          <cell r="J59">
            <v>1642.36</v>
          </cell>
          <cell r="K59">
            <v>0</v>
          </cell>
          <cell r="M59" t="str">
            <v/>
          </cell>
          <cell r="N59">
            <v>2713.3</v>
          </cell>
          <cell r="P59">
            <v>-0.39470018059189899</v>
          </cell>
          <cell r="S59">
            <v>1642.36</v>
          </cell>
          <cell r="T59">
            <v>0</v>
          </cell>
          <cell r="V59" t="str">
            <v/>
          </cell>
          <cell r="W59">
            <v>2713.3</v>
          </cell>
          <cell r="Y59">
            <v>-0.39470018059189899</v>
          </cell>
          <cell r="Z59">
            <v>400617.03</v>
          </cell>
          <cell r="AA59">
            <v>4.0995760964030901E-3</v>
          </cell>
        </row>
        <row r="60">
          <cell r="J60">
            <v>715959.62</v>
          </cell>
          <cell r="K60">
            <v>647703</v>
          </cell>
          <cell r="M60">
            <v>0.105382590477426</v>
          </cell>
          <cell r="N60">
            <v>870843.74</v>
          </cell>
          <cell r="P60">
            <v>-0.17785523726679101</v>
          </cell>
          <cell r="S60">
            <v>715959.62</v>
          </cell>
          <cell r="T60">
            <v>647703</v>
          </cell>
          <cell r="V60">
            <v>0.105382590477426</v>
          </cell>
          <cell r="W60">
            <v>870843.74</v>
          </cell>
          <cell r="Y60">
            <v>-0.17785523726679101</v>
          </cell>
          <cell r="Z60">
            <v>6107827.9100000001</v>
          </cell>
          <cell r="AA60">
            <v>0.117220005302998</v>
          </cell>
        </row>
        <row r="61">
          <cell r="J61">
            <v>208742.29</v>
          </cell>
          <cell r="K61">
            <v>198600</v>
          </cell>
          <cell r="M61">
            <v>5.10689325276939E-2</v>
          </cell>
          <cell r="N61">
            <v>261427.24</v>
          </cell>
          <cell r="P61">
            <v>-0.20152815750952299</v>
          </cell>
          <cell r="S61">
            <v>208742.29</v>
          </cell>
          <cell r="T61">
            <v>198600</v>
          </cell>
          <cell r="V61">
            <v>5.10689325276939E-2</v>
          </cell>
          <cell r="W61">
            <v>261427.24</v>
          </cell>
          <cell r="Y61">
            <v>-0.20152815750952299</v>
          </cell>
          <cell r="Z61">
            <v>2612400</v>
          </cell>
          <cell r="AA61">
            <v>7.9904413566069504E-2</v>
          </cell>
        </row>
        <row r="62">
          <cell r="J62">
            <v>101418.02</v>
          </cell>
          <cell r="K62">
            <v>99357</v>
          </cell>
          <cell r="M62">
            <v>2.0743581227292002E-2</v>
          </cell>
          <cell r="N62">
            <v>149684.34</v>
          </cell>
          <cell r="P62">
            <v>-0.32245403894622499</v>
          </cell>
          <cell r="S62">
            <v>101418.02</v>
          </cell>
          <cell r="T62">
            <v>99357</v>
          </cell>
          <cell r="V62">
            <v>2.0743581227292002E-2</v>
          </cell>
          <cell r="W62">
            <v>149684.34</v>
          </cell>
          <cell r="Y62">
            <v>-0.32245403894622499</v>
          </cell>
          <cell r="Z62">
            <v>1279644</v>
          </cell>
          <cell r="AA62">
            <v>7.9254870885965195E-2</v>
          </cell>
        </row>
        <row r="63">
          <cell r="J63">
            <v>43645.66</v>
          </cell>
          <cell r="K63">
            <v>26335.69</v>
          </cell>
          <cell r="M63">
            <v>0.65728181034937705</v>
          </cell>
          <cell r="N63">
            <v>77919.38</v>
          </cell>
          <cell r="P63">
            <v>-0.43986130279784103</v>
          </cell>
          <cell r="S63">
            <v>43645.66</v>
          </cell>
          <cell r="T63">
            <v>26335.69</v>
          </cell>
          <cell r="V63">
            <v>0.65728181034937705</v>
          </cell>
          <cell r="W63">
            <v>77919.38</v>
          </cell>
          <cell r="Y63">
            <v>-0.43986130279784103</v>
          </cell>
          <cell r="Z63">
            <v>598690.43999999994</v>
          </cell>
          <cell r="AA63">
            <v>7.2901882315007396E-2</v>
          </cell>
        </row>
        <row r="64">
          <cell r="J64">
            <v>1069765.5900000001</v>
          </cell>
          <cell r="K64">
            <v>971995.69</v>
          </cell>
          <cell r="M64">
            <v>0.100586762889864</v>
          </cell>
          <cell r="N64">
            <v>1359874.7</v>
          </cell>
          <cell r="P64">
            <v>-0.213335177130658</v>
          </cell>
          <cell r="S64">
            <v>1069765.5900000001</v>
          </cell>
          <cell r="T64">
            <v>971995.69</v>
          </cell>
          <cell r="V64">
            <v>0.100586762889864</v>
          </cell>
          <cell r="W64">
            <v>1359874.7</v>
          </cell>
          <cell r="Y64">
            <v>-0.213335177130658</v>
          </cell>
          <cell r="Z64">
            <v>10598562.35</v>
          </cell>
          <cell r="AA64">
            <v>0.100934971619052</v>
          </cell>
        </row>
        <row r="65">
          <cell r="J65">
            <v>483241.43</v>
          </cell>
          <cell r="K65">
            <v>624733.56000000006</v>
          </cell>
          <cell r="M65">
            <v>-0.22648395901766499</v>
          </cell>
          <cell r="N65">
            <v>477018.03</v>
          </cell>
          <cell r="P65">
            <v>1.3046467027671701E-2</v>
          </cell>
          <cell r="S65">
            <v>483241.43</v>
          </cell>
          <cell r="T65">
            <v>624733.56000000006</v>
          </cell>
          <cell r="V65">
            <v>-0.22648395901766499</v>
          </cell>
          <cell r="W65">
            <v>477018.03</v>
          </cell>
          <cell r="Y65">
            <v>1.3046467027671701E-2</v>
          </cell>
          <cell r="Z65">
            <v>6295811.4000000004</v>
          </cell>
          <cell r="AA65">
            <v>7.6756020677493597E-2</v>
          </cell>
        </row>
        <row r="66">
          <cell r="J66">
            <v>0.31116500040032002</v>
          </cell>
          <cell r="K66">
            <v>0.391258292537699</v>
          </cell>
          <cell r="M66">
            <v>-0.204706951047335</v>
          </cell>
          <cell r="N66">
            <v>0.25968747233269301</v>
          </cell>
          <cell r="P66">
            <v>0.19822876939430401</v>
          </cell>
          <cell r="S66">
            <v>0.31116500040032002</v>
          </cell>
          <cell r="T66">
            <v>0.391258292537699</v>
          </cell>
          <cell r="V66">
            <v>-0.204706951047335</v>
          </cell>
          <cell r="W66">
            <v>0.25968747233269301</v>
          </cell>
          <cell r="Y66">
            <v>0.19822876939430401</v>
          </cell>
          <cell r="Z66">
            <v>0.372657281836209</v>
          </cell>
          <cell r="AA66">
            <v>0.83498972264034299</v>
          </cell>
        </row>
        <row r="69">
          <cell r="J69">
            <v>0</v>
          </cell>
          <cell r="K69">
            <v>0</v>
          </cell>
          <cell r="M69" t="str">
            <v/>
          </cell>
          <cell r="N69">
            <v>0</v>
          </cell>
          <cell r="P69" t="str">
            <v/>
          </cell>
          <cell r="S69">
            <v>0</v>
          </cell>
          <cell r="T69">
            <v>0</v>
          </cell>
          <cell r="V69" t="str">
            <v/>
          </cell>
          <cell r="W69">
            <v>0</v>
          </cell>
          <cell r="Y69" t="str">
            <v/>
          </cell>
          <cell r="Z69">
            <v>0</v>
          </cell>
          <cell r="AA69" t="str">
            <v/>
          </cell>
        </row>
        <row r="70">
          <cell r="J70">
            <v>0</v>
          </cell>
          <cell r="K70">
            <v>0</v>
          </cell>
          <cell r="M70" t="str">
            <v/>
          </cell>
          <cell r="N70">
            <v>0</v>
          </cell>
          <cell r="P70" t="str">
            <v/>
          </cell>
          <cell r="S70">
            <v>0</v>
          </cell>
          <cell r="T70">
            <v>0</v>
          </cell>
          <cell r="V70" t="str">
            <v/>
          </cell>
          <cell r="W70">
            <v>0</v>
          </cell>
          <cell r="Y70" t="str">
            <v/>
          </cell>
          <cell r="Z70">
            <v>0</v>
          </cell>
          <cell r="AA70" t="str">
            <v/>
          </cell>
        </row>
        <row r="71">
          <cell r="J71">
            <v>0</v>
          </cell>
          <cell r="K71">
            <v>0</v>
          </cell>
          <cell r="M71" t="str">
            <v/>
          </cell>
          <cell r="N71">
            <v>0</v>
          </cell>
          <cell r="P71" t="str">
            <v/>
          </cell>
          <cell r="S71">
            <v>0</v>
          </cell>
          <cell r="T71">
            <v>0</v>
          </cell>
          <cell r="V71" t="str">
            <v/>
          </cell>
          <cell r="W71">
            <v>0</v>
          </cell>
          <cell r="Y71" t="str">
            <v/>
          </cell>
          <cell r="Z71">
            <v>0</v>
          </cell>
          <cell r="AA71" t="str">
            <v/>
          </cell>
        </row>
        <row r="72">
          <cell r="J72">
            <v>0</v>
          </cell>
          <cell r="K72">
            <v>0</v>
          </cell>
          <cell r="M72" t="str">
            <v/>
          </cell>
          <cell r="N72">
            <v>0</v>
          </cell>
          <cell r="P72" t="str">
            <v/>
          </cell>
          <cell r="S72">
            <v>0</v>
          </cell>
          <cell r="T72">
            <v>0</v>
          </cell>
          <cell r="V72" t="str">
            <v/>
          </cell>
          <cell r="W72">
            <v>0</v>
          </cell>
          <cell r="Y72" t="str">
            <v/>
          </cell>
          <cell r="Z72">
            <v>0</v>
          </cell>
          <cell r="AA72" t="str">
            <v/>
          </cell>
        </row>
        <row r="73">
          <cell r="J73">
            <v>0</v>
          </cell>
          <cell r="K73">
            <v>0</v>
          </cell>
          <cell r="M73" t="str">
            <v/>
          </cell>
          <cell r="N73">
            <v>0</v>
          </cell>
          <cell r="P73" t="str">
            <v/>
          </cell>
          <cell r="S73">
            <v>0</v>
          </cell>
          <cell r="T73">
            <v>0</v>
          </cell>
          <cell r="V73" t="str">
            <v/>
          </cell>
          <cell r="W73">
            <v>0</v>
          </cell>
          <cell r="Y73" t="str">
            <v/>
          </cell>
          <cell r="Z73">
            <v>0</v>
          </cell>
          <cell r="AA73" t="str">
            <v/>
          </cell>
        </row>
        <row r="74">
          <cell r="J74">
            <v>0</v>
          </cell>
          <cell r="K74">
            <v>0</v>
          </cell>
          <cell r="M74" t="str">
            <v/>
          </cell>
          <cell r="N74">
            <v>58.49</v>
          </cell>
          <cell r="P74">
            <v>-1</v>
          </cell>
          <cell r="S74">
            <v>0</v>
          </cell>
          <cell r="T74">
            <v>0</v>
          </cell>
          <cell r="V74" t="str">
            <v/>
          </cell>
          <cell r="W74">
            <v>58.49</v>
          </cell>
          <cell r="Y74">
            <v>-1</v>
          </cell>
          <cell r="Z74">
            <v>0</v>
          </cell>
          <cell r="AA74" t="str">
            <v/>
          </cell>
        </row>
        <row r="75">
          <cell r="J75">
            <v>69952.73</v>
          </cell>
          <cell r="K75">
            <v>48543.69</v>
          </cell>
          <cell r="M75">
            <v>0.441026217825633</v>
          </cell>
          <cell r="N75">
            <v>47126.04</v>
          </cell>
          <cell r="P75">
            <v>0.48437530503305598</v>
          </cell>
          <cell r="S75">
            <v>69952.73</v>
          </cell>
          <cell r="T75">
            <v>48543.69</v>
          </cell>
          <cell r="V75">
            <v>0.441026217825633</v>
          </cell>
          <cell r="W75">
            <v>47126.04</v>
          </cell>
          <cell r="Y75">
            <v>0.48437530503305598</v>
          </cell>
          <cell r="Z75">
            <v>582524.28</v>
          </cell>
          <cell r="AA75">
            <v>0.120085518152136</v>
          </cell>
        </row>
        <row r="76">
          <cell r="J76">
            <v>70016.02</v>
          </cell>
          <cell r="K76">
            <v>14150</v>
          </cell>
          <cell r="M76">
            <v>3.94812862190813</v>
          </cell>
          <cell r="N76">
            <v>69519.539999999994</v>
          </cell>
          <cell r="P76">
            <v>7.14158925677602E-3</v>
          </cell>
          <cell r="S76">
            <v>70016.02</v>
          </cell>
          <cell r="T76">
            <v>14150</v>
          </cell>
          <cell r="V76">
            <v>3.94812862190813</v>
          </cell>
          <cell r="W76">
            <v>69519.539999999994</v>
          </cell>
          <cell r="Y76">
            <v>7.14158925677602E-3</v>
          </cell>
          <cell r="Z76">
            <v>169800</v>
          </cell>
          <cell r="AA76">
            <v>0.41234405182567702</v>
          </cell>
        </row>
        <row r="77">
          <cell r="J77">
            <v>139968.75</v>
          </cell>
          <cell r="K77">
            <v>62693.69</v>
          </cell>
          <cell r="M77">
            <v>1.23258114173851</v>
          </cell>
          <cell r="N77">
            <v>116704.07</v>
          </cell>
          <cell r="P77">
            <v>0.199347632006322</v>
          </cell>
          <cell r="S77">
            <v>139968.75</v>
          </cell>
          <cell r="T77">
            <v>62693.69</v>
          </cell>
          <cell r="V77">
            <v>1.23258114173851</v>
          </cell>
          <cell r="W77">
            <v>116704.07</v>
          </cell>
          <cell r="Y77">
            <v>0.199347632006322</v>
          </cell>
          <cell r="Z77">
            <v>752324.28</v>
          </cell>
          <cell r="AA77">
            <v>0.18604842847820899</v>
          </cell>
        </row>
        <row r="78">
          <cell r="J78">
            <v>0</v>
          </cell>
          <cell r="K78">
            <v>0</v>
          </cell>
          <cell r="M78" t="str">
            <v/>
          </cell>
          <cell r="N78">
            <v>0</v>
          </cell>
          <cell r="P78" t="str">
            <v/>
          </cell>
          <cell r="S78">
            <v>0</v>
          </cell>
          <cell r="T78">
            <v>0</v>
          </cell>
          <cell r="V78" t="str">
            <v/>
          </cell>
          <cell r="W78">
            <v>0</v>
          </cell>
          <cell r="Y78" t="str">
            <v/>
          </cell>
          <cell r="Z78">
            <v>0</v>
          </cell>
          <cell r="AA78" t="str">
            <v/>
          </cell>
        </row>
        <row r="79">
          <cell r="J79">
            <v>0</v>
          </cell>
          <cell r="K79">
            <v>0</v>
          </cell>
          <cell r="M79" t="str">
            <v/>
          </cell>
          <cell r="N79">
            <v>0</v>
          </cell>
          <cell r="P79" t="str">
            <v/>
          </cell>
          <cell r="S79">
            <v>0</v>
          </cell>
          <cell r="T79">
            <v>0</v>
          </cell>
          <cell r="V79" t="str">
            <v/>
          </cell>
          <cell r="W79">
            <v>0</v>
          </cell>
          <cell r="Y79" t="str">
            <v/>
          </cell>
          <cell r="Z79">
            <v>0</v>
          </cell>
          <cell r="AA79" t="str">
            <v/>
          </cell>
        </row>
        <row r="80">
          <cell r="J80">
            <v>0</v>
          </cell>
          <cell r="K80">
            <v>0</v>
          </cell>
          <cell r="M80" t="str">
            <v/>
          </cell>
          <cell r="N80">
            <v>0</v>
          </cell>
          <cell r="P80" t="str">
            <v/>
          </cell>
          <cell r="S80">
            <v>0</v>
          </cell>
          <cell r="T80">
            <v>0</v>
          </cell>
          <cell r="V80" t="str">
            <v/>
          </cell>
          <cell r="W80">
            <v>0</v>
          </cell>
          <cell r="Y80" t="str">
            <v/>
          </cell>
          <cell r="Z80">
            <v>0</v>
          </cell>
          <cell r="AA80" t="str">
            <v/>
          </cell>
        </row>
        <row r="81">
          <cell r="J81">
            <v>29017.75</v>
          </cell>
          <cell r="K81">
            <v>0</v>
          </cell>
          <cell r="M81" t="str">
            <v/>
          </cell>
          <cell r="N81">
            <v>37080.26</v>
          </cell>
          <cell r="P81">
            <v>-0.21743402014980501</v>
          </cell>
          <cell r="S81">
            <v>29017.75</v>
          </cell>
          <cell r="T81">
            <v>0</v>
          </cell>
          <cell r="V81" t="str">
            <v/>
          </cell>
          <cell r="W81">
            <v>37080.26</v>
          </cell>
          <cell r="Y81">
            <v>-0.21743402014980501</v>
          </cell>
          <cell r="Z81">
            <v>0</v>
          </cell>
          <cell r="AA81" t="str">
            <v/>
          </cell>
        </row>
        <row r="82">
          <cell r="J82">
            <v>29017.75</v>
          </cell>
          <cell r="K82">
            <v>0</v>
          </cell>
          <cell r="M82" t="str">
            <v/>
          </cell>
          <cell r="N82">
            <v>37080.26</v>
          </cell>
          <cell r="P82">
            <v>-0.21743402014980501</v>
          </cell>
          <cell r="S82">
            <v>29017.75</v>
          </cell>
          <cell r="T82">
            <v>0</v>
          </cell>
          <cell r="V82" t="str">
            <v/>
          </cell>
          <cell r="W82">
            <v>37080.26</v>
          </cell>
          <cell r="Y82">
            <v>-0.21743402014980501</v>
          </cell>
          <cell r="Z82">
            <v>0</v>
          </cell>
          <cell r="AA82" t="str">
            <v/>
          </cell>
        </row>
        <row r="83">
          <cell r="J83">
            <v>110951</v>
          </cell>
          <cell r="K83">
            <v>62693.69</v>
          </cell>
          <cell r="M83">
            <v>0.76973153119556403</v>
          </cell>
          <cell r="N83">
            <v>79623.81</v>
          </cell>
          <cell r="P83">
            <v>0.39343997731331898</v>
          </cell>
          <cell r="S83">
            <v>110951</v>
          </cell>
          <cell r="T83">
            <v>62693.69</v>
          </cell>
          <cell r="V83">
            <v>0.76973153119556403</v>
          </cell>
          <cell r="W83">
            <v>79623.81</v>
          </cell>
          <cell r="Y83">
            <v>0.39343997731331898</v>
          </cell>
          <cell r="Z83">
            <v>752324.28</v>
          </cell>
          <cell r="AA83">
            <v>0.14747762759963001</v>
          </cell>
        </row>
        <row r="85">
          <cell r="J85">
            <v>2831815.91</v>
          </cell>
          <cell r="K85">
            <v>2691281.43</v>
          </cell>
          <cell r="M85">
            <v>5.2218425926566898E-2</v>
          </cell>
          <cell r="N85">
            <v>2941734.5</v>
          </cell>
          <cell r="P85">
            <v>-3.7365231294666297E-2</v>
          </cell>
          <cell r="S85">
            <v>2831815.91</v>
          </cell>
          <cell r="T85">
            <v>2691281.43</v>
          </cell>
          <cell r="V85">
            <v>5.2218425926566898E-2</v>
          </cell>
          <cell r="W85">
            <v>2941734.5</v>
          </cell>
          <cell r="Y85">
            <v>-3.7365231294666297E-2</v>
          </cell>
          <cell r="Z85">
            <v>36674896.130000003</v>
          </cell>
          <cell r="AA85">
            <v>7.7214013093920703E-2</v>
          </cell>
        </row>
        <row r="86">
          <cell r="J86">
            <v>1242378.6100000001</v>
          </cell>
          <cell r="K86">
            <v>1181970.3400000001</v>
          </cell>
          <cell r="M86">
            <v>5.1108109870168401E-2</v>
          </cell>
          <cell r="N86">
            <v>1099234.8600000001</v>
          </cell>
          <cell r="P86">
            <v>0.13022126135992401</v>
          </cell>
          <cell r="S86">
            <v>1242378.6100000001</v>
          </cell>
          <cell r="T86">
            <v>1181970.3400000001</v>
          </cell>
          <cell r="V86">
            <v>5.1108109870168401E-2</v>
          </cell>
          <cell r="W86">
            <v>1099234.8600000001</v>
          </cell>
          <cell r="Y86">
            <v>0.13022126135992401</v>
          </cell>
          <cell r="Z86">
            <v>17880341.800000001</v>
          </cell>
          <cell r="AA86">
            <v>6.9482934045477798E-2</v>
          </cell>
        </row>
        <row r="87">
          <cell r="J87">
            <v>0.43872153045428702</v>
          </cell>
          <cell r="K87">
            <v>0.43918496476230601</v>
          </cell>
          <cell r="M87">
            <v>-1.0552144203526601E-3</v>
          </cell>
          <cell r="N87">
            <v>0.37366895618894203</v>
          </cell>
          <cell r="P87">
            <v>0.17409146033649001</v>
          </cell>
          <cell r="S87">
            <v>0.43872153045428702</v>
          </cell>
          <cell r="T87">
            <v>0.43918496476230601</v>
          </cell>
          <cell r="V87">
            <v>-1.0552144203526601E-3</v>
          </cell>
          <cell r="W87">
            <v>0.37366895618894203</v>
          </cell>
          <cell r="Y87">
            <v>0.17409146033649001</v>
          </cell>
          <cell r="Z87">
            <v>0.48753626286003099</v>
          </cell>
          <cell r="AA87">
            <v>0.89987466343655798</v>
          </cell>
        </row>
        <row r="90">
          <cell r="J90">
            <v>267035.52000000002</v>
          </cell>
          <cell r="K90">
            <v>298671.59999999998</v>
          </cell>
          <cell r="M90">
            <v>-0.105922625385206</v>
          </cell>
          <cell r="N90">
            <v>311903.34000000003</v>
          </cell>
          <cell r="P90">
            <v>-0.143851681742171</v>
          </cell>
          <cell r="S90">
            <v>267035.52000000002</v>
          </cell>
          <cell r="T90">
            <v>298671.59999999998</v>
          </cell>
          <cell r="V90">
            <v>-0.105922625385206</v>
          </cell>
          <cell r="W90">
            <v>311903.34000000003</v>
          </cell>
          <cell r="Y90">
            <v>-0.143851681742171</v>
          </cell>
          <cell r="Z90">
            <v>3852748.07</v>
          </cell>
          <cell r="AA90">
            <v>6.9310402639433402E-2</v>
          </cell>
        </row>
        <row r="91">
          <cell r="J91">
            <v>153583</v>
          </cell>
          <cell r="K91">
            <v>141644</v>
          </cell>
          <cell r="M91">
            <v>8.4288780322498702E-2</v>
          </cell>
          <cell r="N91">
            <v>145163.07</v>
          </cell>
          <cell r="P91">
            <v>5.80032511023637E-2</v>
          </cell>
          <cell r="S91">
            <v>153583</v>
          </cell>
          <cell r="T91">
            <v>141644</v>
          </cell>
          <cell r="V91">
            <v>8.4288780322498702E-2</v>
          </cell>
          <cell r="W91">
            <v>145163.07</v>
          </cell>
          <cell r="Y91">
            <v>5.80032511023637E-2</v>
          </cell>
          <cell r="Z91">
            <v>1699728</v>
          </cell>
          <cell r="AA91">
            <v>9.0357398360208202E-2</v>
          </cell>
        </row>
        <row r="92">
          <cell r="J92">
            <v>77402.86</v>
          </cell>
          <cell r="K92">
            <v>59424</v>
          </cell>
          <cell r="M92">
            <v>0.30255216747442099</v>
          </cell>
          <cell r="N92">
            <v>98929.75</v>
          </cell>
          <cell r="P92">
            <v>-0.21759773981031999</v>
          </cell>
          <cell r="S92">
            <v>77402.86</v>
          </cell>
          <cell r="T92">
            <v>59424</v>
          </cell>
          <cell r="V92">
            <v>0.30255216747442099</v>
          </cell>
          <cell r="W92">
            <v>98929.75</v>
          </cell>
          <cell r="Y92">
            <v>-0.21759773981031999</v>
          </cell>
          <cell r="Z92">
            <v>929088</v>
          </cell>
          <cell r="AA92">
            <v>8.3310579837431994E-2</v>
          </cell>
        </row>
        <row r="93">
          <cell r="J93">
            <v>22579.47</v>
          </cell>
          <cell r="K93">
            <v>83873</v>
          </cell>
          <cell r="M93">
            <v>-0.73078976547875996</v>
          </cell>
          <cell r="N93">
            <v>66677.42</v>
          </cell>
          <cell r="P93">
            <v>-0.66136257221710104</v>
          </cell>
          <cell r="S93">
            <v>22579.47</v>
          </cell>
          <cell r="T93">
            <v>83873</v>
          </cell>
          <cell r="V93">
            <v>-0.73078976547875996</v>
          </cell>
          <cell r="W93">
            <v>66677.42</v>
          </cell>
          <cell r="Y93">
            <v>-0.66136257221710104</v>
          </cell>
          <cell r="Z93">
            <v>1049996</v>
          </cell>
          <cell r="AA93">
            <v>2.1504339064148802E-2</v>
          </cell>
        </row>
        <row r="94">
          <cell r="J94">
            <v>4301.3500000000004</v>
          </cell>
          <cell r="K94">
            <v>3767.79</v>
          </cell>
          <cell r="M94">
            <v>0.141610864724414</v>
          </cell>
          <cell r="N94">
            <v>4541.32</v>
          </cell>
          <cell r="P94">
            <v>-5.2841464596196597E-2</v>
          </cell>
          <cell r="S94">
            <v>4301.3500000000004</v>
          </cell>
          <cell r="T94">
            <v>3767.79</v>
          </cell>
          <cell r="V94">
            <v>0.141610864724414</v>
          </cell>
          <cell r="W94">
            <v>4541.32</v>
          </cell>
          <cell r="Y94">
            <v>-5.2841464596196597E-2</v>
          </cell>
          <cell r="Z94">
            <v>51344.86</v>
          </cell>
          <cell r="AA94">
            <v>8.3773721459168504E-2</v>
          </cell>
        </row>
        <row r="95">
          <cell r="J95">
            <v>9059</v>
          </cell>
          <cell r="K95">
            <v>3500</v>
          </cell>
          <cell r="M95">
            <v>1.5882857142857101</v>
          </cell>
          <cell r="N95">
            <v>-3747</v>
          </cell>
          <cell r="P95">
            <v>3.4176674673071799</v>
          </cell>
          <cell r="S95">
            <v>9059</v>
          </cell>
          <cell r="T95">
            <v>3500</v>
          </cell>
          <cell r="V95">
            <v>1.5882857142857101</v>
          </cell>
          <cell r="W95">
            <v>-3747</v>
          </cell>
          <cell r="Y95">
            <v>3.4176674673071799</v>
          </cell>
          <cell r="Z95">
            <v>44000</v>
          </cell>
          <cell r="AA95">
            <v>0.20588636363636401</v>
          </cell>
        </row>
        <row r="96">
          <cell r="J96">
            <v>109.84</v>
          </cell>
          <cell r="K96">
            <v>6462.81</v>
          </cell>
          <cell r="M96">
            <v>-0.983004296892528</v>
          </cell>
          <cell r="N96">
            <v>338.78</v>
          </cell>
          <cell r="P96">
            <v>-0.67577779089674705</v>
          </cell>
          <cell r="S96">
            <v>109.84</v>
          </cell>
          <cell r="T96">
            <v>6462.81</v>
          </cell>
          <cell r="V96">
            <v>-0.983004296892528</v>
          </cell>
          <cell r="W96">
            <v>338.78</v>
          </cell>
          <cell r="Y96">
            <v>-0.67577779089674705</v>
          </cell>
          <cell r="Z96">
            <v>78591.210000000006</v>
          </cell>
          <cell r="AA96">
            <v>1.3976117685425601E-3</v>
          </cell>
        </row>
        <row r="97">
          <cell r="J97">
            <v>170084.34</v>
          </cell>
          <cell r="K97">
            <v>132119</v>
          </cell>
          <cell r="M97">
            <v>0.28735715529181999</v>
          </cell>
          <cell r="N97">
            <v>165331.75</v>
          </cell>
          <cell r="P97">
            <v>2.8745779319459E-2</v>
          </cell>
          <cell r="S97">
            <v>170084.34</v>
          </cell>
          <cell r="T97">
            <v>132119</v>
          </cell>
          <cell r="V97">
            <v>0.28735715529181999</v>
          </cell>
          <cell r="W97">
            <v>165331.75</v>
          </cell>
          <cell r="Y97">
            <v>2.8745779319459E-2</v>
          </cell>
          <cell r="Z97">
            <v>1841308</v>
          </cell>
          <cell r="AA97">
            <v>9.2371477232489105E-2</v>
          </cell>
        </row>
        <row r="98">
          <cell r="J98">
            <v>116304.88</v>
          </cell>
          <cell r="K98">
            <v>84620</v>
          </cell>
          <cell r="M98">
            <v>0.37443724887733398</v>
          </cell>
          <cell r="N98">
            <v>103034.66</v>
          </cell>
          <cell r="P98">
            <v>0.128793747657342</v>
          </cell>
          <cell r="S98">
            <v>116304.88</v>
          </cell>
          <cell r="T98">
            <v>84620</v>
          </cell>
          <cell r="V98">
            <v>0.37443724887733398</v>
          </cell>
          <cell r="W98">
            <v>103034.66</v>
          </cell>
          <cell r="Y98">
            <v>0.128793747657342</v>
          </cell>
          <cell r="Z98">
            <v>1015440</v>
          </cell>
          <cell r="AA98">
            <v>0.11453643740644499</v>
          </cell>
        </row>
        <row r="99">
          <cell r="J99">
            <v>30817.09</v>
          </cell>
          <cell r="K99">
            <v>27880</v>
          </cell>
          <cell r="M99">
            <v>0.10534756097561</v>
          </cell>
          <cell r="N99">
            <v>29706.36</v>
          </cell>
          <cell r="P99">
            <v>3.7390309684524302E-2</v>
          </cell>
          <cell r="S99">
            <v>30817.09</v>
          </cell>
          <cell r="T99">
            <v>27880</v>
          </cell>
          <cell r="V99">
            <v>0.10534756097561</v>
          </cell>
          <cell r="W99">
            <v>29706.36</v>
          </cell>
          <cell r="Y99">
            <v>3.7390309684524302E-2</v>
          </cell>
          <cell r="Z99">
            <v>334560</v>
          </cell>
          <cell r="AA99">
            <v>9.2112296747967504E-2</v>
          </cell>
        </row>
        <row r="100">
          <cell r="J100">
            <v>22962.37</v>
          </cell>
          <cell r="K100">
            <v>19619</v>
          </cell>
          <cell r="M100">
            <v>0.17041490391967001</v>
          </cell>
          <cell r="N100">
            <v>32590.73</v>
          </cell>
          <cell r="P100">
            <v>-0.29543247420355401</v>
          </cell>
          <cell r="S100">
            <v>22962.37</v>
          </cell>
          <cell r="T100">
            <v>19619</v>
          </cell>
          <cell r="V100">
            <v>0.17041490391967001</v>
          </cell>
          <cell r="W100">
            <v>32590.73</v>
          </cell>
          <cell r="Y100">
            <v>-0.29543247420355401</v>
          </cell>
          <cell r="Z100">
            <v>491308</v>
          </cell>
          <cell r="AA100">
            <v>4.6737219829516299E-2</v>
          </cell>
        </row>
        <row r="101">
          <cell r="J101">
            <v>939636.01</v>
          </cell>
          <cell r="K101">
            <v>780583.94</v>
          </cell>
          <cell r="M101">
            <v>0.20376036688636001</v>
          </cell>
          <cell r="N101">
            <v>962610.95</v>
          </cell>
          <cell r="P101">
            <v>-2.3867316281826999E-2</v>
          </cell>
          <cell r="S101">
            <v>939636.01</v>
          </cell>
          <cell r="T101">
            <v>780583.94</v>
          </cell>
          <cell r="V101">
            <v>0.20376036688636001</v>
          </cell>
          <cell r="W101">
            <v>962610.95</v>
          </cell>
          <cell r="Y101">
            <v>-2.3867316281826999E-2</v>
          </cell>
          <cell r="Z101">
            <v>5803093.7400000002</v>
          </cell>
          <cell r="AA101">
            <v>0.16191984001967899</v>
          </cell>
        </row>
        <row r="102">
          <cell r="J102">
            <v>208670.48</v>
          </cell>
          <cell r="K102">
            <v>222506</v>
          </cell>
          <cell r="M102">
            <v>-6.2180435583759498E-2</v>
          </cell>
          <cell r="N102">
            <v>216055.2</v>
          </cell>
          <cell r="P102">
            <v>-3.4179783684910203E-2</v>
          </cell>
          <cell r="S102">
            <v>208670.48</v>
          </cell>
          <cell r="T102">
            <v>222506</v>
          </cell>
          <cell r="V102">
            <v>-6.2180435583759498E-2</v>
          </cell>
          <cell r="W102">
            <v>216055.2</v>
          </cell>
          <cell r="Y102">
            <v>-3.4179783684910203E-2</v>
          </cell>
          <cell r="Z102">
            <v>3083192</v>
          </cell>
          <cell r="AA102">
            <v>6.7680014737972902E-2</v>
          </cell>
        </row>
        <row r="103">
          <cell r="J103">
            <v>96350.82</v>
          </cell>
          <cell r="K103">
            <v>101400</v>
          </cell>
          <cell r="M103">
            <v>-4.9794674556212899E-2</v>
          </cell>
          <cell r="N103">
            <v>103725.44</v>
          </cell>
          <cell r="P103">
            <v>-7.1097505105786898E-2</v>
          </cell>
          <cell r="S103">
            <v>96350.82</v>
          </cell>
          <cell r="T103">
            <v>101400</v>
          </cell>
          <cell r="V103">
            <v>-4.9794674556212899E-2</v>
          </cell>
          <cell r="W103">
            <v>103725.44</v>
          </cell>
          <cell r="Y103">
            <v>-7.1097505105786898E-2</v>
          </cell>
          <cell r="Z103">
            <v>1239600</v>
          </cell>
          <cell r="AA103">
            <v>7.7727347531461793E-2</v>
          </cell>
        </row>
        <row r="104">
          <cell r="J104">
            <v>40154.199999999997</v>
          </cell>
          <cell r="K104">
            <v>57704</v>
          </cell>
          <cell r="M104">
            <v>-0.30413489532788002</v>
          </cell>
          <cell r="N104">
            <v>48172.7</v>
          </cell>
          <cell r="P104">
            <v>-0.166453198595885</v>
          </cell>
          <cell r="S104">
            <v>40154.199999999997</v>
          </cell>
          <cell r="T104">
            <v>57704</v>
          </cell>
          <cell r="V104">
            <v>-0.30413489532788002</v>
          </cell>
          <cell r="W104">
            <v>48172.7</v>
          </cell>
          <cell r="Y104">
            <v>-0.166453198595885</v>
          </cell>
          <cell r="Z104">
            <v>703368</v>
          </cell>
          <cell r="AA104">
            <v>5.7088465781781401E-2</v>
          </cell>
        </row>
        <row r="105">
          <cell r="J105">
            <v>72165.460000000006</v>
          </cell>
          <cell r="K105">
            <v>63402</v>
          </cell>
          <cell r="M105">
            <v>0.13822056086558801</v>
          </cell>
          <cell r="N105">
            <v>64157.06</v>
          </cell>
          <cell r="P105">
            <v>0.124824921840246</v>
          </cell>
          <cell r="S105">
            <v>72165.460000000006</v>
          </cell>
          <cell r="T105">
            <v>63402</v>
          </cell>
          <cell r="V105">
            <v>0.13822056086558801</v>
          </cell>
          <cell r="W105">
            <v>64157.06</v>
          </cell>
          <cell r="Y105">
            <v>0.124824921840246</v>
          </cell>
          <cell r="Z105">
            <v>1140224</v>
          </cell>
          <cell r="AA105">
            <v>6.3290599040188605E-2</v>
          </cell>
        </row>
        <row r="106">
          <cell r="J106">
            <v>1585426.35</v>
          </cell>
          <cell r="K106">
            <v>1433880.54</v>
          </cell>
          <cell r="M106">
            <v>0.10568928566392299</v>
          </cell>
          <cell r="N106">
            <v>1655901.24</v>
          </cell>
          <cell r="P106">
            <v>-4.2559838894739799E-2</v>
          </cell>
          <cell r="S106">
            <v>1585426.35</v>
          </cell>
          <cell r="T106">
            <v>1433880.54</v>
          </cell>
          <cell r="V106">
            <v>0.10568928566392299</v>
          </cell>
          <cell r="W106">
            <v>1655901.24</v>
          </cell>
          <cell r="Y106">
            <v>-4.2559838894739799E-2</v>
          </cell>
          <cell r="Z106">
            <v>14580341.810000001</v>
          </cell>
          <cell r="AA106">
            <v>0.108737255316787</v>
          </cell>
        </row>
        <row r="107">
          <cell r="J107">
            <v>0.55986208157153805</v>
          </cell>
          <cell r="K107">
            <v>0.53278729010514503</v>
          </cell>
          <cell r="M107">
            <v>5.0817262290641201E-2</v>
          </cell>
          <cell r="N107">
            <v>0.56289962265459403</v>
          </cell>
          <cell r="P107">
            <v>-5.3962393307899498E-3</v>
          </cell>
          <cell r="S107">
            <v>0.55986208157153805</v>
          </cell>
          <cell r="T107">
            <v>0.53278729010514503</v>
          </cell>
          <cell r="V107">
            <v>5.0817262290641201E-2</v>
          </cell>
          <cell r="W107">
            <v>0.56289962265459403</v>
          </cell>
          <cell r="Y107">
            <v>-5.3962393307899498E-3</v>
          </cell>
          <cell r="Z107">
            <v>0.39755645819193802</v>
          </cell>
          <cell r="AA107">
            <v>1.40825804746766</v>
          </cell>
        </row>
        <row r="108">
          <cell r="J108">
            <v>-343047.74</v>
          </cell>
          <cell r="K108">
            <v>-251910.2</v>
          </cell>
          <cell r="M108">
            <v>-0.36178582685417199</v>
          </cell>
          <cell r="N108">
            <v>-556666.38</v>
          </cell>
          <cell r="P108">
            <v>0.38374625749807301</v>
          </cell>
          <cell r="S108">
            <v>-343047.74</v>
          </cell>
          <cell r="T108">
            <v>-251910.2</v>
          </cell>
          <cell r="V108">
            <v>-0.36178582685417199</v>
          </cell>
          <cell r="W108">
            <v>-556666.38</v>
          </cell>
          <cell r="Y108">
            <v>0.38374625749807301</v>
          </cell>
          <cell r="Z108">
            <v>3299999.99</v>
          </cell>
          <cell r="AA108">
            <v>-0.10395386092107201</v>
          </cell>
        </row>
        <row r="109">
          <cell r="J109">
            <v>-0.121140551117251</v>
          </cell>
          <cell r="K109">
            <v>-9.3602325342838702E-2</v>
          </cell>
          <cell r="M109">
            <v>-0.29420450478711602</v>
          </cell>
          <cell r="N109">
            <v>-0.18923066646565101</v>
          </cell>
          <cell r="P109">
            <v>0.35982600822663102</v>
          </cell>
          <cell r="S109">
            <v>-0.121140551117251</v>
          </cell>
          <cell r="T109">
            <v>-9.3602325342838702E-2</v>
          </cell>
          <cell r="V109">
            <v>-0.29420450478711602</v>
          </cell>
          <cell r="W109">
            <v>-0.18923066646565101</v>
          </cell>
          <cell r="Y109">
            <v>0.35982600822663102</v>
          </cell>
          <cell r="Z109">
            <v>8.9979804668093105E-2</v>
          </cell>
          <cell r="AA109">
            <v>-1.34630822509673</v>
          </cell>
        </row>
        <row r="110">
          <cell r="J110">
            <v>70069.05</v>
          </cell>
          <cell r="K110">
            <v>72447.73</v>
          </cell>
          <cell r="M110">
            <v>-3.2833050807803001E-2</v>
          </cell>
          <cell r="N110">
            <v>65525.04</v>
          </cell>
          <cell r="P110">
            <v>6.9347687540518899E-2</v>
          </cell>
          <cell r="S110">
            <v>70069.05</v>
          </cell>
          <cell r="T110">
            <v>72447.73</v>
          </cell>
          <cell r="V110">
            <v>-3.2833050807803001E-2</v>
          </cell>
          <cell r="W110">
            <v>65525.04</v>
          </cell>
          <cell r="Y110">
            <v>6.9347687540518899E-2</v>
          </cell>
          <cell r="Z110">
            <v>988388.35</v>
          </cell>
          <cell r="AA110">
            <v>7.0892225712696794E-2</v>
          </cell>
        </row>
        <row r="111">
          <cell r="J111">
            <v>-413116.79</v>
          </cell>
          <cell r="K111">
            <v>-324357.93</v>
          </cell>
          <cell r="M111">
            <v>-0.27364479727688401</v>
          </cell>
          <cell r="N111">
            <v>-622191.42000000004</v>
          </cell>
          <cell r="P111">
            <v>0.33602943287131798</v>
          </cell>
          <cell r="S111">
            <v>-413116.79</v>
          </cell>
          <cell r="T111">
            <v>-324357.93</v>
          </cell>
          <cell r="V111">
            <v>-0.27364479727688401</v>
          </cell>
          <cell r="W111">
            <v>-622191.42000000004</v>
          </cell>
          <cell r="Y111">
            <v>0.33602943287131798</v>
          </cell>
          <cell r="Z111">
            <v>2311611.64</v>
          </cell>
          <cell r="AA111">
            <v>-0.17871375228063799</v>
          </cell>
        </row>
        <row r="112">
          <cell r="J112">
            <v>0</v>
          </cell>
          <cell r="K112">
            <v>0</v>
          </cell>
          <cell r="M112" t="str">
            <v/>
          </cell>
          <cell r="N112">
            <v>0</v>
          </cell>
          <cell r="P112" t="str">
            <v/>
          </cell>
          <cell r="S112">
            <v>0</v>
          </cell>
          <cell r="T112">
            <v>0</v>
          </cell>
          <cell r="V112" t="str">
            <v/>
          </cell>
          <cell r="W112">
            <v>0</v>
          </cell>
          <cell r="Y112" t="str">
            <v/>
          </cell>
          <cell r="Z112">
            <v>0</v>
          </cell>
          <cell r="AA112" t="str">
            <v/>
          </cell>
        </row>
        <row r="113">
          <cell r="J113">
            <v>-413116.79</v>
          </cell>
          <cell r="K113">
            <v>-324357.93</v>
          </cell>
          <cell r="M113">
            <v>-0.27364479727688401</v>
          </cell>
          <cell r="N113">
            <v>-622191.42000000004</v>
          </cell>
          <cell r="P113">
            <v>0.33602943287131798</v>
          </cell>
          <cell r="S113">
            <v>-413116.79</v>
          </cell>
          <cell r="T113">
            <v>-324357.93</v>
          </cell>
          <cell r="V113">
            <v>-0.27364479727688401</v>
          </cell>
          <cell r="W113">
            <v>-622191.42000000004</v>
          </cell>
          <cell r="Y113">
            <v>0.33602943287131798</v>
          </cell>
          <cell r="Z113">
            <v>2311611.64</v>
          </cell>
          <cell r="AA113">
            <v>-0.17871375228063799</v>
          </cell>
        </row>
        <row r="114">
          <cell r="J114">
            <v>-416992.64</v>
          </cell>
          <cell r="K114">
            <v>-384468.78</v>
          </cell>
          <cell r="M114">
            <v>-8.4594280971266506E-2</v>
          </cell>
          <cell r="N114">
            <v>-720957.83</v>
          </cell>
          <cell r="P114">
            <v>0.42161299503467498</v>
          </cell>
          <cell r="S114">
            <v>-416992.64</v>
          </cell>
          <cell r="T114">
            <v>-384468.78</v>
          </cell>
          <cell r="V114">
            <v>-8.4594280971266506E-2</v>
          </cell>
          <cell r="W114">
            <v>-720957.83</v>
          </cell>
          <cell r="Y114">
            <v>0.42161299503467498</v>
          </cell>
          <cell r="Z114">
            <v>-5239270.87</v>
          </cell>
          <cell r="AA114">
            <v>1.9204101772275799</v>
          </cell>
        </row>
        <row r="115">
          <cell r="J115">
            <v>1293.29</v>
          </cell>
          <cell r="K115">
            <v>0</v>
          </cell>
          <cell r="M115" t="str">
            <v/>
          </cell>
          <cell r="N115">
            <v>23562.07</v>
          </cell>
          <cell r="P115">
            <v>-0.94511135906140697</v>
          </cell>
          <cell r="S115">
            <v>1293.29</v>
          </cell>
          <cell r="T115">
            <v>0</v>
          </cell>
          <cell r="V115" t="str">
            <v/>
          </cell>
          <cell r="W115">
            <v>23562.07</v>
          </cell>
          <cell r="Y115">
            <v>-0.94511135906140697</v>
          </cell>
          <cell r="Z115">
            <v>0</v>
          </cell>
          <cell r="AA115" t="str">
            <v/>
          </cell>
        </row>
        <row r="116">
          <cell r="J116">
            <v>418282.09</v>
          </cell>
          <cell r="K116">
            <v>384468.78</v>
          </cell>
          <cell r="M116">
            <v>8.7948129364366107E-2</v>
          </cell>
          <cell r="N116">
            <v>717711.92</v>
          </cell>
          <cell r="P116">
            <v>-0.41720058097962198</v>
          </cell>
          <cell r="S116">
            <v>418282.09</v>
          </cell>
          <cell r="T116">
            <v>384468.78</v>
          </cell>
          <cell r="V116">
            <v>8.7948129364366107E-2</v>
          </cell>
          <cell r="W116">
            <v>717711.92</v>
          </cell>
          <cell r="Y116">
            <v>-0.41720058097962198</v>
          </cell>
          <cell r="Z116">
            <v>5239270.87</v>
          </cell>
          <cell r="AA116">
            <v>7.98359352624958E-2</v>
          </cell>
        </row>
        <row r="117">
          <cell r="J117">
            <v>0</v>
          </cell>
          <cell r="K117">
            <v>0</v>
          </cell>
          <cell r="M117" t="str">
            <v/>
          </cell>
          <cell r="N117">
            <v>0</v>
          </cell>
          <cell r="P117" t="str">
            <v/>
          </cell>
          <cell r="S117">
            <v>0</v>
          </cell>
          <cell r="T117">
            <v>0</v>
          </cell>
          <cell r="V117" t="str">
            <v/>
          </cell>
          <cell r="W117">
            <v>0</v>
          </cell>
          <cell r="Y117" t="str">
            <v/>
          </cell>
          <cell r="Z117">
            <v>0</v>
          </cell>
          <cell r="AA117" t="str">
            <v/>
          </cell>
        </row>
        <row r="118">
          <cell r="J118">
            <v>0</v>
          </cell>
          <cell r="K118">
            <v>0</v>
          </cell>
          <cell r="M118" t="str">
            <v/>
          </cell>
          <cell r="N118">
            <v>0</v>
          </cell>
          <cell r="P118" t="str">
            <v/>
          </cell>
          <cell r="S118">
            <v>0</v>
          </cell>
          <cell r="T118">
            <v>0</v>
          </cell>
          <cell r="V118" t="str">
            <v/>
          </cell>
          <cell r="W118">
            <v>0</v>
          </cell>
          <cell r="Y118" t="str">
            <v/>
          </cell>
          <cell r="Z118">
            <v>0</v>
          </cell>
          <cell r="AA118" t="str">
            <v/>
          </cell>
        </row>
        <row r="119">
          <cell r="J119">
            <v>0</v>
          </cell>
          <cell r="K119">
            <v>0</v>
          </cell>
          <cell r="M119" t="str">
            <v/>
          </cell>
          <cell r="N119">
            <v>26387.98</v>
          </cell>
          <cell r="P119">
            <v>-1</v>
          </cell>
          <cell r="S119">
            <v>0</v>
          </cell>
          <cell r="T119">
            <v>0</v>
          </cell>
          <cell r="V119" t="str">
            <v/>
          </cell>
          <cell r="W119">
            <v>26387.98</v>
          </cell>
          <cell r="Y119">
            <v>-1</v>
          </cell>
          <cell r="Z119">
            <v>0</v>
          </cell>
          <cell r="AA119" t="str">
            <v/>
          </cell>
        </row>
        <row r="120">
          <cell r="J120">
            <v>3.84</v>
          </cell>
          <cell r="K120">
            <v>0</v>
          </cell>
          <cell r="M120" t="str">
            <v/>
          </cell>
          <cell r="N120">
            <v>420</v>
          </cell>
          <cell r="P120">
            <v>-0.99085714285714299</v>
          </cell>
          <cell r="S120">
            <v>3.84</v>
          </cell>
          <cell r="T120">
            <v>0</v>
          </cell>
          <cell r="V120" t="str">
            <v/>
          </cell>
          <cell r="W120">
            <v>420</v>
          </cell>
          <cell r="Y120">
            <v>-0.99085714285714299</v>
          </cell>
          <cell r="Z120">
            <v>0</v>
          </cell>
          <cell r="AA120" t="str">
            <v/>
          </cell>
        </row>
        <row r="121">
          <cell r="J121">
            <v>-830109.43</v>
          </cell>
          <cell r="K121">
            <v>-708826.71</v>
          </cell>
          <cell r="M121">
            <v>-0.17110348451739299</v>
          </cell>
          <cell r="N121">
            <v>-1343149.25</v>
          </cell>
          <cell r="P121">
            <v>0.38196784162296199</v>
          </cell>
          <cell r="S121">
            <v>-830109.43</v>
          </cell>
          <cell r="T121">
            <v>-708826.71</v>
          </cell>
          <cell r="V121">
            <v>-0.17110348451739299</v>
          </cell>
          <cell r="W121">
            <v>-1343149.25</v>
          </cell>
          <cell r="Y121">
            <v>0.38196784162296199</v>
          </cell>
          <cell r="Z121">
            <v>-2927659.23</v>
          </cell>
          <cell r="AA121">
            <v>1.7164596816822799</v>
          </cell>
        </row>
        <row r="122">
          <cell r="J122">
            <v>-0.29313679150845701</v>
          </cell>
          <cell r="K122">
            <v>-0.26337888787795799</v>
          </cell>
          <cell r="M122">
            <v>-0.11298515181022201</v>
          </cell>
          <cell r="N122">
            <v>-0.45658411729542597</v>
          </cell>
          <cell r="P122">
            <v>0.35797856209968199</v>
          </cell>
          <cell r="S122">
            <v>-0.29313679150845701</v>
          </cell>
          <cell r="T122">
            <v>-0.26337888787795799</v>
          </cell>
          <cell r="V122">
            <v>-0.11298515181022201</v>
          </cell>
          <cell r="W122">
            <v>-0.45658411729542597</v>
          </cell>
          <cell r="Y122">
            <v>0.35797856209968199</v>
          </cell>
          <cell r="Z122">
            <v>-7.9827335287397702E-2</v>
          </cell>
          <cell r="AA122">
            <v>-1.67213549660769</v>
          </cell>
        </row>
        <row r="123">
          <cell r="J123">
            <v>103771.03694999999</v>
          </cell>
          <cell r="K123">
            <v>99829.550449999995</v>
          </cell>
          <cell r="M123">
            <v>3.9482162167745201E-2</v>
          </cell>
          <cell r="N123">
            <v>107941.5876</v>
          </cell>
          <cell r="P123">
            <v>-3.8637106816094197E-2</v>
          </cell>
          <cell r="S123">
            <v>103771.03694999999</v>
          </cell>
          <cell r="T123">
            <v>99829.550449999995</v>
          </cell>
          <cell r="V123">
            <v>3.9482162167745201E-2</v>
          </cell>
          <cell r="W123">
            <v>107941.5876</v>
          </cell>
          <cell r="Y123">
            <v>-3.8637106816094197E-2</v>
          </cell>
          <cell r="Z123">
            <v>1361952.4604</v>
          </cell>
          <cell r="AA123">
            <v>7.6192848111249697E-2</v>
          </cell>
        </row>
        <row r="124">
          <cell r="J124">
            <v>-933880.46695000003</v>
          </cell>
          <cell r="K124">
            <v>-808656.26044999994</v>
          </cell>
          <cell r="M124">
            <v>-0.15485468007174699</v>
          </cell>
          <cell r="N124">
            <v>-1451090.8376</v>
          </cell>
          <cell r="P124">
            <v>0.35642866542071799</v>
          </cell>
          <cell r="S124">
            <v>-933880.46695000003</v>
          </cell>
          <cell r="T124">
            <v>-808656.26044999994</v>
          </cell>
          <cell r="V124">
            <v>-0.15485468007174699</v>
          </cell>
          <cell r="W124">
            <v>-1451090.8376</v>
          </cell>
          <cell r="Y124">
            <v>0.35642866542071799</v>
          </cell>
          <cell r="Z124">
            <v>-4289611.6903999997</v>
          </cell>
          <cell r="AA124">
            <v>1.78229253966274</v>
          </cell>
        </row>
        <row r="125">
          <cell r="J125">
            <v>191741.14</v>
          </cell>
          <cell r="K125">
            <v>202888.32000000001</v>
          </cell>
          <cell r="M125">
            <v>-5.4942443212107998E-2</v>
          </cell>
          <cell r="N125">
            <v>216043.94</v>
          </cell>
          <cell r="P125">
            <v>-0.11249007956437</v>
          </cell>
          <cell r="S125">
            <v>191741.14</v>
          </cell>
          <cell r="T125">
            <v>202888.32000000001</v>
          </cell>
          <cell r="V125">
            <v>-5.4942443212107998E-2</v>
          </cell>
          <cell r="W125">
            <v>216043.94</v>
          </cell>
          <cell r="Y125">
            <v>-0.11249007956437</v>
          </cell>
          <cell r="Z125">
            <v>2238154.92</v>
          </cell>
          <cell r="AA125">
            <v>8.5669288701427301E-2</v>
          </cell>
        </row>
        <row r="126">
          <cell r="J126">
            <v>0</v>
          </cell>
          <cell r="K126">
            <v>0</v>
          </cell>
          <cell r="M126" t="str">
            <v/>
          </cell>
          <cell r="N126">
            <v>0</v>
          </cell>
          <cell r="P126" t="str">
            <v/>
          </cell>
          <cell r="S126">
            <v>0</v>
          </cell>
          <cell r="T126">
            <v>0</v>
          </cell>
          <cell r="V126" t="str">
            <v/>
          </cell>
          <cell r="W126">
            <v>0</v>
          </cell>
          <cell r="Y126" t="str">
            <v/>
          </cell>
          <cell r="Z126">
            <v>0</v>
          </cell>
          <cell r="AA126" t="str">
            <v/>
          </cell>
        </row>
        <row r="127">
          <cell r="J127">
            <v>0</v>
          </cell>
          <cell r="K127">
            <v>0</v>
          </cell>
          <cell r="M127" t="str">
            <v/>
          </cell>
          <cell r="N127">
            <v>0</v>
          </cell>
          <cell r="P127" t="str">
            <v/>
          </cell>
          <cell r="S127">
            <v>0</v>
          </cell>
          <cell r="T127">
            <v>0</v>
          </cell>
          <cell r="V127" t="str">
            <v/>
          </cell>
          <cell r="W127">
            <v>0</v>
          </cell>
          <cell r="Y127" t="str">
            <v/>
          </cell>
          <cell r="Z127">
            <v>0</v>
          </cell>
          <cell r="AA127" t="str">
            <v/>
          </cell>
        </row>
        <row r="128">
          <cell r="J128">
            <v>17506.46</v>
          </cell>
          <cell r="K128">
            <v>15043</v>
          </cell>
          <cell r="M128">
            <v>0.163761217842186</v>
          </cell>
          <cell r="N128">
            <v>16628.66</v>
          </cell>
          <cell r="P128">
            <v>5.2788378618601597E-2</v>
          </cell>
          <cell r="S128">
            <v>17506.46</v>
          </cell>
          <cell r="T128">
            <v>15043</v>
          </cell>
          <cell r="V128">
            <v>0.163761217842186</v>
          </cell>
          <cell r="W128">
            <v>16628.66</v>
          </cell>
          <cell r="Y128">
            <v>5.2788378618601597E-2</v>
          </cell>
          <cell r="Z128">
            <v>171869</v>
          </cell>
          <cell r="AA128">
            <v>0.101859323089097</v>
          </cell>
        </row>
        <row r="129">
          <cell r="J129">
            <v>174234.68</v>
          </cell>
          <cell r="K129">
            <v>187845.32</v>
          </cell>
          <cell r="M129">
            <v>-7.2456636130194693E-2</v>
          </cell>
          <cell r="N129">
            <v>199415.28</v>
          </cell>
          <cell r="P129">
            <v>-0.12627216931420701</v>
          </cell>
          <cell r="S129">
            <v>174234.68</v>
          </cell>
          <cell r="T129">
            <v>187845.32</v>
          </cell>
          <cell r="V129">
            <v>-7.2456636130194693E-2</v>
          </cell>
          <cell r="W129">
            <v>199415.28</v>
          </cell>
          <cell r="Y129">
            <v>-0.12627216931420701</v>
          </cell>
          <cell r="Z129">
            <v>2066285.92</v>
          </cell>
          <cell r="AA129">
            <v>8.4322638175843595E-2</v>
          </cell>
        </row>
        <row r="130">
          <cell r="J130">
            <v>-1021850.57</v>
          </cell>
          <cell r="K130">
            <v>-911715.03</v>
          </cell>
          <cell r="M130">
            <v>-0.120800399659968</v>
          </cell>
          <cell r="N130">
            <v>-1559193.19</v>
          </cell>
          <cell r="P130">
            <v>0.34462863450551601</v>
          </cell>
          <cell r="S130">
            <v>-1021850.57</v>
          </cell>
          <cell r="T130">
            <v>-911715.03</v>
          </cell>
          <cell r="V130">
            <v>-0.120800399659968</v>
          </cell>
          <cell r="W130">
            <v>-1559193.19</v>
          </cell>
          <cell r="Y130">
            <v>0.34462863450551601</v>
          </cell>
          <cell r="Z130">
            <v>-5165814.1500000004</v>
          </cell>
          <cell r="AA130">
            <v>1.8021898310066</v>
          </cell>
        </row>
        <row r="131">
          <cell r="J131">
            <v>0</v>
          </cell>
          <cell r="K131">
            <v>0</v>
          </cell>
          <cell r="M131" t="str">
            <v/>
          </cell>
          <cell r="N131">
            <v>0</v>
          </cell>
          <cell r="P131" t="str">
            <v/>
          </cell>
          <cell r="S131">
            <v>0</v>
          </cell>
          <cell r="T131">
            <v>0</v>
          </cell>
          <cell r="V131" t="str">
            <v/>
          </cell>
          <cell r="W131">
            <v>0</v>
          </cell>
          <cell r="Y131" t="str">
            <v/>
          </cell>
          <cell r="Z131">
            <v>0</v>
          </cell>
          <cell r="AA131" t="str">
            <v/>
          </cell>
        </row>
        <row r="132">
          <cell r="J132">
            <v>-1021850.57</v>
          </cell>
          <cell r="K132">
            <v>-911715.03</v>
          </cell>
          <cell r="M132">
            <v>-0.120800399659968</v>
          </cell>
          <cell r="N132">
            <v>-1559193.19</v>
          </cell>
          <cell r="P132">
            <v>0.34462863450551601</v>
          </cell>
          <cell r="S132">
            <v>-1021850.57</v>
          </cell>
          <cell r="T132">
            <v>-911715.03</v>
          </cell>
          <cell r="V132">
            <v>-0.120800399659968</v>
          </cell>
          <cell r="W132">
            <v>-1559193.19</v>
          </cell>
          <cell r="Y132">
            <v>0.34462863450551601</v>
          </cell>
          <cell r="Z132">
            <v>-5165814.1500000004</v>
          </cell>
          <cell r="AA132">
            <v>1.8021898310066</v>
          </cell>
        </row>
        <row r="133">
          <cell r="J133">
            <v>0</v>
          </cell>
          <cell r="K133">
            <v>0</v>
          </cell>
          <cell r="M133" t="str">
            <v/>
          </cell>
          <cell r="N133">
            <v>0</v>
          </cell>
          <cell r="P133" t="str">
            <v/>
          </cell>
          <cell r="S133">
            <v>0</v>
          </cell>
          <cell r="T133">
            <v>0</v>
          </cell>
          <cell r="V133" t="str">
            <v/>
          </cell>
          <cell r="W133">
            <v>0</v>
          </cell>
          <cell r="Y133" t="str">
            <v/>
          </cell>
        </row>
        <row r="134">
          <cell r="J134">
            <v>-1021850.57</v>
          </cell>
          <cell r="K134">
            <v>0</v>
          </cell>
          <cell r="M134" t="str">
            <v/>
          </cell>
          <cell r="N134">
            <v>0</v>
          </cell>
          <cell r="P134" t="str">
            <v/>
          </cell>
          <cell r="S134">
            <v>-1021850.57</v>
          </cell>
          <cell r="T134">
            <v>0</v>
          </cell>
          <cell r="V134" t="str">
            <v/>
          </cell>
          <cell r="W134">
            <v>0</v>
          </cell>
          <cell r="Y134" t="str">
            <v/>
          </cell>
          <cell r="Z134">
            <v>0</v>
          </cell>
        </row>
        <row r="135">
          <cell r="J135">
            <v>0</v>
          </cell>
          <cell r="K135">
            <v>0</v>
          </cell>
          <cell r="M135" t="str">
            <v/>
          </cell>
          <cell r="N135">
            <v>0</v>
          </cell>
          <cell r="P135" t="str">
            <v/>
          </cell>
          <cell r="S135">
            <v>0</v>
          </cell>
          <cell r="T135">
            <v>0</v>
          </cell>
          <cell r="V135" t="str">
            <v/>
          </cell>
          <cell r="W135">
            <v>0</v>
          </cell>
          <cell r="Y135" t="str">
            <v/>
          </cell>
        </row>
        <row r="140">
          <cell r="J140">
            <v>-933880.46695000003</v>
          </cell>
          <cell r="K140">
            <v>-808656.26044999994</v>
          </cell>
          <cell r="M140">
            <v>-0.15485468007174699</v>
          </cell>
          <cell r="N140">
            <v>-1451090.8376</v>
          </cell>
          <cell r="P140">
            <v>0.35642866542071799</v>
          </cell>
          <cell r="S140">
            <v>-933880.46695000003</v>
          </cell>
          <cell r="T140">
            <v>-808656.26044999994</v>
          </cell>
          <cell r="V140">
            <v>-0.15485468007174699</v>
          </cell>
          <cell r="W140">
            <v>-1451090.8376</v>
          </cell>
          <cell r="Y140">
            <v>0.35642866542071799</v>
          </cell>
          <cell r="Z140">
            <v>-4289611.6903999997</v>
          </cell>
          <cell r="AA140">
            <v>1.78229253966274</v>
          </cell>
        </row>
        <row r="141">
          <cell r="J141">
            <v>0</v>
          </cell>
          <cell r="K141">
            <v>0</v>
          </cell>
          <cell r="M141" t="str">
            <v/>
          </cell>
          <cell r="N141">
            <v>0</v>
          </cell>
          <cell r="P141" t="str">
            <v/>
          </cell>
          <cell r="S141">
            <v>0</v>
          </cell>
          <cell r="T141">
            <v>0</v>
          </cell>
          <cell r="V141" t="str">
            <v/>
          </cell>
          <cell r="W141">
            <v>0</v>
          </cell>
          <cell r="Y141" t="str">
            <v/>
          </cell>
          <cell r="Z141">
            <v>0</v>
          </cell>
          <cell r="AA141" t="str">
            <v/>
          </cell>
        </row>
        <row r="142">
          <cell r="J142">
            <v>418282.09</v>
          </cell>
          <cell r="K142">
            <v>384468.78</v>
          </cell>
          <cell r="M142">
            <v>8.7948129364366107E-2</v>
          </cell>
          <cell r="N142">
            <v>717711.92</v>
          </cell>
          <cell r="P142">
            <v>-0.41720058097962198</v>
          </cell>
          <cell r="S142">
            <v>418282.09</v>
          </cell>
          <cell r="T142">
            <v>384468.78</v>
          </cell>
          <cell r="V142">
            <v>8.7948129364366107E-2</v>
          </cell>
          <cell r="W142">
            <v>717711.92</v>
          </cell>
          <cell r="Y142">
            <v>-0.41720058097962198</v>
          </cell>
          <cell r="Z142">
            <v>5239270.87</v>
          </cell>
          <cell r="AA142">
            <v>7.98359352624958E-2</v>
          </cell>
        </row>
        <row r="143">
          <cell r="J143">
            <v>103771.03694999999</v>
          </cell>
          <cell r="K143">
            <v>99829.550449999995</v>
          </cell>
          <cell r="M143">
            <v>3.9482162167745201E-2</v>
          </cell>
          <cell r="N143">
            <v>107941.5876</v>
          </cell>
          <cell r="P143">
            <v>-3.8637106816094197E-2</v>
          </cell>
          <cell r="S143">
            <v>103771.03694999999</v>
          </cell>
          <cell r="T143">
            <v>99829.550449999995</v>
          </cell>
          <cell r="V143">
            <v>3.9482162167745201E-2</v>
          </cell>
          <cell r="W143">
            <v>107941.5876</v>
          </cell>
          <cell r="Y143">
            <v>-3.8637106816094197E-2</v>
          </cell>
          <cell r="Z143">
            <v>1361952.4604</v>
          </cell>
          <cell r="AA143">
            <v>7.6192848111249697E-2</v>
          </cell>
        </row>
        <row r="144">
          <cell r="J144">
            <v>3.84</v>
          </cell>
          <cell r="K144">
            <v>0</v>
          </cell>
          <cell r="M144" t="str">
            <v/>
          </cell>
          <cell r="N144">
            <v>420</v>
          </cell>
          <cell r="P144">
            <v>-0.99085714285714299</v>
          </cell>
          <cell r="S144">
            <v>3.84</v>
          </cell>
          <cell r="T144">
            <v>0</v>
          </cell>
          <cell r="V144" t="str">
            <v/>
          </cell>
          <cell r="W144">
            <v>420</v>
          </cell>
          <cell r="Y144">
            <v>-0.99085714285714299</v>
          </cell>
          <cell r="Z144">
            <v>0</v>
          </cell>
          <cell r="AA144" t="str">
            <v/>
          </cell>
        </row>
        <row r="145">
          <cell r="J145">
            <v>1293.29</v>
          </cell>
          <cell r="K145">
            <v>0</v>
          </cell>
          <cell r="M145" t="str">
            <v/>
          </cell>
          <cell r="N145">
            <v>23562.07</v>
          </cell>
          <cell r="P145">
            <v>-0.94511135906140697</v>
          </cell>
          <cell r="S145">
            <v>1293.29</v>
          </cell>
          <cell r="T145">
            <v>0</v>
          </cell>
          <cell r="V145" t="str">
            <v/>
          </cell>
          <cell r="W145">
            <v>23562.07</v>
          </cell>
          <cell r="Y145">
            <v>-0.94511135906140697</v>
          </cell>
          <cell r="Z145">
            <v>0</v>
          </cell>
          <cell r="AA145" t="str">
            <v/>
          </cell>
        </row>
        <row r="146">
          <cell r="J146">
            <v>174234.68</v>
          </cell>
          <cell r="K146">
            <v>187845.32</v>
          </cell>
          <cell r="M146">
            <v>-7.2456636130194693E-2</v>
          </cell>
          <cell r="N146">
            <v>199415.28</v>
          </cell>
          <cell r="P146">
            <v>-0.12627216931420701</v>
          </cell>
          <cell r="S146">
            <v>174234.68</v>
          </cell>
          <cell r="T146">
            <v>187845.32</v>
          </cell>
          <cell r="V146">
            <v>-7.2456636130194693E-2</v>
          </cell>
          <cell r="W146">
            <v>199415.28</v>
          </cell>
          <cell r="Y146">
            <v>-0.12627216931420701</v>
          </cell>
          <cell r="Z146">
            <v>2066285.92</v>
          </cell>
          <cell r="AA146">
            <v>8.4322638175843595E-2</v>
          </cell>
        </row>
        <row r="147">
          <cell r="J147">
            <v>0</v>
          </cell>
          <cell r="K147">
            <v>0</v>
          </cell>
          <cell r="M147" t="str">
            <v/>
          </cell>
          <cell r="N147">
            <v>0</v>
          </cell>
          <cell r="P147" t="str">
            <v/>
          </cell>
          <cell r="S147">
            <v>0</v>
          </cell>
          <cell r="T147">
            <v>0</v>
          </cell>
          <cell r="V147" t="str">
            <v/>
          </cell>
          <cell r="W147">
            <v>0</v>
          </cell>
          <cell r="Y147" t="str">
            <v/>
          </cell>
          <cell r="Z147">
            <v>0</v>
          </cell>
          <cell r="AA147" t="str">
            <v/>
          </cell>
        </row>
        <row r="148">
          <cell r="J148">
            <v>-587351.47</v>
          </cell>
          <cell r="K148">
            <v>-512203.25</v>
          </cell>
          <cell r="M148">
            <v>-0.14671562509609201</v>
          </cell>
          <cell r="N148">
            <v>-847994.68</v>
          </cell>
          <cell r="P148">
            <v>0.30736420421882799</v>
          </cell>
          <cell r="S148">
            <v>-587351.47</v>
          </cell>
          <cell r="T148">
            <v>-512203.25</v>
          </cell>
          <cell r="V148">
            <v>-0.14671562509609201</v>
          </cell>
          <cell r="W148">
            <v>-847994.68</v>
          </cell>
          <cell r="Y148">
            <v>0.30736420421882799</v>
          </cell>
          <cell r="Z148">
            <v>245325.72000000399</v>
          </cell>
          <cell r="AA148">
            <v>-2.3941699631004401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8">
          <cell r="H158">
            <v>2831815.91</v>
          </cell>
          <cell r="I158">
            <v>2691281.43</v>
          </cell>
          <cell r="J158">
            <v>1.0522184259265699</v>
          </cell>
          <cell r="K158">
            <v>2941734.5</v>
          </cell>
          <cell r="L158">
            <v>-3.7365231294666297E-2</v>
          </cell>
          <cell r="M158">
            <v>-343047.74</v>
          </cell>
          <cell r="N158">
            <v>-251910.2</v>
          </cell>
          <cell r="O158">
            <v>0.63821417314582496</v>
          </cell>
          <cell r="P158">
            <v>-556666.38</v>
          </cell>
          <cell r="Q158">
            <v>0.38374625749807301</v>
          </cell>
          <cell r="R158">
            <v>-587351.47</v>
          </cell>
          <cell r="S158">
            <v>-512203.25</v>
          </cell>
          <cell r="T158">
            <v>0.85328437490390796</v>
          </cell>
          <cell r="U158">
            <v>-847994.68</v>
          </cell>
          <cell r="V158">
            <v>0.30736420421882799</v>
          </cell>
          <cell r="W158">
            <v>2.5475391726702998</v>
          </cell>
          <cell r="X158">
            <v>-0.121140551117251</v>
          </cell>
          <cell r="Y158">
            <v>0.31282051282051299</v>
          </cell>
          <cell r="Z158">
            <v>199.24168341265599</v>
          </cell>
          <cell r="AA158">
            <v>62.326885580369499</v>
          </cell>
          <cell r="AB158">
            <v>3.9706352792525901</v>
          </cell>
          <cell r="AC158">
            <v>0.56916344729471902</v>
          </cell>
          <cell r="AD158">
            <v>0.53898494290128796</v>
          </cell>
          <cell r="AE158">
            <v>5.0071107421836096</v>
          </cell>
          <cell r="AF158">
            <v>0.31116500040032002</v>
          </cell>
          <cell r="AG158">
            <v>0.33181394549054599</v>
          </cell>
          <cell r="AH158">
            <v>5.5028083927558402</v>
          </cell>
          <cell r="AI158">
            <v>2.3047179645233399E-2</v>
          </cell>
          <cell r="AJ158">
            <v>0.55986208157153805</v>
          </cell>
          <cell r="AK158">
            <v>0</v>
          </cell>
        </row>
        <row r="159">
          <cell r="H159">
            <v>2831815.91</v>
          </cell>
          <cell r="I159">
            <v>2691281.43</v>
          </cell>
          <cell r="J159">
            <v>1.0522184259265699</v>
          </cell>
          <cell r="K159">
            <v>2941734.5</v>
          </cell>
          <cell r="L159">
            <v>-3.7365231294666297E-2</v>
          </cell>
          <cell r="M159">
            <v>-343047.74</v>
          </cell>
          <cell r="N159">
            <v>-251910.2</v>
          </cell>
          <cell r="O159">
            <v>0.63821417314582496</v>
          </cell>
          <cell r="P159">
            <v>-556666.38</v>
          </cell>
          <cell r="Q159">
            <v>0.38374625749807301</v>
          </cell>
          <cell r="R159">
            <v>-587351.47</v>
          </cell>
          <cell r="S159">
            <v>-512203.25</v>
          </cell>
          <cell r="T159">
            <v>0.85328437490390796</v>
          </cell>
          <cell r="U159">
            <v>-847994.68</v>
          </cell>
          <cell r="V159">
            <v>0.30736420421882799</v>
          </cell>
          <cell r="W159">
            <v>2.5475391726702998</v>
          </cell>
          <cell r="X159">
            <v>-0.121140551117251</v>
          </cell>
          <cell r="Y159">
            <v>0.31282051282051299</v>
          </cell>
          <cell r="Z159">
            <v>199.24168341265599</v>
          </cell>
          <cell r="AA159">
            <v>62.326885580369499</v>
          </cell>
          <cell r="AB159">
            <v>3.9706352792525901</v>
          </cell>
          <cell r="AC159">
            <v>0.56916344729471902</v>
          </cell>
          <cell r="AD159">
            <v>0.53898494290128796</v>
          </cell>
          <cell r="AE159">
            <v>5.0071107421836096</v>
          </cell>
          <cell r="AF159">
            <v>0.31116500040032002</v>
          </cell>
          <cell r="AG159">
            <v>0.33181394549054599</v>
          </cell>
          <cell r="AH159">
            <v>5.5028083927558402</v>
          </cell>
          <cell r="AI159">
            <v>2.3047179645233399E-2</v>
          </cell>
          <cell r="AJ159">
            <v>0.55986208157153805</v>
          </cell>
          <cell r="AK15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T"/>
      <sheetName val="Sheet1"/>
      <sheetName val="酒店主体 (报送)"/>
      <sheetName val="酒店主体"/>
      <sheetName val="客房主体"/>
      <sheetName val="前厅公共"/>
      <sheetName val="前台"/>
      <sheetName val="预订"/>
      <sheetName val="礼宾"/>
      <sheetName val="管家公共"/>
      <sheetName val="客房"/>
      <sheetName val="公区"/>
      <sheetName val="餐饮"/>
      <sheetName val="中餐"/>
      <sheetName val="中餐厅"/>
      <sheetName val="中厨房"/>
      <sheetName val="西餐"/>
      <sheetName val="西餐厅"/>
      <sheetName val="西厨房"/>
      <sheetName val="特色餐厅"/>
      <sheetName val="餐饮其他"/>
      <sheetName val="餐饮公共"/>
      <sheetName val="出品公共"/>
      <sheetName val="宴会厅"/>
      <sheetName val="新零售"/>
      <sheetName val="水疗及健身"/>
      <sheetName val="康乐"/>
      <sheetName val="温泉"/>
      <sheetName val="其他营运部门"/>
      <sheetName val="行政"/>
      <sheetName val="人力行政"/>
      <sheetName val="财务"/>
      <sheetName val="采购"/>
      <sheetName val="综合办公室"/>
      <sheetName val="营销"/>
      <sheetName val="销售公共"/>
      <sheetName val="销售"/>
      <sheetName val="策划"/>
      <sheetName val="物业保养"/>
      <sheetName val="技术支持公共"/>
      <sheetName val="工程"/>
      <sheetName val="保安"/>
      <sheetName val="非经营"/>
      <sheetName val="业主代表部"/>
      <sheetName val="其他主体"/>
      <sheetName val="大润发"/>
      <sheetName val="商业街"/>
      <sheetName val="样板房"/>
      <sheetName val="其他"/>
    </sheetNames>
    <sheetDataSet>
      <sheetData sheetId="0">
        <row r="1">
          <cell r="B1">
            <v>2026</v>
          </cell>
        </row>
        <row r="2">
          <cell r="B2">
            <v>1</v>
          </cell>
        </row>
        <row r="6">
          <cell r="B6" t="str">
            <v>滁州碧桂园凤凰酒店管理有限公司</v>
          </cell>
        </row>
      </sheetData>
      <sheetData sheetId="1" refreshError="1"/>
      <sheetData sheetId="2" refreshError="1"/>
      <sheetData sheetId="3">
        <row r="5">
          <cell r="J5">
            <v>10323</v>
          </cell>
          <cell r="K5">
            <v>10323</v>
          </cell>
          <cell r="M5">
            <v>0</v>
          </cell>
          <cell r="N5">
            <v>10323</v>
          </cell>
          <cell r="P5">
            <v>0</v>
          </cell>
          <cell r="S5">
            <v>10323</v>
          </cell>
          <cell r="T5">
            <v>10323</v>
          </cell>
          <cell r="V5">
            <v>0</v>
          </cell>
          <cell r="W5">
            <v>10323</v>
          </cell>
          <cell r="Y5">
            <v>0</v>
          </cell>
          <cell r="Z5">
            <v>121545</v>
          </cell>
          <cell r="AA5">
            <v>8.4931506849315094E-2</v>
          </cell>
        </row>
        <row r="6">
          <cell r="J6">
            <v>10323</v>
          </cell>
          <cell r="K6">
            <v>10323</v>
          </cell>
          <cell r="M6">
            <v>0</v>
          </cell>
          <cell r="N6">
            <v>10323</v>
          </cell>
          <cell r="P6">
            <v>0</v>
          </cell>
          <cell r="S6">
            <v>10323</v>
          </cell>
          <cell r="T6">
            <v>10323</v>
          </cell>
          <cell r="V6">
            <v>0</v>
          </cell>
          <cell r="W6">
            <v>10323</v>
          </cell>
          <cell r="Y6">
            <v>0</v>
          </cell>
          <cell r="Z6">
            <v>121545</v>
          </cell>
          <cell r="AA6">
            <v>8.4931506849315094E-2</v>
          </cell>
        </row>
        <row r="7">
          <cell r="J7">
            <v>331.5</v>
          </cell>
          <cell r="K7">
            <v>1850</v>
          </cell>
          <cell r="M7">
            <v>-0.82081081081081098</v>
          </cell>
          <cell r="N7">
            <v>2026.5</v>
          </cell>
          <cell r="P7">
            <v>-0.83641746854182097</v>
          </cell>
          <cell r="S7">
            <v>331.5</v>
          </cell>
          <cell r="T7">
            <v>1850</v>
          </cell>
          <cell r="V7">
            <v>-0.82081081081081098</v>
          </cell>
          <cell r="W7">
            <v>2026.5</v>
          </cell>
          <cell r="Y7">
            <v>-0.83641746854182097</v>
          </cell>
          <cell r="Z7">
            <v>33615</v>
          </cell>
          <cell r="AA7">
            <v>9.8616688978134803E-3</v>
          </cell>
        </row>
        <row r="8">
          <cell r="J8">
            <v>265.5</v>
          </cell>
          <cell r="K8">
            <v>1850</v>
          </cell>
          <cell r="M8">
            <v>-0.85648648648648695</v>
          </cell>
          <cell r="N8">
            <v>1928.5</v>
          </cell>
          <cell r="P8">
            <v>-0.86232823437905104</v>
          </cell>
          <cell r="S8">
            <v>265.5</v>
          </cell>
          <cell r="T8">
            <v>1850</v>
          </cell>
          <cell r="V8">
            <v>-0.85648648648648695</v>
          </cell>
          <cell r="W8">
            <v>1928.5</v>
          </cell>
          <cell r="Y8">
            <v>-0.86232823437905104</v>
          </cell>
          <cell r="Z8">
            <v>33615</v>
          </cell>
          <cell r="AA8">
            <v>7.8982597054886201E-3</v>
          </cell>
        </row>
        <row r="9">
          <cell r="J9">
            <v>3.2112757919209499E-2</v>
          </cell>
          <cell r="K9">
            <v>0.17921146953405001</v>
          </cell>
          <cell r="M9">
            <v>-0.82081081081081098</v>
          </cell>
          <cell r="N9">
            <v>0.19630921243824501</v>
          </cell>
          <cell r="P9">
            <v>-0.83641746854182097</v>
          </cell>
          <cell r="S9">
            <v>3.2112757919209499E-2</v>
          </cell>
          <cell r="T9">
            <v>0.17921146953405001</v>
          </cell>
          <cell r="V9">
            <v>-0.82081081081081098</v>
          </cell>
          <cell r="W9">
            <v>0.19630921243824501</v>
          </cell>
          <cell r="Y9">
            <v>-0.83641746854182097</v>
          </cell>
          <cell r="Z9">
            <v>0.27656423546834502</v>
          </cell>
          <cell r="AA9">
            <v>0.116113198312965</v>
          </cell>
        </row>
        <row r="10">
          <cell r="J10">
            <v>2.57192676547515E-2</v>
          </cell>
          <cell r="K10">
            <v>0.17921146953405001</v>
          </cell>
          <cell r="M10">
            <v>-0.85648648648648695</v>
          </cell>
          <cell r="N10">
            <v>0.186815848106171</v>
          </cell>
          <cell r="P10">
            <v>-0.86232823437905104</v>
          </cell>
          <cell r="S10">
            <v>2.57192676547515E-2</v>
          </cell>
          <cell r="T10">
            <v>0.17921146953405001</v>
          </cell>
          <cell r="V10">
            <v>-0.85648648648648695</v>
          </cell>
          <cell r="W10">
            <v>0.186815848106171</v>
          </cell>
          <cell r="Y10">
            <v>-0.86232823437905104</v>
          </cell>
          <cell r="Z10">
            <v>0.27656423546834502</v>
          </cell>
          <cell r="AA10">
            <v>9.2995638467849903E-2</v>
          </cell>
        </row>
        <row r="11">
          <cell r="J11">
            <v>165.84337858220201</v>
          </cell>
          <cell r="K11">
            <v>158.873021621622</v>
          </cell>
          <cell r="M11">
            <v>4.38737608779253E-2</v>
          </cell>
          <cell r="N11">
            <v>167.501544534912</v>
          </cell>
          <cell r="P11">
            <v>-9.8994069416756501E-3</v>
          </cell>
          <cell r="S11">
            <v>165.84337858220201</v>
          </cell>
          <cell r="T11">
            <v>158.873021621622</v>
          </cell>
          <cell r="V11">
            <v>4.38737608779253E-2</v>
          </cell>
          <cell r="W11">
            <v>167.501544534912</v>
          </cell>
          <cell r="Y11">
            <v>-9.8994069416756501E-3</v>
          </cell>
          <cell r="Z11">
            <v>163.75915989885499</v>
          </cell>
          <cell r="AA11">
            <v>1.0127273410820801</v>
          </cell>
        </row>
        <row r="12">
          <cell r="J12">
            <v>207.06998116760801</v>
          </cell>
          <cell r="K12">
            <v>158.873021621622</v>
          </cell>
          <cell r="M12">
            <v>0.30336780313006501</v>
          </cell>
          <cell r="N12">
            <v>176.01341975628699</v>
          </cell>
          <cell r="P12">
            <v>0.176444281659448</v>
          </cell>
          <cell r="S12">
            <v>207.06998116760801</v>
          </cell>
          <cell r="T12">
            <v>158.873021621622</v>
          </cell>
          <cell r="V12">
            <v>0.30336780313006501</v>
          </cell>
          <cell r="W12">
            <v>176.01341975628699</v>
          </cell>
          <cell r="Y12">
            <v>0.176444281659448</v>
          </cell>
          <cell r="Z12">
            <v>163.75915989885499</v>
          </cell>
          <cell r="AA12">
            <v>1.26447877050361</v>
          </cell>
        </row>
        <row r="13">
          <cell r="J13">
            <v>5.3256882689140799</v>
          </cell>
          <cell r="K13">
            <v>28.471867674125701</v>
          </cell>
          <cell r="M13">
            <v>-0.81294910717241498</v>
          </cell>
          <cell r="N13">
            <v>32.882096289838202</v>
          </cell>
          <cell r="P13">
            <v>-0.83803683858927502</v>
          </cell>
          <cell r="S13">
            <v>5.3256882689140799</v>
          </cell>
          <cell r="T13">
            <v>28.471867674125701</v>
          </cell>
          <cell r="V13">
            <v>-0.81294910717241498</v>
          </cell>
          <cell r="W13">
            <v>32.882096289838202</v>
          </cell>
          <cell r="Y13">
            <v>-0.83803683858927502</v>
          </cell>
          <cell r="Z13">
            <v>45.289926858365199</v>
          </cell>
          <cell r="AA13">
            <v>0.11759101059202499</v>
          </cell>
        </row>
        <row r="16">
          <cell r="J16">
            <v>129030.87</v>
          </cell>
          <cell r="K16">
            <v>631295.71</v>
          </cell>
          <cell r="M16">
            <v>-0.79560946168951496</v>
          </cell>
          <cell r="N16">
            <v>808427.54</v>
          </cell>
          <cell r="P16">
            <v>-0.84039278275947904</v>
          </cell>
          <cell r="S16">
            <v>129030.87</v>
          </cell>
          <cell r="T16">
            <v>631295.71</v>
          </cell>
          <cell r="V16">
            <v>-0.79560946168951496</v>
          </cell>
          <cell r="W16">
            <v>808427.54</v>
          </cell>
          <cell r="Y16">
            <v>-0.84039278275947904</v>
          </cell>
          <cell r="Z16">
            <v>11217170.33</v>
          </cell>
          <cell r="AA16">
            <v>1.1502978576951E-2</v>
          </cell>
        </row>
        <row r="17">
          <cell r="J17">
            <v>41765.65</v>
          </cell>
          <cell r="K17">
            <v>151698.16</v>
          </cell>
          <cell r="M17">
            <v>-0.72467925781037801</v>
          </cell>
          <cell r="N17">
            <v>183232.44</v>
          </cell>
          <cell r="P17">
            <v>-0.77206192309615096</v>
          </cell>
          <cell r="S17">
            <v>41765.65</v>
          </cell>
          <cell r="T17">
            <v>151698.16</v>
          </cell>
          <cell r="V17">
            <v>-0.72467925781037801</v>
          </cell>
          <cell r="W17">
            <v>183232.44</v>
          </cell>
          <cell r="Y17">
            <v>-0.77206192309615096</v>
          </cell>
          <cell r="Z17">
            <v>2538457.0499999998</v>
          </cell>
          <cell r="AA17">
            <v>1.6453163940670201E-2</v>
          </cell>
        </row>
        <row r="18">
          <cell r="J18">
            <v>162238.85999999999</v>
          </cell>
          <cell r="K18">
            <v>283373.71000000002</v>
          </cell>
          <cell r="M18">
            <v>-0.42747384716810899</v>
          </cell>
          <cell r="N18">
            <v>270302</v>
          </cell>
          <cell r="P18">
            <v>-0.39978668304341097</v>
          </cell>
          <cell r="S18">
            <v>162238.85999999999</v>
          </cell>
          <cell r="T18">
            <v>283373.71000000002</v>
          </cell>
          <cell r="V18">
            <v>-0.42747384716810899</v>
          </cell>
          <cell r="W18">
            <v>270302</v>
          </cell>
          <cell r="Y18">
            <v>-0.39978668304341097</v>
          </cell>
          <cell r="Z18">
            <v>3613314.95</v>
          </cell>
          <cell r="AA18">
            <v>4.4900281941932602E-2</v>
          </cell>
        </row>
        <row r="19">
          <cell r="J19">
            <v>286981.8</v>
          </cell>
          <cell r="K19">
            <v>322951.76</v>
          </cell>
          <cell r="M19">
            <v>-0.111378739660685</v>
          </cell>
          <cell r="N19">
            <v>330905.03000000003</v>
          </cell>
          <cell r="P19">
            <v>-0.13273666465571701</v>
          </cell>
          <cell r="S19">
            <v>286981.8</v>
          </cell>
          <cell r="T19">
            <v>322951.76</v>
          </cell>
          <cell r="V19">
            <v>-0.111378739660685</v>
          </cell>
          <cell r="W19">
            <v>330905.03000000003</v>
          </cell>
          <cell r="Y19">
            <v>-0.13273666465571701</v>
          </cell>
          <cell r="Z19">
            <v>4305398.0199999996</v>
          </cell>
          <cell r="AA19">
            <v>6.6656276299397799E-2</v>
          </cell>
        </row>
        <row r="20">
          <cell r="J20">
            <v>-361955.44</v>
          </cell>
          <cell r="K20">
            <v>-126727.92</v>
          </cell>
          <cell r="M20">
            <v>-1.8561617676672999</v>
          </cell>
          <cell r="N20">
            <v>23988.070000000102</v>
          </cell>
          <cell r="P20">
            <v>-16.088977145722801</v>
          </cell>
          <cell r="S20">
            <v>-361955.44</v>
          </cell>
          <cell r="T20">
            <v>-126727.92</v>
          </cell>
          <cell r="V20">
            <v>-1.8561617676672999</v>
          </cell>
          <cell r="W20">
            <v>23988.070000000102</v>
          </cell>
          <cell r="Y20">
            <v>-16.088977145722801</v>
          </cell>
          <cell r="Z20">
            <v>760000.30999999901</v>
          </cell>
          <cell r="AA20">
            <v>-0.47625696363202902</v>
          </cell>
        </row>
        <row r="21">
          <cell r="J21">
            <v>-2.8051848367758798</v>
          </cell>
          <cell r="K21">
            <v>-0.20074256484334399</v>
          </cell>
          <cell r="M21">
            <v>-12.974041025952801</v>
          </cell>
          <cell r="N21">
            <v>2.96725047244185E-2</v>
          </cell>
          <cell r="P21">
            <v>-95.538188226064904</v>
          </cell>
          <cell r="S21">
            <v>-2.8051848367758798</v>
          </cell>
          <cell r="T21">
            <v>-0.20074256484334399</v>
          </cell>
          <cell r="V21">
            <v>-12.974041025952801</v>
          </cell>
          <cell r="W21">
            <v>2.96725047244185E-2</v>
          </cell>
          <cell r="Y21">
            <v>-95.538188226064904</v>
          </cell>
          <cell r="Z21">
            <v>6.7753300310275197E-2</v>
          </cell>
          <cell r="AA21">
            <v>-41.402925376765097</v>
          </cell>
        </row>
        <row r="22">
          <cell r="J22">
            <v>3136.08</v>
          </cell>
          <cell r="K22">
            <v>9469.44</v>
          </cell>
          <cell r="M22">
            <v>-0.66882096512570999</v>
          </cell>
          <cell r="N22">
            <v>24916.31</v>
          </cell>
          <cell r="P22">
            <v>-0.87413545585201002</v>
          </cell>
          <cell r="S22">
            <v>3136.08</v>
          </cell>
          <cell r="T22">
            <v>9469.44</v>
          </cell>
          <cell r="V22">
            <v>-0.66882096512570999</v>
          </cell>
          <cell r="W22">
            <v>24916.31</v>
          </cell>
          <cell r="Y22">
            <v>-0.87413545585201002</v>
          </cell>
          <cell r="Z22">
            <v>168257.56</v>
          </cell>
          <cell r="AA22">
            <v>1.86385681570564E-2</v>
          </cell>
        </row>
        <row r="23">
          <cell r="J23">
            <v>-146465.9</v>
          </cell>
          <cell r="K23">
            <v>-168938.87</v>
          </cell>
          <cell r="M23">
            <v>0.13302427085016</v>
          </cell>
          <cell r="N23">
            <v>-167561.85999999999</v>
          </cell>
          <cell r="P23">
            <v>0.12589953346185101</v>
          </cell>
          <cell r="S23">
            <v>-146465.9</v>
          </cell>
          <cell r="T23">
            <v>-168938.87</v>
          </cell>
          <cell r="V23">
            <v>0.13302427085016</v>
          </cell>
          <cell r="W23">
            <v>-167561.85999999999</v>
          </cell>
          <cell r="Y23">
            <v>0.12589953346185101</v>
          </cell>
          <cell r="Z23">
            <v>-2136515.11</v>
          </cell>
          <cell r="AA23">
            <v>1.93144635424554</v>
          </cell>
        </row>
        <row r="24">
          <cell r="J24">
            <v>-511557.42</v>
          </cell>
          <cell r="K24">
            <v>-305136.23</v>
          </cell>
          <cell r="M24">
            <v>-0.67648862935745102</v>
          </cell>
          <cell r="N24">
            <v>-168490.1</v>
          </cell>
          <cell r="P24">
            <v>-2.0361274638687998</v>
          </cell>
          <cell r="S24">
            <v>-511557.42</v>
          </cell>
          <cell r="T24">
            <v>-305136.23</v>
          </cell>
          <cell r="V24">
            <v>-0.67648862935745102</v>
          </cell>
          <cell r="W24">
            <v>-168490.1</v>
          </cell>
          <cell r="Y24">
            <v>-2.0361274638687998</v>
          </cell>
          <cell r="Z24">
            <v>-1544772.36</v>
          </cell>
          <cell r="AA24">
            <v>1.66884608163238</v>
          </cell>
        </row>
        <row r="25">
          <cell r="J25">
            <v>0</v>
          </cell>
          <cell r="K25">
            <v>0</v>
          </cell>
          <cell r="M25" t="str">
            <v/>
          </cell>
          <cell r="N25">
            <v>30026.003349999999</v>
          </cell>
          <cell r="P25">
            <v>-1</v>
          </cell>
          <cell r="S25">
            <v>0</v>
          </cell>
          <cell r="T25">
            <v>0</v>
          </cell>
          <cell r="V25" t="str">
            <v/>
          </cell>
          <cell r="W25">
            <v>30026.003349999999</v>
          </cell>
          <cell r="Y25">
            <v>-1</v>
          </cell>
          <cell r="Z25">
            <v>0</v>
          </cell>
          <cell r="AA25" t="str">
            <v/>
          </cell>
        </row>
        <row r="26">
          <cell r="J26">
            <v>-511557.42</v>
          </cell>
          <cell r="K26">
            <v>-305136.23</v>
          </cell>
          <cell r="M26">
            <v>-0.67648862935745102</v>
          </cell>
          <cell r="N26">
            <v>-198516.10334999999</v>
          </cell>
          <cell r="P26">
            <v>-1.57690641397531</v>
          </cell>
          <cell r="S26">
            <v>-511557.42</v>
          </cell>
          <cell r="T26">
            <v>-305136.23</v>
          </cell>
          <cell r="V26">
            <v>-0.67648862935745102</v>
          </cell>
          <cell r="W26">
            <v>-198516.10334999999</v>
          </cell>
          <cell r="Y26">
            <v>-1.57690641397531</v>
          </cell>
          <cell r="Z26">
            <v>-1544772.36</v>
          </cell>
          <cell r="AA26">
            <v>1.66884608163238</v>
          </cell>
        </row>
        <row r="27">
          <cell r="J27">
            <v>63290.1</v>
          </cell>
          <cell r="K27">
            <v>63658.7</v>
          </cell>
          <cell r="M27">
            <v>-5.7902533353648604E-3</v>
          </cell>
          <cell r="N27">
            <v>71793.600000000006</v>
          </cell>
          <cell r="P27">
            <v>-0.118443705288494</v>
          </cell>
          <cell r="S27">
            <v>63290.1</v>
          </cell>
          <cell r="T27">
            <v>63658.7</v>
          </cell>
          <cell r="V27">
            <v>-5.7902533353648604E-3</v>
          </cell>
          <cell r="W27">
            <v>71793.600000000006</v>
          </cell>
          <cell r="Y27">
            <v>-0.118443705288494</v>
          </cell>
          <cell r="Z27">
            <v>763904.68</v>
          </cell>
          <cell r="AA27">
            <v>8.2850781854092101E-2</v>
          </cell>
        </row>
        <row r="28">
          <cell r="J28">
            <v>0</v>
          </cell>
          <cell r="K28">
            <v>0</v>
          </cell>
          <cell r="M28" t="str">
            <v/>
          </cell>
          <cell r="N28">
            <v>0</v>
          </cell>
          <cell r="P28" t="str">
            <v/>
          </cell>
          <cell r="S28">
            <v>0</v>
          </cell>
          <cell r="T28">
            <v>0</v>
          </cell>
          <cell r="V28" t="str">
            <v/>
          </cell>
          <cell r="W28">
            <v>0</v>
          </cell>
          <cell r="Y28" t="str">
            <v/>
          </cell>
          <cell r="Z28">
            <v>0</v>
          </cell>
          <cell r="AA28" t="str">
            <v/>
          </cell>
        </row>
        <row r="29">
          <cell r="J29">
            <v>-574847.52</v>
          </cell>
          <cell r="K29">
            <v>-368794.93</v>
          </cell>
          <cell r="M29">
            <v>-0.55871860819778596</v>
          </cell>
          <cell r="N29">
            <v>-270309.70335000003</v>
          </cell>
          <cell r="P29">
            <v>-1.1266255442398301</v>
          </cell>
          <cell r="S29">
            <v>-574847.52</v>
          </cell>
          <cell r="T29">
            <v>-368794.93</v>
          </cell>
          <cell r="V29">
            <v>-0.55871860819778596</v>
          </cell>
          <cell r="W29">
            <v>-270309.70335000003</v>
          </cell>
          <cell r="Y29">
            <v>-1.1266255442398301</v>
          </cell>
          <cell r="Z29">
            <v>-2308677.04</v>
          </cell>
          <cell r="AA29">
            <v>1.7510056582015501</v>
          </cell>
        </row>
        <row r="31">
          <cell r="J31">
            <v>249064.22</v>
          </cell>
          <cell r="K31">
            <v>355399.96</v>
          </cell>
          <cell r="M31">
            <v>-0.29920020249861601</v>
          </cell>
          <cell r="N31">
            <v>376296.4</v>
          </cell>
          <cell r="P31">
            <v>-0.33811692059769899</v>
          </cell>
          <cell r="S31">
            <v>249064.22</v>
          </cell>
          <cell r="T31">
            <v>355399.96</v>
          </cell>
          <cell r="V31">
            <v>-0.29920020249861601</v>
          </cell>
          <cell r="W31">
            <v>376296.4</v>
          </cell>
          <cell r="Y31">
            <v>-0.33811692059769899</v>
          </cell>
          <cell r="Z31">
            <v>4269999.5999999996</v>
          </cell>
          <cell r="AA31">
            <v>5.8328862606919198E-2</v>
          </cell>
        </row>
        <row r="32">
          <cell r="J32">
            <v>21666.67</v>
          </cell>
          <cell r="K32">
            <v>21666.66</v>
          </cell>
          <cell r="M32">
            <v>4.6153860347646101E-7</v>
          </cell>
          <cell r="N32">
            <v>30512.42</v>
          </cell>
          <cell r="P32">
            <v>-0.28990653642025099</v>
          </cell>
          <cell r="S32">
            <v>21666.67</v>
          </cell>
          <cell r="T32">
            <v>21666.66</v>
          </cell>
          <cell r="V32">
            <v>4.6153860347646101E-7</v>
          </cell>
          <cell r="W32">
            <v>30512.42</v>
          </cell>
          <cell r="Y32">
            <v>-0.28990653642025099</v>
          </cell>
          <cell r="Z32">
            <v>260000</v>
          </cell>
          <cell r="AA32">
            <v>8.3333346153846105E-2</v>
          </cell>
        </row>
        <row r="33">
          <cell r="J33">
            <v>1.9302684698630601</v>
          </cell>
          <cell r="K33">
            <v>0.56296907197420998</v>
          </cell>
          <cell r="M33">
            <v>2.4287291539729399</v>
          </cell>
          <cell r="N33">
            <v>0.465467072039629</v>
          </cell>
          <cell r="P33">
            <v>3.1469495605883102</v>
          </cell>
          <cell r="S33">
            <v>1.9302684698630601</v>
          </cell>
          <cell r="T33">
            <v>0.56296907197420998</v>
          </cell>
          <cell r="V33">
            <v>2.4287291539729399</v>
          </cell>
          <cell r="W33">
            <v>0.465467072039629</v>
          </cell>
          <cell r="Y33">
            <v>3.1469495605883102</v>
          </cell>
          <cell r="Z33">
            <v>0.38066637791707703</v>
          </cell>
          <cell r="AA33">
            <v>5.0707616481000297</v>
          </cell>
        </row>
        <row r="34">
          <cell r="J34">
            <v>137540.37</v>
          </cell>
          <cell r="K34">
            <v>114000</v>
          </cell>
          <cell r="M34">
            <v>0.20649447368421001</v>
          </cell>
          <cell r="N34">
            <v>124352.42</v>
          </cell>
          <cell r="P34">
            <v>0.106053022530643</v>
          </cell>
          <cell r="S34">
            <v>137540.37</v>
          </cell>
          <cell r="T34">
            <v>114000</v>
          </cell>
          <cell r="V34">
            <v>0.20649447368421001</v>
          </cell>
          <cell r="W34">
            <v>124352.42</v>
          </cell>
          <cell r="Y34">
            <v>0.106053022530643</v>
          </cell>
          <cell r="Z34">
            <v>1568000</v>
          </cell>
          <cell r="AA34">
            <v>8.7717072704081606E-2</v>
          </cell>
        </row>
        <row r="35">
          <cell r="J35">
            <v>1.06594933444997</v>
          </cell>
          <cell r="K35">
            <v>0.18058098319724</v>
          </cell>
          <cell r="M35">
            <v>4.90288808697911</v>
          </cell>
          <cell r="N35">
            <v>0.15382011849818999</v>
          </cell>
          <cell r="P35">
            <v>5.9298434096740804</v>
          </cell>
          <cell r="S35">
            <v>1.06594933444997</v>
          </cell>
          <cell r="T35">
            <v>0.18058098319724</v>
          </cell>
          <cell r="V35">
            <v>4.90288808697911</v>
          </cell>
          <cell r="W35">
            <v>0.15382011849818999</v>
          </cell>
          <cell r="Y35">
            <v>5.9298434096740804</v>
          </cell>
          <cell r="Z35">
            <v>0.13978569941176999</v>
          </cell>
          <cell r="AA35">
            <v>7.6255964589766601</v>
          </cell>
        </row>
        <row r="36">
          <cell r="J36">
            <v>16743.95</v>
          </cell>
          <cell r="K36">
            <v>20000</v>
          </cell>
          <cell r="M36">
            <v>-0.16280249999999999</v>
          </cell>
          <cell r="N36">
            <v>12546.82</v>
          </cell>
          <cell r="P36">
            <v>0.33451743150854202</v>
          </cell>
          <cell r="S36">
            <v>16743.95</v>
          </cell>
          <cell r="T36">
            <v>20000</v>
          </cell>
          <cell r="V36">
            <v>-0.16280249999999999</v>
          </cell>
          <cell r="W36">
            <v>12546.82</v>
          </cell>
          <cell r="Y36">
            <v>0.33451743150854202</v>
          </cell>
          <cell r="Z36">
            <v>336000</v>
          </cell>
          <cell r="AA36">
            <v>4.9833184523809498E-2</v>
          </cell>
        </row>
        <row r="37">
          <cell r="J37">
            <v>0.12976700846859399</v>
          </cell>
          <cell r="K37">
            <v>3.16808742451299E-2</v>
          </cell>
          <cell r="M37">
            <v>3.0960677872878399</v>
          </cell>
          <cell r="N37">
            <v>1.5520030403714399E-2</v>
          </cell>
          <cell r="P37">
            <v>7.3612599391259499</v>
          </cell>
          <cell r="S37">
            <v>0.12976700846859399</v>
          </cell>
          <cell r="T37">
            <v>3.16808742451299E-2</v>
          </cell>
          <cell r="V37">
            <v>3.0960677872878399</v>
          </cell>
          <cell r="W37">
            <v>1.5520030403714399E-2</v>
          </cell>
          <cell r="Y37">
            <v>7.3612599391259499</v>
          </cell>
          <cell r="Z37">
            <v>2.9954078445379201E-2</v>
          </cell>
          <cell r="AA37">
            <v>4.3321983250201397</v>
          </cell>
        </row>
        <row r="38">
          <cell r="J38">
            <v>5609.22</v>
          </cell>
          <cell r="K38">
            <v>14764.02</v>
          </cell>
          <cell r="M38">
            <v>-0.62007502021807104</v>
          </cell>
          <cell r="N38">
            <v>13290.2</v>
          </cell>
          <cell r="P38">
            <v>-0.57794314607756103</v>
          </cell>
          <cell r="S38">
            <v>5609.22</v>
          </cell>
          <cell r="T38">
            <v>14764.02</v>
          </cell>
          <cell r="V38">
            <v>-0.62007502021807104</v>
          </cell>
          <cell r="W38">
            <v>13290.2</v>
          </cell>
          <cell r="Y38">
            <v>-0.57794314607756103</v>
          </cell>
          <cell r="Z38">
            <v>256409.25</v>
          </cell>
          <cell r="AA38">
            <v>2.1876043863472201E-2</v>
          </cell>
        </row>
        <row r="39">
          <cell r="J39">
            <v>4.3471922649207899E-2</v>
          </cell>
          <cell r="K39">
            <v>2.33868530486291E-2</v>
          </cell>
          <cell r="M39">
            <v>0.85881882264429299</v>
          </cell>
          <cell r="N39">
            <v>1.64395685975765E-2</v>
          </cell>
          <cell r="P39">
            <v>1.6443469237761199</v>
          </cell>
          <cell r="S39">
            <v>4.3471922649207899E-2</v>
          </cell>
          <cell r="T39">
            <v>2.33868530486291E-2</v>
          </cell>
          <cell r="V39">
            <v>0.85881882264429299</v>
          </cell>
          <cell r="W39">
            <v>1.64395685975765E-2</v>
          </cell>
          <cell r="Y39">
            <v>1.6443469237761199</v>
          </cell>
          <cell r="Z39">
            <v>2.28586392518478E-2</v>
          </cell>
          <cell r="AA39">
            <v>1.9017721120776601</v>
          </cell>
        </row>
        <row r="43">
          <cell r="J43">
            <v>55218.59</v>
          </cell>
          <cell r="K43">
            <v>293915.09000000003</v>
          </cell>
          <cell r="M43">
            <v>-0.812127407272624</v>
          </cell>
          <cell r="N43">
            <v>341966.4</v>
          </cell>
          <cell r="P43">
            <v>-0.83852627041721095</v>
          </cell>
          <cell r="S43">
            <v>55218.59</v>
          </cell>
          <cell r="T43">
            <v>293915.09000000003</v>
          </cell>
          <cell r="V43">
            <v>-0.812127407272624</v>
          </cell>
          <cell r="W43">
            <v>341966.4</v>
          </cell>
          <cell r="Y43">
            <v>-0.83852627041721095</v>
          </cell>
          <cell r="Z43">
            <v>5504764.1600000001</v>
          </cell>
          <cell r="AA43">
            <v>1.00310546274157E-2</v>
          </cell>
        </row>
        <row r="44">
          <cell r="J44">
            <v>48379.16</v>
          </cell>
          <cell r="K44">
            <v>65199.4</v>
          </cell>
          <cell r="M44">
            <v>-0.25798151516731699</v>
          </cell>
          <cell r="N44">
            <v>67826.710000000006</v>
          </cell>
          <cell r="P44">
            <v>-0.286724064900096</v>
          </cell>
          <cell r="S44">
            <v>48379.16</v>
          </cell>
          <cell r="T44">
            <v>65199.4</v>
          </cell>
          <cell r="V44">
            <v>-0.25798151516731699</v>
          </cell>
          <cell r="W44">
            <v>67826.710000000006</v>
          </cell>
          <cell r="Y44">
            <v>-0.286724064900096</v>
          </cell>
          <cell r="Z44">
            <v>782392.8</v>
          </cell>
          <cell r="AA44">
            <v>6.1834873736056901E-2</v>
          </cell>
        </row>
        <row r="45">
          <cell r="J45">
            <v>19541.38</v>
          </cell>
          <cell r="K45">
            <v>24983.3</v>
          </cell>
          <cell r="M45">
            <v>-0.21782230529994001</v>
          </cell>
          <cell r="N45">
            <v>25728.73</v>
          </cell>
          <cell r="P45">
            <v>-0.24048408141404501</v>
          </cell>
          <cell r="S45">
            <v>19541.38</v>
          </cell>
          <cell r="T45">
            <v>24983.3</v>
          </cell>
          <cell r="V45">
            <v>-0.21782230529994001</v>
          </cell>
          <cell r="W45">
            <v>25728.73</v>
          </cell>
          <cell r="Y45">
            <v>-0.24048408141404501</v>
          </cell>
          <cell r="Z45">
            <v>299799.59999999998</v>
          </cell>
          <cell r="AA45">
            <v>6.5181474558338295E-2</v>
          </cell>
        </row>
        <row r="46">
          <cell r="J46">
            <v>20303.23</v>
          </cell>
          <cell r="K46">
            <v>75062.05</v>
          </cell>
          <cell r="M46">
            <v>-0.72951404871036696</v>
          </cell>
          <cell r="N46">
            <v>51894.32</v>
          </cell>
          <cell r="P46">
            <v>-0.60875814540011297</v>
          </cell>
          <cell r="S46">
            <v>20303.23</v>
          </cell>
          <cell r="T46">
            <v>75062.05</v>
          </cell>
          <cell r="V46">
            <v>-0.72951404871036696</v>
          </cell>
          <cell r="W46">
            <v>51894.32</v>
          </cell>
          <cell r="Y46">
            <v>-0.60875814540011297</v>
          </cell>
          <cell r="Z46">
            <v>1174131.6200000001</v>
          </cell>
          <cell r="AA46">
            <v>1.7292124370179199E-2</v>
          </cell>
        </row>
        <row r="47">
          <cell r="J47">
            <v>88223.77</v>
          </cell>
          <cell r="K47">
            <v>165244.75</v>
          </cell>
          <cell r="M47">
            <v>-0.46610243290634001</v>
          </cell>
          <cell r="N47">
            <v>145449.76</v>
          </cell>
          <cell r="P47">
            <v>-0.39344162547947797</v>
          </cell>
          <cell r="S47">
            <v>88223.77</v>
          </cell>
          <cell r="T47">
            <v>165244.75</v>
          </cell>
          <cell r="V47">
            <v>-0.46610243290634001</v>
          </cell>
          <cell r="W47">
            <v>145449.76</v>
          </cell>
          <cell r="Y47">
            <v>-0.39344162547947797</v>
          </cell>
          <cell r="Z47">
            <v>2256324.02</v>
          </cell>
          <cell r="AA47">
            <v>3.91006651606714E-2</v>
          </cell>
        </row>
        <row r="48">
          <cell r="J48">
            <v>-33005.18</v>
          </cell>
          <cell r="K48">
            <v>128670.34</v>
          </cell>
          <cell r="M48">
            <v>-1.25650961985489</v>
          </cell>
          <cell r="N48">
            <v>196516.64</v>
          </cell>
          <cell r="P48">
            <v>-1.16795107019945</v>
          </cell>
          <cell r="S48">
            <v>-33005.18</v>
          </cell>
          <cell r="T48">
            <v>128670.34</v>
          </cell>
          <cell r="V48">
            <v>-1.25650961985489</v>
          </cell>
          <cell r="W48">
            <v>196516.64</v>
          </cell>
          <cell r="Y48">
            <v>-1.16795107019945</v>
          </cell>
          <cell r="Z48">
            <v>3248440.14</v>
          </cell>
          <cell r="AA48">
            <v>-1.0160316514251699E-2</v>
          </cell>
        </row>
        <row r="49">
          <cell r="J49">
            <v>-0.59771863062783703</v>
          </cell>
          <cell r="K49">
            <v>0.437780652908975</v>
          </cell>
          <cell r="M49">
            <v>-2.3653381588613001</v>
          </cell>
          <cell r="N49">
            <v>0.574666516944355</v>
          </cell>
          <cell r="P49">
            <v>-2.0401138973713899</v>
          </cell>
          <cell r="S49">
            <v>-0.59771863062783703</v>
          </cell>
          <cell r="T49">
            <v>0.437780652908975</v>
          </cell>
          <cell r="V49">
            <v>-2.3653381588613001</v>
          </cell>
          <cell r="W49">
            <v>0.574666516944355</v>
          </cell>
          <cell r="Y49">
            <v>-2.0401138973713899</v>
          </cell>
          <cell r="Z49">
            <v>0.59011431654140101</v>
          </cell>
          <cell r="AA49">
            <v>-1.0128861711591799</v>
          </cell>
        </row>
        <row r="52">
          <cell r="J52">
            <v>59674.53</v>
          </cell>
          <cell r="K52">
            <v>277358.49</v>
          </cell>
          <cell r="M52">
            <v>-0.78484693221397295</v>
          </cell>
          <cell r="N52">
            <v>365872.63</v>
          </cell>
          <cell r="P52">
            <v>-0.83689807570465202</v>
          </cell>
          <cell r="S52">
            <v>59674.53</v>
          </cell>
          <cell r="T52">
            <v>277358.49</v>
          </cell>
          <cell r="V52">
            <v>-0.78484693221397295</v>
          </cell>
          <cell r="W52">
            <v>365872.63</v>
          </cell>
          <cell r="Y52">
            <v>-0.83689807570465202</v>
          </cell>
          <cell r="Z52">
            <v>4916377.3499999996</v>
          </cell>
          <cell r="AA52">
            <v>1.2137906786182699E-2</v>
          </cell>
        </row>
        <row r="53">
          <cell r="J53">
            <v>350.94</v>
          </cell>
          <cell r="K53">
            <v>0</v>
          </cell>
          <cell r="M53" t="str">
            <v/>
          </cell>
          <cell r="N53">
            <v>333.95</v>
          </cell>
          <cell r="P53">
            <v>5.0875879622698003E-2</v>
          </cell>
          <cell r="S53">
            <v>350.94</v>
          </cell>
          <cell r="T53">
            <v>0</v>
          </cell>
          <cell r="V53" t="str">
            <v/>
          </cell>
          <cell r="W53">
            <v>333.95</v>
          </cell>
          <cell r="Y53">
            <v>5.0875879622698003E-2</v>
          </cell>
          <cell r="Z53">
            <v>0</v>
          </cell>
          <cell r="AA53" t="str">
            <v/>
          </cell>
        </row>
        <row r="54">
          <cell r="J54">
            <v>11223.01</v>
          </cell>
          <cell r="K54">
            <v>17699.12</v>
          </cell>
          <cell r="M54">
            <v>-0.365900112547968</v>
          </cell>
          <cell r="N54">
            <v>11746.91</v>
          </cell>
          <cell r="P54">
            <v>-4.45989626208083E-2</v>
          </cell>
          <cell r="S54">
            <v>11223.01</v>
          </cell>
          <cell r="T54">
            <v>17699.12</v>
          </cell>
          <cell r="V54">
            <v>-0.365900112547968</v>
          </cell>
          <cell r="W54">
            <v>11746.91</v>
          </cell>
          <cell r="Y54">
            <v>-4.45989626208083E-2</v>
          </cell>
          <cell r="Z54">
            <v>132743.38</v>
          </cell>
          <cell r="AA54">
            <v>8.4546664398631399E-2</v>
          </cell>
        </row>
        <row r="55">
          <cell r="J55">
            <v>1226.42</v>
          </cell>
          <cell r="K55">
            <v>37735.85</v>
          </cell>
          <cell r="M55">
            <v>-0.96749987081250299</v>
          </cell>
          <cell r="N55">
            <v>83301.87</v>
          </cell>
          <cell r="P55">
            <v>-0.98527740133564801</v>
          </cell>
          <cell r="S55">
            <v>1226.42</v>
          </cell>
          <cell r="T55">
            <v>37735.85</v>
          </cell>
          <cell r="V55">
            <v>-0.96749987081250299</v>
          </cell>
          <cell r="W55">
            <v>83301.87</v>
          </cell>
          <cell r="Y55">
            <v>-0.98527740133564801</v>
          </cell>
          <cell r="Z55">
            <v>566037.74</v>
          </cell>
          <cell r="AA55">
            <v>2.1666753174443801E-3</v>
          </cell>
        </row>
        <row r="56">
          <cell r="J56">
            <v>72474.899999999994</v>
          </cell>
          <cell r="K56">
            <v>332793.46000000002</v>
          </cell>
          <cell r="M56">
            <v>-0.78222258334043004</v>
          </cell>
          <cell r="N56">
            <v>461255.36</v>
          </cell>
          <cell r="P56">
            <v>-0.84287467141845196</v>
          </cell>
          <cell r="S56">
            <v>72474.899999999994</v>
          </cell>
          <cell r="T56">
            <v>332793.46000000002</v>
          </cell>
          <cell r="V56">
            <v>-0.78222258334043004</v>
          </cell>
          <cell r="W56">
            <v>461255.36</v>
          </cell>
          <cell r="Y56">
            <v>-0.84287467141845196</v>
          </cell>
          <cell r="Z56">
            <v>5615158.4699999997</v>
          </cell>
          <cell r="AA56">
            <v>1.2907008838167301E-2</v>
          </cell>
        </row>
        <row r="57">
          <cell r="J57">
            <v>28401.91</v>
          </cell>
          <cell r="K57">
            <v>123424.53</v>
          </cell>
          <cell r="M57">
            <v>-0.76988439818243604</v>
          </cell>
          <cell r="N57">
            <v>162528.66</v>
          </cell>
          <cell r="P57">
            <v>-0.82524983593662804</v>
          </cell>
          <cell r="S57">
            <v>28401.91</v>
          </cell>
          <cell r="T57">
            <v>123424.53</v>
          </cell>
          <cell r="V57">
            <v>-0.76988439818243604</v>
          </cell>
          <cell r="W57">
            <v>162528.66</v>
          </cell>
          <cell r="Y57">
            <v>-0.82524983593662804</v>
          </cell>
          <cell r="Z57">
            <v>2187787.9300000002</v>
          </cell>
          <cell r="AA57">
            <v>1.29820215252764E-2</v>
          </cell>
        </row>
        <row r="58">
          <cell r="J58">
            <v>1383.74</v>
          </cell>
          <cell r="K58">
            <v>0</v>
          </cell>
          <cell r="M58" t="str">
            <v/>
          </cell>
          <cell r="N58">
            <v>1552.38</v>
          </cell>
          <cell r="P58">
            <v>-0.108633195480488</v>
          </cell>
          <cell r="S58">
            <v>1383.74</v>
          </cell>
          <cell r="T58">
            <v>0</v>
          </cell>
          <cell r="V58" t="str">
            <v/>
          </cell>
          <cell r="W58">
            <v>1552.38</v>
          </cell>
          <cell r="Y58">
            <v>-0.108633195480488</v>
          </cell>
          <cell r="Z58">
            <v>0</v>
          </cell>
          <cell r="AA58" t="str">
            <v/>
          </cell>
        </row>
        <row r="59">
          <cell r="J59">
            <v>8042.8</v>
          </cell>
          <cell r="K59">
            <v>15929.2</v>
          </cell>
          <cell r="M59">
            <v>-0.49509077668683898</v>
          </cell>
          <cell r="N59">
            <v>7510.9</v>
          </cell>
          <cell r="P59">
            <v>7.0817079178260994E-2</v>
          </cell>
          <cell r="S59">
            <v>8042.8</v>
          </cell>
          <cell r="T59">
            <v>15929.2</v>
          </cell>
          <cell r="V59">
            <v>-0.49509077668683898</v>
          </cell>
          <cell r="W59">
            <v>7510.9</v>
          </cell>
          <cell r="Y59">
            <v>7.0817079178260994E-2</v>
          </cell>
          <cell r="Z59">
            <v>119469.02</v>
          </cell>
          <cell r="AA59">
            <v>6.7321218505014893E-2</v>
          </cell>
        </row>
        <row r="60">
          <cell r="J60">
            <v>37828.449999999997</v>
          </cell>
          <cell r="K60">
            <v>139353.73000000001</v>
          </cell>
          <cell r="M60">
            <v>-0.72854368519594004</v>
          </cell>
          <cell r="N60">
            <v>171591.94</v>
          </cell>
          <cell r="P60">
            <v>-0.77954413243419196</v>
          </cell>
          <cell r="S60">
            <v>37828.449999999997</v>
          </cell>
          <cell r="T60">
            <v>139353.73000000001</v>
          </cell>
          <cell r="V60">
            <v>-0.72854368519594004</v>
          </cell>
          <cell r="W60">
            <v>171591.94</v>
          </cell>
          <cell r="Y60">
            <v>-0.77954413243419196</v>
          </cell>
          <cell r="Z60">
            <v>2307256.9500000002</v>
          </cell>
          <cell r="AA60">
            <v>1.63954214115597E-2</v>
          </cell>
        </row>
        <row r="61">
          <cell r="J61">
            <v>53870.38</v>
          </cell>
          <cell r="K61">
            <v>89039.7</v>
          </cell>
          <cell r="M61">
            <v>-0.394984709067978</v>
          </cell>
          <cell r="N61">
            <v>101716.82</v>
          </cell>
          <cell r="P61">
            <v>-0.47038867318109201</v>
          </cell>
          <cell r="S61">
            <v>53870.38</v>
          </cell>
          <cell r="T61">
            <v>89039.7</v>
          </cell>
          <cell r="V61">
            <v>-0.394984709067978</v>
          </cell>
          <cell r="W61">
            <v>101716.82</v>
          </cell>
          <cell r="Y61">
            <v>-0.47038867318109201</v>
          </cell>
          <cell r="Z61">
            <v>1068476.3999999999</v>
          </cell>
          <cell r="AA61">
            <v>5.04179409110019E-2</v>
          </cell>
        </row>
        <row r="62">
          <cell r="J62">
            <v>19604.59</v>
          </cell>
          <cell r="K62">
            <v>29236.62</v>
          </cell>
          <cell r="M62">
            <v>-0.32945087359619502</v>
          </cell>
          <cell r="N62">
            <v>28916.81</v>
          </cell>
          <cell r="P62">
            <v>-0.32203483025963098</v>
          </cell>
          <cell r="S62">
            <v>19604.59</v>
          </cell>
          <cell r="T62">
            <v>29236.62</v>
          </cell>
          <cell r="V62">
            <v>-0.32945087359619502</v>
          </cell>
          <cell r="W62">
            <v>28916.81</v>
          </cell>
          <cell r="Y62">
            <v>-0.32203483025963098</v>
          </cell>
          <cell r="Z62">
            <v>350839.44</v>
          </cell>
          <cell r="AA62">
            <v>5.5879093866983698E-2</v>
          </cell>
        </row>
        <row r="63">
          <cell r="J63">
            <v>4477.32</v>
          </cell>
          <cell r="K63">
            <v>12197.07</v>
          </cell>
          <cell r="M63">
            <v>-0.632918397615165</v>
          </cell>
          <cell r="N63">
            <v>9907.11</v>
          </cell>
          <cell r="P63">
            <v>-0.54807002243843095</v>
          </cell>
          <cell r="S63">
            <v>4477.32</v>
          </cell>
          <cell r="T63">
            <v>12197.07</v>
          </cell>
          <cell r="V63">
            <v>-0.632918397615165</v>
          </cell>
          <cell r="W63">
            <v>9907.11</v>
          </cell>
          <cell r="Y63">
            <v>-0.54807002243843095</v>
          </cell>
          <cell r="Z63">
            <v>168875.19</v>
          </cell>
          <cell r="AA63">
            <v>2.6512597854071999E-2</v>
          </cell>
        </row>
        <row r="64">
          <cell r="J64">
            <v>115780.74</v>
          </cell>
          <cell r="K64">
            <v>269827.12</v>
          </cell>
          <cell r="M64">
            <v>-0.57090769823285403</v>
          </cell>
          <cell r="N64">
            <v>312132.68</v>
          </cell>
          <cell r="P64">
            <v>-0.62906562683535705</v>
          </cell>
          <cell r="S64">
            <v>115780.74</v>
          </cell>
          <cell r="T64">
            <v>269827.12</v>
          </cell>
          <cell r="V64">
            <v>-0.57090769823285403</v>
          </cell>
          <cell r="W64">
            <v>312132.68</v>
          </cell>
          <cell r="Y64">
            <v>-0.62906562683535705</v>
          </cell>
          <cell r="Z64">
            <v>3895447.98</v>
          </cell>
          <cell r="AA64">
            <v>2.9722060362361701E-2</v>
          </cell>
        </row>
        <row r="65">
          <cell r="J65">
            <v>-43305.84</v>
          </cell>
          <cell r="K65">
            <v>62966.34</v>
          </cell>
          <cell r="M65">
            <v>-1.6877617469905399</v>
          </cell>
          <cell r="N65">
            <v>149122.68</v>
          </cell>
          <cell r="P65">
            <v>-1.29040411559127</v>
          </cell>
          <cell r="S65">
            <v>-43305.84</v>
          </cell>
          <cell r="T65">
            <v>62966.34</v>
          </cell>
          <cell r="V65">
            <v>-1.6877617469905399</v>
          </cell>
          <cell r="W65">
            <v>149122.68</v>
          </cell>
          <cell r="Y65">
            <v>-1.29040411559127</v>
          </cell>
          <cell r="Z65">
            <v>1719710.49</v>
          </cell>
          <cell r="AA65">
            <v>-2.5182052590724199E-2</v>
          </cell>
        </row>
        <row r="66">
          <cell r="J66">
            <v>-0.59752879962580197</v>
          </cell>
          <cell r="K66">
            <v>0.189205460948662</v>
          </cell>
          <cell r="M66">
            <v>-4.1580948912882203</v>
          </cell>
          <cell r="N66">
            <v>0.32329744634295399</v>
          </cell>
          <cell r="P66">
            <v>-2.8482323519250499</v>
          </cell>
          <cell r="S66">
            <v>-0.59752879962580197</v>
          </cell>
          <cell r="T66">
            <v>0.189205460948662</v>
          </cell>
          <cell r="V66">
            <v>-4.1580948912882203</v>
          </cell>
          <cell r="W66">
            <v>0.32329744634295399</v>
          </cell>
          <cell r="Y66">
            <v>-2.8482323519250499</v>
          </cell>
          <cell r="Z66">
            <v>0.30626214721950701</v>
          </cell>
          <cell r="AA66">
            <v>-1.95103706106238</v>
          </cell>
        </row>
        <row r="69">
          <cell r="J69">
            <v>0</v>
          </cell>
          <cell r="K69">
            <v>0</v>
          </cell>
          <cell r="M69" t="str">
            <v/>
          </cell>
          <cell r="N69">
            <v>0</v>
          </cell>
          <cell r="P69" t="str">
            <v/>
          </cell>
          <cell r="S69">
            <v>0</v>
          </cell>
          <cell r="T69">
            <v>0</v>
          </cell>
          <cell r="V69" t="str">
            <v/>
          </cell>
          <cell r="W69">
            <v>0</v>
          </cell>
          <cell r="Y69" t="str">
            <v/>
          </cell>
          <cell r="Z69">
            <v>0</v>
          </cell>
          <cell r="AA69" t="str">
            <v/>
          </cell>
        </row>
        <row r="70">
          <cell r="J70">
            <v>0</v>
          </cell>
          <cell r="K70">
            <v>0</v>
          </cell>
          <cell r="M70" t="str">
            <v/>
          </cell>
          <cell r="N70">
            <v>0</v>
          </cell>
          <cell r="P70" t="str">
            <v/>
          </cell>
          <cell r="S70">
            <v>0</v>
          </cell>
          <cell r="T70">
            <v>0</v>
          </cell>
          <cell r="V70" t="str">
            <v/>
          </cell>
          <cell r="W70">
            <v>0</v>
          </cell>
          <cell r="Y70" t="str">
            <v/>
          </cell>
          <cell r="Z70">
            <v>0</v>
          </cell>
          <cell r="AA70" t="str">
            <v/>
          </cell>
        </row>
        <row r="71">
          <cell r="J71">
            <v>0</v>
          </cell>
          <cell r="K71">
            <v>0</v>
          </cell>
          <cell r="M71" t="str">
            <v/>
          </cell>
          <cell r="N71">
            <v>0</v>
          </cell>
          <cell r="P71" t="str">
            <v/>
          </cell>
          <cell r="S71">
            <v>0</v>
          </cell>
          <cell r="T71">
            <v>0</v>
          </cell>
          <cell r="V71" t="str">
            <v/>
          </cell>
          <cell r="W71">
            <v>0</v>
          </cell>
          <cell r="Y71" t="str">
            <v/>
          </cell>
          <cell r="Z71">
            <v>0</v>
          </cell>
          <cell r="AA71" t="str">
            <v/>
          </cell>
        </row>
        <row r="72">
          <cell r="J72">
            <v>0</v>
          </cell>
          <cell r="K72">
            <v>0</v>
          </cell>
          <cell r="M72" t="str">
            <v/>
          </cell>
          <cell r="N72">
            <v>0</v>
          </cell>
          <cell r="P72" t="str">
            <v/>
          </cell>
          <cell r="S72">
            <v>0</v>
          </cell>
          <cell r="T72">
            <v>0</v>
          </cell>
          <cell r="V72" t="str">
            <v/>
          </cell>
          <cell r="W72">
            <v>0</v>
          </cell>
          <cell r="Y72" t="str">
            <v/>
          </cell>
          <cell r="Z72">
            <v>0</v>
          </cell>
          <cell r="AA72" t="str">
            <v/>
          </cell>
        </row>
        <row r="73">
          <cell r="J73">
            <v>0</v>
          </cell>
          <cell r="K73">
            <v>0</v>
          </cell>
          <cell r="M73" t="str">
            <v/>
          </cell>
          <cell r="N73">
            <v>0</v>
          </cell>
          <cell r="P73" t="str">
            <v/>
          </cell>
          <cell r="S73">
            <v>0</v>
          </cell>
          <cell r="T73">
            <v>0</v>
          </cell>
          <cell r="V73" t="str">
            <v/>
          </cell>
          <cell r="W73">
            <v>0</v>
          </cell>
          <cell r="Y73" t="str">
            <v/>
          </cell>
          <cell r="Z73">
            <v>0</v>
          </cell>
          <cell r="AA73" t="str">
            <v/>
          </cell>
        </row>
        <row r="74">
          <cell r="J74">
            <v>0</v>
          </cell>
          <cell r="K74">
            <v>0</v>
          </cell>
          <cell r="M74" t="str">
            <v/>
          </cell>
          <cell r="N74">
            <v>0</v>
          </cell>
          <cell r="P74" t="str">
            <v/>
          </cell>
          <cell r="S74">
            <v>0</v>
          </cell>
          <cell r="T74">
            <v>0</v>
          </cell>
          <cell r="V74" t="str">
            <v/>
          </cell>
          <cell r="W74">
            <v>0</v>
          </cell>
          <cell r="Y74" t="str">
            <v/>
          </cell>
          <cell r="Z74">
            <v>0</v>
          </cell>
          <cell r="AA74" t="str">
            <v/>
          </cell>
        </row>
        <row r="75">
          <cell r="J75">
            <v>1070.3399999999999</v>
          </cell>
          <cell r="K75">
            <v>4587.16</v>
          </cell>
          <cell r="M75">
            <v>-0.76666608533384495</v>
          </cell>
          <cell r="N75">
            <v>4344.6499999999996</v>
          </cell>
          <cell r="P75">
            <v>-0.75364183536073104</v>
          </cell>
          <cell r="S75">
            <v>1070.3399999999999</v>
          </cell>
          <cell r="T75">
            <v>4587.16</v>
          </cell>
          <cell r="V75">
            <v>-0.76666608533384495</v>
          </cell>
          <cell r="W75">
            <v>4344.6499999999996</v>
          </cell>
          <cell r="Y75">
            <v>-0.75364183536073104</v>
          </cell>
          <cell r="Z75">
            <v>97247.7</v>
          </cell>
          <cell r="AA75">
            <v>1.10063271419273E-2</v>
          </cell>
        </row>
        <row r="76">
          <cell r="J76">
            <v>267.04000000000002</v>
          </cell>
          <cell r="K76">
            <v>0</v>
          </cell>
          <cell r="M76" t="str">
            <v/>
          </cell>
          <cell r="N76">
            <v>861.13</v>
          </cell>
          <cell r="P76">
            <v>-0.68989583454298398</v>
          </cell>
          <cell r="S76">
            <v>267.04000000000002</v>
          </cell>
          <cell r="T76">
            <v>0</v>
          </cell>
          <cell r="V76" t="str">
            <v/>
          </cell>
          <cell r="W76">
            <v>861.13</v>
          </cell>
          <cell r="Y76">
            <v>-0.68989583454298398</v>
          </cell>
          <cell r="Z76">
            <v>0</v>
          </cell>
          <cell r="AA76" t="str">
            <v/>
          </cell>
        </row>
        <row r="77">
          <cell r="J77">
            <v>1337.38</v>
          </cell>
          <cell r="K77">
            <v>4587.16</v>
          </cell>
          <cell r="M77">
            <v>-0.70845141656275301</v>
          </cell>
          <cell r="N77">
            <v>5205.78</v>
          </cell>
          <cell r="P77">
            <v>-0.74309709592030404</v>
          </cell>
          <cell r="S77">
            <v>1337.38</v>
          </cell>
          <cell r="T77">
            <v>4587.16</v>
          </cell>
          <cell r="V77">
            <v>-0.70845141656275301</v>
          </cell>
          <cell r="W77">
            <v>5205.78</v>
          </cell>
          <cell r="Y77">
            <v>-0.74309709592030404</v>
          </cell>
          <cell r="Z77">
            <v>97247.7</v>
          </cell>
          <cell r="AA77">
            <v>1.3752304681756001E-2</v>
          </cell>
        </row>
        <row r="78">
          <cell r="J78">
            <v>0</v>
          </cell>
          <cell r="K78">
            <v>0</v>
          </cell>
          <cell r="M78" t="str">
            <v/>
          </cell>
          <cell r="N78">
            <v>0</v>
          </cell>
          <cell r="P78" t="str">
            <v/>
          </cell>
          <cell r="S78">
            <v>0</v>
          </cell>
          <cell r="T78">
            <v>0</v>
          </cell>
          <cell r="V78" t="str">
            <v/>
          </cell>
          <cell r="W78">
            <v>0</v>
          </cell>
          <cell r="Y78" t="str">
            <v/>
          </cell>
          <cell r="Z78">
            <v>0</v>
          </cell>
          <cell r="AA78" t="str">
            <v/>
          </cell>
        </row>
        <row r="79">
          <cell r="J79">
            <v>0</v>
          </cell>
          <cell r="K79">
            <v>0</v>
          </cell>
          <cell r="M79" t="str">
            <v/>
          </cell>
          <cell r="N79">
            <v>0</v>
          </cell>
          <cell r="P79" t="str">
            <v/>
          </cell>
          <cell r="S79">
            <v>0</v>
          </cell>
          <cell r="T79">
            <v>0</v>
          </cell>
          <cell r="V79" t="str">
            <v/>
          </cell>
          <cell r="W79">
            <v>0</v>
          </cell>
          <cell r="Y79" t="str">
            <v/>
          </cell>
          <cell r="Z79">
            <v>0</v>
          </cell>
          <cell r="AA79" t="str">
            <v/>
          </cell>
        </row>
        <row r="80">
          <cell r="J80">
            <v>0</v>
          </cell>
          <cell r="K80">
            <v>0</v>
          </cell>
          <cell r="M80" t="str">
            <v/>
          </cell>
          <cell r="N80">
            <v>0</v>
          </cell>
          <cell r="P80" t="str">
            <v/>
          </cell>
          <cell r="S80">
            <v>0</v>
          </cell>
          <cell r="T80">
            <v>0</v>
          </cell>
          <cell r="V80" t="str">
            <v/>
          </cell>
          <cell r="W80">
            <v>0</v>
          </cell>
          <cell r="Y80" t="str">
            <v/>
          </cell>
          <cell r="Z80">
            <v>0</v>
          </cell>
          <cell r="AA80" t="str">
            <v/>
          </cell>
        </row>
        <row r="81">
          <cell r="J81">
            <v>0</v>
          </cell>
          <cell r="K81">
            <v>0</v>
          </cell>
          <cell r="M81" t="str">
            <v/>
          </cell>
          <cell r="N81">
            <v>-4048</v>
          </cell>
          <cell r="P81">
            <v>1</v>
          </cell>
          <cell r="S81">
            <v>0</v>
          </cell>
          <cell r="T81">
            <v>0</v>
          </cell>
          <cell r="V81" t="str">
            <v/>
          </cell>
          <cell r="W81">
            <v>-4048</v>
          </cell>
          <cell r="Y81">
            <v>1</v>
          </cell>
          <cell r="Z81">
            <v>0</v>
          </cell>
          <cell r="AA81" t="str">
            <v/>
          </cell>
        </row>
        <row r="82">
          <cell r="J82">
            <v>0</v>
          </cell>
          <cell r="K82">
            <v>0</v>
          </cell>
          <cell r="M82" t="str">
            <v/>
          </cell>
          <cell r="N82">
            <v>-4048</v>
          </cell>
          <cell r="P82">
            <v>1</v>
          </cell>
          <cell r="S82">
            <v>0</v>
          </cell>
          <cell r="T82">
            <v>0</v>
          </cell>
          <cell r="V82" t="str">
            <v/>
          </cell>
          <cell r="W82">
            <v>-4048</v>
          </cell>
          <cell r="Y82">
            <v>1</v>
          </cell>
          <cell r="Z82">
            <v>0</v>
          </cell>
          <cell r="AA82" t="str">
            <v/>
          </cell>
        </row>
        <row r="83">
          <cell r="J83">
            <v>1337.38</v>
          </cell>
          <cell r="K83">
            <v>4587.16</v>
          </cell>
          <cell r="M83">
            <v>-0.70845141656275301</v>
          </cell>
          <cell r="N83">
            <v>9253.7800000000007</v>
          </cell>
          <cell r="P83">
            <v>-0.85547743732831305</v>
          </cell>
          <cell r="S83">
            <v>1337.38</v>
          </cell>
          <cell r="T83">
            <v>4587.16</v>
          </cell>
          <cell r="V83">
            <v>-0.70845141656275301</v>
          </cell>
          <cell r="W83">
            <v>9253.7800000000007</v>
          </cell>
          <cell r="Y83">
            <v>-0.85547743732831305</v>
          </cell>
          <cell r="Z83">
            <v>97247.7</v>
          </cell>
          <cell r="AA83">
            <v>1.3752304681756001E-2</v>
          </cell>
        </row>
        <row r="85">
          <cell r="J85">
            <v>129030.87</v>
          </cell>
          <cell r="K85">
            <v>631295.71</v>
          </cell>
          <cell r="M85">
            <v>-0.79560946168951496</v>
          </cell>
          <cell r="N85">
            <v>808427.54</v>
          </cell>
          <cell r="P85">
            <v>-0.84039278275947904</v>
          </cell>
          <cell r="S85">
            <v>129030.87</v>
          </cell>
          <cell r="T85">
            <v>631295.71</v>
          </cell>
          <cell r="V85">
            <v>-0.79560946168951496</v>
          </cell>
          <cell r="W85">
            <v>808427.54</v>
          </cell>
          <cell r="Y85">
            <v>-0.84039278275947904</v>
          </cell>
          <cell r="Z85">
            <v>11217170.33</v>
          </cell>
          <cell r="AA85">
            <v>1.1502978576951E-2</v>
          </cell>
        </row>
        <row r="86">
          <cell r="J86">
            <v>-74973.64</v>
          </cell>
          <cell r="K86">
            <v>196223.84</v>
          </cell>
          <cell r="M86">
            <v>-1.3820822179404899</v>
          </cell>
          <cell r="N86">
            <v>354893.1</v>
          </cell>
          <cell r="P86">
            <v>-1.21125696723887</v>
          </cell>
          <cell r="S86">
            <v>-74973.64</v>
          </cell>
          <cell r="T86">
            <v>196223.84</v>
          </cell>
          <cell r="V86">
            <v>-1.3820822179404899</v>
          </cell>
          <cell r="W86">
            <v>354893.1</v>
          </cell>
          <cell r="Y86">
            <v>-1.21125696723887</v>
          </cell>
          <cell r="Z86">
            <v>5065398.33</v>
          </cell>
          <cell r="AA86">
            <v>-1.4801134109427501E-2</v>
          </cell>
        </row>
        <row r="87">
          <cell r="J87">
            <v>-0.58105196066646703</v>
          </cell>
          <cell r="K87">
            <v>0.31082713994682498</v>
          </cell>
          <cell r="M87">
            <v>-2.8693733139450801</v>
          </cell>
          <cell r="N87">
            <v>0.43899184829848797</v>
          </cell>
          <cell r="P87">
            <v>-2.3236053537636199</v>
          </cell>
          <cell r="S87">
            <v>-0.58105196066646703</v>
          </cell>
          <cell r="T87">
            <v>0.31082713994682498</v>
          </cell>
          <cell r="V87">
            <v>-2.8693733139450801</v>
          </cell>
          <cell r="W87">
            <v>0.43899184829848797</v>
          </cell>
          <cell r="Y87">
            <v>-2.3236053537636199</v>
          </cell>
          <cell r="Z87">
            <v>0.45157541349378799</v>
          </cell>
          <cell r="AA87">
            <v>-1.2867218703758301</v>
          </cell>
        </row>
        <row r="90">
          <cell r="J90">
            <v>63460.92</v>
          </cell>
          <cell r="K90">
            <v>94310.13</v>
          </cell>
          <cell r="M90">
            <v>-0.32710388587100903</v>
          </cell>
          <cell r="N90">
            <v>92279.85</v>
          </cell>
          <cell r="P90">
            <v>-0.31229927226799797</v>
          </cell>
          <cell r="S90">
            <v>63460.92</v>
          </cell>
          <cell r="T90">
            <v>94310.13</v>
          </cell>
          <cell r="V90">
            <v>-0.32710388587100903</v>
          </cell>
          <cell r="W90">
            <v>92279.85</v>
          </cell>
          <cell r="Y90">
            <v>-0.31229927226799797</v>
          </cell>
          <cell r="Z90">
            <v>1265636.46</v>
          </cell>
          <cell r="AA90">
            <v>5.0141507459416902E-2</v>
          </cell>
        </row>
        <row r="91">
          <cell r="J91">
            <v>24152.05</v>
          </cell>
          <cell r="K91">
            <v>40760</v>
          </cell>
          <cell r="M91">
            <v>-0.40745706575073598</v>
          </cell>
          <cell r="N91">
            <v>45050</v>
          </cell>
          <cell r="P91">
            <v>-0.46388346281908999</v>
          </cell>
          <cell r="S91">
            <v>24152.05</v>
          </cell>
          <cell r="T91">
            <v>40760</v>
          </cell>
          <cell r="V91">
            <v>-0.40745706575073598</v>
          </cell>
          <cell r="W91">
            <v>45050</v>
          </cell>
          <cell r="Y91">
            <v>-0.46388346281908999</v>
          </cell>
          <cell r="Z91">
            <v>489120</v>
          </cell>
          <cell r="AA91">
            <v>4.93785778541053E-2</v>
          </cell>
        </row>
        <row r="92">
          <cell r="J92">
            <v>16272.26</v>
          </cell>
          <cell r="K92">
            <v>18383.310000000001</v>
          </cell>
          <cell r="M92">
            <v>-0.114835141223207</v>
          </cell>
          <cell r="N92">
            <v>20448.45</v>
          </cell>
          <cell r="P92">
            <v>-0.20423014947343199</v>
          </cell>
          <cell r="S92">
            <v>16272.26</v>
          </cell>
          <cell r="T92">
            <v>18383.310000000001</v>
          </cell>
          <cell r="V92">
            <v>-0.114835141223207</v>
          </cell>
          <cell r="W92">
            <v>20448.45</v>
          </cell>
          <cell r="Y92">
            <v>-0.20423014947343199</v>
          </cell>
          <cell r="Z92">
            <v>225799.8</v>
          </cell>
          <cell r="AA92">
            <v>7.2064988542948197E-2</v>
          </cell>
        </row>
        <row r="93">
          <cell r="J93">
            <v>22581.78</v>
          </cell>
          <cell r="K93">
            <v>32644</v>
          </cell>
          <cell r="M93">
            <v>-0.30824102438426698</v>
          </cell>
          <cell r="N93">
            <v>24658.07</v>
          </cell>
          <cell r="P93">
            <v>-8.42032648946167E-2</v>
          </cell>
          <cell r="S93">
            <v>22581.78</v>
          </cell>
          <cell r="T93">
            <v>32644</v>
          </cell>
          <cell r="V93">
            <v>-0.30824102438426698</v>
          </cell>
          <cell r="W93">
            <v>24658.07</v>
          </cell>
          <cell r="Y93">
            <v>-8.42032648946167E-2</v>
          </cell>
          <cell r="Z93">
            <v>400228</v>
          </cell>
          <cell r="AA93">
            <v>5.6422289295101798E-2</v>
          </cell>
        </row>
        <row r="94">
          <cell r="J94">
            <v>330.86</v>
          </cell>
          <cell r="K94">
            <v>2000</v>
          </cell>
          <cell r="M94">
            <v>-0.83457000000000003</v>
          </cell>
          <cell r="N94">
            <v>803.12</v>
          </cell>
          <cell r="P94">
            <v>-0.58803167646179899</v>
          </cell>
          <cell r="S94">
            <v>330.86</v>
          </cell>
          <cell r="T94">
            <v>2000</v>
          </cell>
          <cell r="V94">
            <v>-0.83457000000000003</v>
          </cell>
          <cell r="W94">
            <v>803.12</v>
          </cell>
          <cell r="Y94">
            <v>-0.58803167646179899</v>
          </cell>
          <cell r="Z94">
            <v>24000</v>
          </cell>
          <cell r="AA94">
            <v>1.3785833333333299E-2</v>
          </cell>
        </row>
        <row r="95">
          <cell r="J95">
            <v>44.82</v>
          </cell>
          <cell r="K95">
            <v>0</v>
          </cell>
          <cell r="M95" t="str">
            <v/>
          </cell>
          <cell r="N95">
            <v>883.04</v>
          </cell>
          <cell r="P95">
            <v>-0.94924352237724197</v>
          </cell>
          <cell r="S95">
            <v>44.82</v>
          </cell>
          <cell r="T95">
            <v>0</v>
          </cell>
          <cell r="V95" t="str">
            <v/>
          </cell>
          <cell r="W95">
            <v>883.04</v>
          </cell>
          <cell r="Y95">
            <v>-0.94924352237724197</v>
          </cell>
          <cell r="Z95">
            <v>120000</v>
          </cell>
          <cell r="AA95">
            <v>3.7350000000000003E-4</v>
          </cell>
        </row>
        <row r="96">
          <cell r="J96">
            <v>79.150000000000006</v>
          </cell>
          <cell r="K96">
            <v>522.82000000000005</v>
          </cell>
          <cell r="M96">
            <v>-0.84860946406028803</v>
          </cell>
          <cell r="N96">
            <v>437.17</v>
          </cell>
          <cell r="P96">
            <v>-0.81894915021616299</v>
          </cell>
          <cell r="S96">
            <v>79.150000000000006</v>
          </cell>
          <cell r="T96">
            <v>522.82000000000005</v>
          </cell>
          <cell r="V96">
            <v>-0.84860946406028803</v>
          </cell>
          <cell r="W96">
            <v>437.17</v>
          </cell>
          <cell r="Y96">
            <v>-0.81894915021616299</v>
          </cell>
          <cell r="Z96">
            <v>6488.66</v>
          </cell>
          <cell r="AA96">
            <v>1.2198204251725299E-2</v>
          </cell>
        </row>
        <row r="97">
          <cell r="J97">
            <v>31057.48</v>
          </cell>
          <cell r="K97">
            <v>44556.32</v>
          </cell>
          <cell r="M97">
            <v>-0.30296128585125498</v>
          </cell>
          <cell r="N97">
            <v>49204.95</v>
          </cell>
          <cell r="P97">
            <v>-0.36881390998263403</v>
          </cell>
          <cell r="S97">
            <v>31057.48</v>
          </cell>
          <cell r="T97">
            <v>44556.32</v>
          </cell>
          <cell r="V97">
            <v>-0.30296128585125498</v>
          </cell>
          <cell r="W97">
            <v>49204.95</v>
          </cell>
          <cell r="Y97">
            <v>-0.36881390998263403</v>
          </cell>
          <cell r="Z97">
            <v>534737.84</v>
          </cell>
          <cell r="AA97">
            <v>5.80798246856815E-2</v>
          </cell>
        </row>
        <row r="98">
          <cell r="J98">
            <v>24893.94</v>
          </cell>
          <cell r="K98">
            <v>31299</v>
          </cell>
          <cell r="M98">
            <v>-0.20464104284481899</v>
          </cell>
          <cell r="N98">
            <v>33663.94</v>
          </cell>
          <cell r="P98">
            <v>-0.26051614873362999</v>
          </cell>
          <cell r="S98">
            <v>24893.94</v>
          </cell>
          <cell r="T98">
            <v>31299</v>
          </cell>
          <cell r="V98">
            <v>-0.20464104284481899</v>
          </cell>
          <cell r="W98">
            <v>33663.94</v>
          </cell>
          <cell r="Y98">
            <v>-0.26051614873362999</v>
          </cell>
          <cell r="Z98">
            <v>375588</v>
          </cell>
          <cell r="AA98">
            <v>6.6279913096265103E-2</v>
          </cell>
        </row>
        <row r="99">
          <cell r="J99">
            <v>3256.59</v>
          </cell>
          <cell r="K99">
            <v>6813.32</v>
          </cell>
          <cell r="M99">
            <v>-0.52202597265356698</v>
          </cell>
          <cell r="N99">
            <v>4530.12</v>
          </cell>
          <cell r="P99">
            <v>-0.28112500331117102</v>
          </cell>
          <cell r="S99">
            <v>3256.59</v>
          </cell>
          <cell r="T99">
            <v>6813.32</v>
          </cell>
          <cell r="V99">
            <v>-0.52202597265356698</v>
          </cell>
          <cell r="W99">
            <v>4530.12</v>
          </cell>
          <cell r="Y99">
            <v>-0.28112500331117102</v>
          </cell>
          <cell r="Z99">
            <v>81759.839999999997</v>
          </cell>
          <cell r="AA99">
            <v>3.9831168945536101E-2</v>
          </cell>
        </row>
        <row r="100">
          <cell r="J100">
            <v>2906.95</v>
          </cell>
          <cell r="K100">
            <v>6444</v>
          </cell>
          <cell r="M100">
            <v>-0.54889044072005</v>
          </cell>
          <cell r="N100">
            <v>11010.89</v>
          </cell>
          <cell r="P100">
            <v>-0.735993184928739</v>
          </cell>
          <cell r="S100">
            <v>2906.95</v>
          </cell>
          <cell r="T100">
            <v>6444</v>
          </cell>
          <cell r="V100">
            <v>-0.54889044072005</v>
          </cell>
          <cell r="W100">
            <v>11010.89</v>
          </cell>
          <cell r="Y100">
            <v>-0.735993184928739</v>
          </cell>
          <cell r="Z100">
            <v>77390</v>
          </cell>
          <cell r="AA100">
            <v>3.7562346556402601E-2</v>
          </cell>
        </row>
        <row r="101">
          <cell r="J101">
            <v>137540.37</v>
          </cell>
          <cell r="K101">
            <v>114000</v>
          </cell>
          <cell r="M101">
            <v>0.20649447368421001</v>
          </cell>
          <cell r="N101">
            <v>124352.42</v>
          </cell>
          <cell r="P101">
            <v>0.106053022530643</v>
          </cell>
          <cell r="S101">
            <v>137540.37</v>
          </cell>
          <cell r="T101">
            <v>114000</v>
          </cell>
          <cell r="V101">
            <v>0.20649447368421001</v>
          </cell>
          <cell r="W101">
            <v>124352.42</v>
          </cell>
          <cell r="Y101">
            <v>0.106053022530643</v>
          </cell>
          <cell r="Z101">
            <v>1568000</v>
          </cell>
          <cell r="AA101">
            <v>8.7717072704081606E-2</v>
          </cell>
        </row>
        <row r="102">
          <cell r="J102">
            <v>54923.03</v>
          </cell>
          <cell r="K102">
            <v>70085.31</v>
          </cell>
          <cell r="M102">
            <v>-0.216340342933491</v>
          </cell>
          <cell r="N102">
            <v>65067.81</v>
          </cell>
          <cell r="P102">
            <v>-0.15591088742651699</v>
          </cell>
          <cell r="S102">
            <v>54923.03</v>
          </cell>
          <cell r="T102">
            <v>70085.31</v>
          </cell>
          <cell r="V102">
            <v>-0.216340342933491</v>
          </cell>
          <cell r="W102">
            <v>65067.81</v>
          </cell>
          <cell r="Y102">
            <v>-0.15591088742651699</v>
          </cell>
          <cell r="Z102">
            <v>937023.72</v>
          </cell>
          <cell r="AA102">
            <v>5.8614343295386402E-2</v>
          </cell>
        </row>
        <row r="103">
          <cell r="J103">
            <v>25312.38</v>
          </cell>
          <cell r="K103">
            <v>33792</v>
          </cell>
          <cell r="M103">
            <v>-0.250935724431818</v>
          </cell>
          <cell r="N103">
            <v>34505.22</v>
          </cell>
          <cell r="P103">
            <v>-0.26641882010895801</v>
          </cell>
          <cell r="S103">
            <v>25312.38</v>
          </cell>
          <cell r="T103">
            <v>33792</v>
          </cell>
          <cell r="V103">
            <v>-0.250935724431818</v>
          </cell>
          <cell r="W103">
            <v>34505.22</v>
          </cell>
          <cell r="Y103">
            <v>-0.26641882010895801</v>
          </cell>
          <cell r="Z103">
            <v>405504</v>
          </cell>
          <cell r="AA103">
            <v>6.2422022964015098E-2</v>
          </cell>
        </row>
        <row r="104">
          <cell r="J104">
            <v>13781.49</v>
          </cell>
          <cell r="K104">
            <v>15893.31</v>
          </cell>
          <cell r="M104">
            <v>-0.13287477561313499</v>
          </cell>
          <cell r="N104">
            <v>13909.6</v>
          </cell>
          <cell r="P104">
            <v>-9.2101857709788806E-3</v>
          </cell>
          <cell r="S104">
            <v>13781.49</v>
          </cell>
          <cell r="T104">
            <v>15893.31</v>
          </cell>
          <cell r="V104">
            <v>-0.13287477561313499</v>
          </cell>
          <cell r="W104">
            <v>13909.6</v>
          </cell>
          <cell r="Y104">
            <v>-9.2101857709788806E-3</v>
          </cell>
          <cell r="Z104">
            <v>190719.72</v>
          </cell>
          <cell r="AA104">
            <v>7.2260435365572098E-2</v>
          </cell>
        </row>
        <row r="105">
          <cell r="J105">
            <v>15829.16</v>
          </cell>
          <cell r="K105">
            <v>20400</v>
          </cell>
          <cell r="M105">
            <v>-0.224060784313726</v>
          </cell>
          <cell r="N105">
            <v>16652.990000000002</v>
          </cell>
          <cell r="P105">
            <v>-4.9470395406470601E-2</v>
          </cell>
          <cell r="S105">
            <v>15829.16</v>
          </cell>
          <cell r="T105">
            <v>20400</v>
          </cell>
          <cell r="V105">
            <v>-0.224060784313726</v>
          </cell>
          <cell r="W105">
            <v>16652.990000000002</v>
          </cell>
          <cell r="Y105">
            <v>-4.9470395406470601E-2</v>
          </cell>
          <cell r="Z105">
            <v>340800</v>
          </cell>
          <cell r="AA105">
            <v>4.6447065727699501E-2</v>
          </cell>
        </row>
        <row r="106">
          <cell r="J106">
            <v>286981.8</v>
          </cell>
          <cell r="K106">
            <v>322951.76</v>
          </cell>
          <cell r="M106">
            <v>-0.111378739660685</v>
          </cell>
          <cell r="N106">
            <v>330905.03000000003</v>
          </cell>
          <cell r="P106">
            <v>-0.13273666465571701</v>
          </cell>
          <cell r="S106">
            <v>286981.8</v>
          </cell>
          <cell r="T106">
            <v>322951.76</v>
          </cell>
          <cell r="V106">
            <v>-0.111378739660685</v>
          </cell>
          <cell r="W106">
            <v>330905.03000000003</v>
          </cell>
          <cell r="Y106">
            <v>-0.13273666465571701</v>
          </cell>
          <cell r="Z106">
            <v>4305398.0199999996</v>
          </cell>
          <cell r="AA106">
            <v>6.6656276299397799E-2</v>
          </cell>
        </row>
        <row r="107">
          <cell r="J107">
            <v>2.2241328761094099</v>
          </cell>
          <cell r="K107">
            <v>0.51156970479016906</v>
          </cell>
          <cell r="M107">
            <v>3.3476633883581699</v>
          </cell>
          <cell r="N107">
            <v>0.40931934357407002</v>
          </cell>
          <cell r="P107">
            <v>4.4337350800205702</v>
          </cell>
          <cell r="S107">
            <v>2.2241328761094099</v>
          </cell>
          <cell r="T107">
            <v>0.51156970479016906</v>
          </cell>
          <cell r="V107">
            <v>3.3476633883581699</v>
          </cell>
          <cell r="W107">
            <v>0.40931934357407002</v>
          </cell>
          <cell r="Y107">
            <v>4.4337350800205702</v>
          </cell>
          <cell r="Z107">
            <v>0.383822113183513</v>
          </cell>
          <cell r="AA107">
            <v>5.7946970737613901</v>
          </cell>
        </row>
        <row r="108">
          <cell r="J108">
            <v>-361955.44</v>
          </cell>
          <cell r="K108">
            <v>-126727.92</v>
          </cell>
          <cell r="M108">
            <v>-1.8561617676672999</v>
          </cell>
          <cell r="N108">
            <v>23988.070000000102</v>
          </cell>
          <cell r="P108">
            <v>-16.088977145722801</v>
          </cell>
          <cell r="S108">
            <v>-361955.44</v>
          </cell>
          <cell r="T108">
            <v>-126727.92</v>
          </cell>
          <cell r="V108">
            <v>-1.8561617676672999</v>
          </cell>
          <cell r="W108">
            <v>23988.070000000102</v>
          </cell>
          <cell r="Y108">
            <v>-16.088977145722801</v>
          </cell>
          <cell r="Z108">
            <v>760000.31000000099</v>
          </cell>
          <cell r="AA108">
            <v>-0.47625696363202802</v>
          </cell>
        </row>
        <row r="109">
          <cell r="J109">
            <v>-2.8051848367758798</v>
          </cell>
          <cell r="K109">
            <v>-0.20074256484334399</v>
          </cell>
          <cell r="M109">
            <v>-12.974041025952801</v>
          </cell>
          <cell r="N109">
            <v>2.96725047244186E-2</v>
          </cell>
          <cell r="P109">
            <v>-95.538188226064705</v>
          </cell>
          <cell r="S109">
            <v>-2.8051848367758798</v>
          </cell>
          <cell r="T109">
            <v>-0.20074256484334399</v>
          </cell>
          <cell r="V109">
            <v>-12.974041025952801</v>
          </cell>
          <cell r="W109">
            <v>2.96725047244186E-2</v>
          </cell>
          <cell r="Y109">
            <v>-95.538188226064705</v>
          </cell>
          <cell r="Z109">
            <v>6.7753300310275405E-2</v>
          </cell>
          <cell r="AA109">
            <v>-41.402925376764998</v>
          </cell>
        </row>
        <row r="110">
          <cell r="J110">
            <v>3136.08</v>
          </cell>
          <cell r="K110">
            <v>9469.44</v>
          </cell>
          <cell r="M110">
            <v>-0.66882096512570999</v>
          </cell>
          <cell r="N110">
            <v>24916.31</v>
          </cell>
          <cell r="P110">
            <v>-0.87413545585201002</v>
          </cell>
          <cell r="S110">
            <v>3136.08</v>
          </cell>
          <cell r="T110">
            <v>9469.44</v>
          </cell>
          <cell r="V110">
            <v>-0.66882096512570999</v>
          </cell>
          <cell r="W110">
            <v>24916.31</v>
          </cell>
          <cell r="Y110">
            <v>-0.87413545585201002</v>
          </cell>
          <cell r="Z110">
            <v>168257.56</v>
          </cell>
          <cell r="AA110">
            <v>1.86385681570564E-2</v>
          </cell>
        </row>
        <row r="111">
          <cell r="J111">
            <v>-365091.52</v>
          </cell>
          <cell r="K111">
            <v>-136197.35999999999</v>
          </cell>
          <cell r="M111">
            <v>-1.6806064375990799</v>
          </cell>
          <cell r="N111">
            <v>-928.23999999987802</v>
          </cell>
          <cell r="P111">
            <v>-392.31586658627901</v>
          </cell>
          <cell r="S111">
            <v>-365091.52</v>
          </cell>
          <cell r="T111">
            <v>-136197.35999999999</v>
          </cell>
          <cell r="V111">
            <v>-1.6806064375990799</v>
          </cell>
          <cell r="W111">
            <v>-928.23999999987802</v>
          </cell>
          <cell r="Y111">
            <v>-392.31586658627901</v>
          </cell>
          <cell r="Z111">
            <v>591742.75</v>
          </cell>
          <cell r="AA111">
            <v>-0.61697675214440695</v>
          </cell>
        </row>
        <row r="112">
          <cell r="J112">
            <v>0</v>
          </cell>
          <cell r="K112">
            <v>0</v>
          </cell>
          <cell r="M112" t="str">
            <v/>
          </cell>
          <cell r="N112">
            <v>0</v>
          </cell>
          <cell r="P112" t="str">
            <v/>
          </cell>
          <cell r="S112">
            <v>0</v>
          </cell>
          <cell r="T112">
            <v>0</v>
          </cell>
          <cell r="V112" t="str">
            <v/>
          </cell>
          <cell r="W112">
            <v>0</v>
          </cell>
          <cell r="Y112" t="str">
            <v/>
          </cell>
          <cell r="Z112">
            <v>0</v>
          </cell>
          <cell r="AA112" t="str">
            <v/>
          </cell>
        </row>
        <row r="113">
          <cell r="J113">
            <v>-365091.52</v>
          </cell>
          <cell r="K113">
            <v>-136197.35999999999</v>
          </cell>
          <cell r="M113">
            <v>-1.6806064375990799</v>
          </cell>
          <cell r="N113">
            <v>-928.23999999987802</v>
          </cell>
          <cell r="P113">
            <v>-392.31586658627901</v>
          </cell>
          <cell r="S113">
            <v>-365091.52</v>
          </cell>
          <cell r="T113">
            <v>-136197.35999999999</v>
          </cell>
          <cell r="V113">
            <v>-1.6806064375990799</v>
          </cell>
          <cell r="W113">
            <v>-928.23999999987802</v>
          </cell>
          <cell r="Y113">
            <v>-392.31586658627901</v>
          </cell>
          <cell r="Z113">
            <v>591742.75</v>
          </cell>
          <cell r="AA113">
            <v>-0.61697675214440695</v>
          </cell>
        </row>
        <row r="114">
          <cell r="J114">
            <v>-146465.9</v>
          </cell>
          <cell r="K114">
            <v>-168938.87</v>
          </cell>
          <cell r="M114">
            <v>0.13302427085016</v>
          </cell>
          <cell r="N114">
            <v>-167561.85999999999</v>
          </cell>
          <cell r="P114">
            <v>0.12589953346185101</v>
          </cell>
          <cell r="S114">
            <v>-146465.9</v>
          </cell>
          <cell r="T114">
            <v>-168938.87</v>
          </cell>
          <cell r="V114">
            <v>0.13302427085016</v>
          </cell>
          <cell r="W114">
            <v>-167561.85999999999</v>
          </cell>
          <cell r="Y114">
            <v>0.12589953346185101</v>
          </cell>
          <cell r="Z114">
            <v>-2136515.11</v>
          </cell>
          <cell r="AA114">
            <v>1.93144635424554</v>
          </cell>
        </row>
        <row r="115">
          <cell r="J115">
            <v>236.25</v>
          </cell>
          <cell r="K115">
            <v>0</v>
          </cell>
          <cell r="M115" t="str">
            <v/>
          </cell>
          <cell r="N115">
            <v>4.72</v>
          </cell>
          <cell r="P115">
            <v>49.052966101694899</v>
          </cell>
          <cell r="S115">
            <v>236.25</v>
          </cell>
          <cell r="T115">
            <v>0</v>
          </cell>
          <cell r="V115" t="str">
            <v/>
          </cell>
          <cell r="W115">
            <v>4.72</v>
          </cell>
          <cell r="Y115">
            <v>49.052966101694899</v>
          </cell>
          <cell r="Z115">
            <v>0</v>
          </cell>
          <cell r="AA115" t="str">
            <v/>
          </cell>
        </row>
        <row r="116">
          <cell r="J116">
            <v>146702.15</v>
          </cell>
          <cell r="K116">
            <v>168938.87</v>
          </cell>
          <cell r="M116">
            <v>-0.131625836019857</v>
          </cell>
          <cell r="N116">
            <v>166111.63</v>
          </cell>
          <cell r="P116">
            <v>-0.116846002895764</v>
          </cell>
          <cell r="S116">
            <v>146702.15</v>
          </cell>
          <cell r="T116">
            <v>168938.87</v>
          </cell>
          <cell r="V116">
            <v>-0.131625836019857</v>
          </cell>
          <cell r="W116">
            <v>166111.63</v>
          </cell>
          <cell r="Y116">
            <v>-0.116846002895764</v>
          </cell>
          <cell r="Z116">
            <v>2136515.11</v>
          </cell>
          <cell r="AA116">
            <v>6.86642230206366E-2</v>
          </cell>
        </row>
        <row r="117">
          <cell r="J117">
            <v>0</v>
          </cell>
          <cell r="K117">
            <v>0</v>
          </cell>
          <cell r="M117" t="str">
            <v/>
          </cell>
          <cell r="N117">
            <v>0</v>
          </cell>
          <cell r="P117" t="str">
            <v/>
          </cell>
          <cell r="S117">
            <v>0</v>
          </cell>
          <cell r="T117">
            <v>0</v>
          </cell>
          <cell r="V117" t="str">
            <v/>
          </cell>
          <cell r="W117">
            <v>0</v>
          </cell>
          <cell r="Y117" t="str">
            <v/>
          </cell>
          <cell r="Z117">
            <v>0</v>
          </cell>
          <cell r="AA117" t="str">
            <v/>
          </cell>
        </row>
        <row r="118">
          <cell r="J118">
            <v>0</v>
          </cell>
          <cell r="K118">
            <v>0</v>
          </cell>
          <cell r="M118" t="str">
            <v/>
          </cell>
          <cell r="N118">
            <v>0</v>
          </cell>
          <cell r="P118" t="str">
            <v/>
          </cell>
          <cell r="S118">
            <v>0</v>
          </cell>
          <cell r="T118">
            <v>0</v>
          </cell>
          <cell r="V118" t="str">
            <v/>
          </cell>
          <cell r="W118">
            <v>0</v>
          </cell>
          <cell r="Y118" t="str">
            <v/>
          </cell>
          <cell r="Z118">
            <v>0</v>
          </cell>
          <cell r="AA118" t="str">
            <v/>
          </cell>
        </row>
        <row r="119">
          <cell r="J119">
            <v>0</v>
          </cell>
          <cell r="K119">
            <v>0</v>
          </cell>
          <cell r="M119" t="str">
            <v/>
          </cell>
          <cell r="N119">
            <v>0</v>
          </cell>
          <cell r="P119" t="str">
            <v/>
          </cell>
          <cell r="S119">
            <v>0</v>
          </cell>
          <cell r="T119">
            <v>0</v>
          </cell>
          <cell r="V119" t="str">
            <v/>
          </cell>
          <cell r="W119">
            <v>0</v>
          </cell>
          <cell r="Y119" t="str">
            <v/>
          </cell>
          <cell r="Z119">
            <v>0</v>
          </cell>
          <cell r="AA119" t="str">
            <v/>
          </cell>
        </row>
        <row r="120">
          <cell r="J120">
            <v>0</v>
          </cell>
          <cell r="K120">
            <v>0</v>
          </cell>
          <cell r="M120" t="str">
            <v/>
          </cell>
          <cell r="N120">
            <v>1454.95</v>
          </cell>
          <cell r="P120">
            <v>-1</v>
          </cell>
          <cell r="S120">
            <v>0</v>
          </cell>
          <cell r="T120">
            <v>0</v>
          </cell>
          <cell r="V120" t="str">
            <v/>
          </cell>
          <cell r="W120">
            <v>1454.95</v>
          </cell>
          <cell r="Y120">
            <v>-1</v>
          </cell>
          <cell r="Z120">
            <v>0</v>
          </cell>
          <cell r="AA120" t="str">
            <v/>
          </cell>
        </row>
        <row r="121">
          <cell r="J121">
            <v>-511557.42</v>
          </cell>
          <cell r="K121">
            <v>-305136.23</v>
          </cell>
          <cell r="M121">
            <v>-0.67648862935745102</v>
          </cell>
          <cell r="N121">
            <v>-168490.1</v>
          </cell>
          <cell r="P121">
            <v>-2.0361274638687998</v>
          </cell>
          <cell r="S121">
            <v>-511557.42</v>
          </cell>
          <cell r="T121">
            <v>-305136.23</v>
          </cell>
          <cell r="V121">
            <v>-0.67648862935745102</v>
          </cell>
          <cell r="W121">
            <v>-168490.1</v>
          </cell>
          <cell r="Y121">
            <v>-2.0361274638687998</v>
          </cell>
          <cell r="Z121">
            <v>-1544772.36</v>
          </cell>
          <cell r="AA121">
            <v>1.66884608163238</v>
          </cell>
        </row>
        <row r="122">
          <cell r="J122">
            <v>-3.9646126543206299</v>
          </cell>
          <cell r="K122">
            <v>-0.48334912651315198</v>
          </cell>
          <cell r="M122">
            <v>-7.2023788538133502</v>
          </cell>
          <cell r="N122">
            <v>-0.20841707099686399</v>
          </cell>
          <cell r="P122">
            <v>-18.0224948242377</v>
          </cell>
          <cell r="S122">
            <v>-3.9646126543206299</v>
          </cell>
          <cell r="T122">
            <v>-0.48334912651315198</v>
          </cell>
          <cell r="V122">
            <v>-7.2023788538133502</v>
          </cell>
          <cell r="W122">
            <v>-0.20841707099686399</v>
          </cell>
          <cell r="Y122">
            <v>-18.0224948242377</v>
          </cell>
          <cell r="Z122">
            <v>-0.137714977534802</v>
          </cell>
          <cell r="AA122">
            <v>-26.7885364779494</v>
          </cell>
        </row>
        <row r="123">
          <cell r="J123">
            <v>0</v>
          </cell>
          <cell r="K123">
            <v>0</v>
          </cell>
          <cell r="M123" t="str">
            <v/>
          </cell>
          <cell r="N123">
            <v>30026.003349999999</v>
          </cell>
          <cell r="P123">
            <v>-1</v>
          </cell>
          <cell r="S123">
            <v>0</v>
          </cell>
          <cell r="T123">
            <v>0</v>
          </cell>
          <cell r="V123" t="str">
            <v/>
          </cell>
          <cell r="W123">
            <v>30026.003349999999</v>
          </cell>
          <cell r="Y123">
            <v>-1</v>
          </cell>
          <cell r="Z123">
            <v>0</v>
          </cell>
          <cell r="AA123" t="str">
            <v/>
          </cell>
        </row>
        <row r="124">
          <cell r="J124">
            <v>-511557.42</v>
          </cell>
          <cell r="K124">
            <v>-305136.23</v>
          </cell>
          <cell r="M124">
            <v>-0.67648862935745102</v>
          </cell>
          <cell r="N124">
            <v>-198516.10334999999</v>
          </cell>
          <cell r="P124">
            <v>-1.57690641397531</v>
          </cell>
          <cell r="S124">
            <v>-511557.42</v>
          </cell>
          <cell r="T124">
            <v>-305136.23</v>
          </cell>
          <cell r="V124">
            <v>-0.67648862935745102</v>
          </cell>
          <cell r="W124">
            <v>-198516.10334999999</v>
          </cell>
          <cell r="Y124">
            <v>-1.57690641397531</v>
          </cell>
          <cell r="Z124">
            <v>-1544772.36</v>
          </cell>
          <cell r="AA124">
            <v>1.66884608163238</v>
          </cell>
        </row>
        <row r="125">
          <cell r="J125">
            <v>63290.1</v>
          </cell>
          <cell r="K125">
            <v>63658.7</v>
          </cell>
          <cell r="M125">
            <v>-5.7902533353648604E-3</v>
          </cell>
          <cell r="N125">
            <v>71793.600000000006</v>
          </cell>
          <cell r="P125">
            <v>-0.118443705288494</v>
          </cell>
          <cell r="S125">
            <v>63290.1</v>
          </cell>
          <cell r="T125">
            <v>63658.7</v>
          </cell>
          <cell r="V125">
            <v>-5.7902533353648604E-3</v>
          </cell>
          <cell r="W125">
            <v>71793.600000000006</v>
          </cell>
          <cell r="Y125">
            <v>-0.118443705288494</v>
          </cell>
          <cell r="Z125">
            <v>763904.68</v>
          </cell>
          <cell r="AA125">
            <v>8.2850781854092101E-2</v>
          </cell>
        </row>
        <row r="126">
          <cell r="J126">
            <v>0</v>
          </cell>
          <cell r="K126">
            <v>0</v>
          </cell>
          <cell r="M126" t="str">
            <v/>
          </cell>
          <cell r="N126">
            <v>0</v>
          </cell>
          <cell r="P126" t="str">
            <v/>
          </cell>
          <cell r="S126">
            <v>0</v>
          </cell>
          <cell r="T126">
            <v>0</v>
          </cell>
          <cell r="V126" t="str">
            <v/>
          </cell>
          <cell r="W126">
            <v>0</v>
          </cell>
          <cell r="Y126" t="str">
            <v/>
          </cell>
          <cell r="Z126">
            <v>0</v>
          </cell>
          <cell r="AA126" t="str">
            <v/>
          </cell>
        </row>
        <row r="127">
          <cell r="J127">
            <v>0</v>
          </cell>
          <cell r="K127">
            <v>0</v>
          </cell>
          <cell r="M127" t="str">
            <v/>
          </cell>
          <cell r="N127">
            <v>0</v>
          </cell>
          <cell r="P127" t="str">
            <v/>
          </cell>
          <cell r="S127">
            <v>0</v>
          </cell>
          <cell r="T127">
            <v>0</v>
          </cell>
          <cell r="V127" t="str">
            <v/>
          </cell>
          <cell r="W127">
            <v>0</v>
          </cell>
          <cell r="Y127" t="str">
            <v/>
          </cell>
          <cell r="Z127">
            <v>0</v>
          </cell>
          <cell r="AA127" t="str">
            <v/>
          </cell>
        </row>
        <row r="128">
          <cell r="J128">
            <v>21919.17</v>
          </cell>
          <cell r="K128">
            <v>23000</v>
          </cell>
          <cell r="M128">
            <v>-4.6992608695652201E-2</v>
          </cell>
          <cell r="N128">
            <v>23471.43</v>
          </cell>
          <cell r="P128">
            <v>-6.6134019103224903E-2</v>
          </cell>
          <cell r="S128">
            <v>21919.17</v>
          </cell>
          <cell r="T128">
            <v>23000</v>
          </cell>
          <cell r="V128">
            <v>-4.6992608695652201E-2</v>
          </cell>
          <cell r="W128">
            <v>23471.43</v>
          </cell>
          <cell r="Y128">
            <v>-6.6134019103224903E-2</v>
          </cell>
          <cell r="Z128">
            <v>276000</v>
          </cell>
          <cell r="AA128">
            <v>7.94172826086956E-2</v>
          </cell>
        </row>
        <row r="129">
          <cell r="J129">
            <v>41370.93</v>
          </cell>
          <cell r="K129">
            <v>40658.699999999997</v>
          </cell>
          <cell r="M129">
            <v>1.75172841236933E-2</v>
          </cell>
          <cell r="N129">
            <v>48322.17</v>
          </cell>
          <cell r="P129">
            <v>-0.14385198346845701</v>
          </cell>
          <cell r="S129">
            <v>41370.93</v>
          </cell>
          <cell r="T129">
            <v>40658.699999999997</v>
          </cell>
          <cell r="V129">
            <v>1.75172841236933E-2</v>
          </cell>
          <cell r="W129">
            <v>48322.17</v>
          </cell>
          <cell r="Y129">
            <v>-0.14385198346845701</v>
          </cell>
          <cell r="Z129">
            <v>487904.68</v>
          </cell>
          <cell r="AA129">
            <v>8.4793058349020206E-2</v>
          </cell>
        </row>
        <row r="130">
          <cell r="J130">
            <v>-574847.52</v>
          </cell>
          <cell r="K130">
            <v>-368794.93</v>
          </cell>
          <cell r="M130">
            <v>-0.55871860819778596</v>
          </cell>
          <cell r="N130">
            <v>-240283.7</v>
          </cell>
          <cell r="P130">
            <v>-1.3923700192730499</v>
          </cell>
          <cell r="S130">
            <v>-574847.52</v>
          </cell>
          <cell r="T130">
            <v>-368794.93</v>
          </cell>
          <cell r="V130">
            <v>-0.55871860819778596</v>
          </cell>
          <cell r="W130">
            <v>-240283.7</v>
          </cell>
          <cell r="Y130">
            <v>-1.3923700192730499</v>
          </cell>
          <cell r="Z130">
            <v>-2308677.04</v>
          </cell>
          <cell r="AA130">
            <v>1.7510056582015501</v>
          </cell>
        </row>
        <row r="131">
          <cell r="J131">
            <v>0</v>
          </cell>
          <cell r="K131">
            <v>0</v>
          </cell>
          <cell r="M131" t="str">
            <v/>
          </cell>
          <cell r="N131">
            <v>0</v>
          </cell>
          <cell r="P131" t="str">
            <v/>
          </cell>
          <cell r="S131">
            <v>0</v>
          </cell>
          <cell r="T131">
            <v>0</v>
          </cell>
          <cell r="V131" t="str">
            <v/>
          </cell>
          <cell r="W131">
            <v>0</v>
          </cell>
          <cell r="Y131" t="str">
            <v/>
          </cell>
          <cell r="Z131">
            <v>0</v>
          </cell>
          <cell r="AA131" t="str">
            <v/>
          </cell>
        </row>
        <row r="132">
          <cell r="J132">
            <v>-574847.52</v>
          </cell>
          <cell r="K132">
            <v>-368794.93</v>
          </cell>
          <cell r="M132">
            <v>-0.55871860819778596</v>
          </cell>
          <cell r="N132">
            <v>-240283.7</v>
          </cell>
          <cell r="P132">
            <v>-1.3923700192730499</v>
          </cell>
          <cell r="S132">
            <v>-574847.52</v>
          </cell>
          <cell r="T132">
            <v>-368794.93</v>
          </cell>
          <cell r="V132">
            <v>-0.55871860819778596</v>
          </cell>
          <cell r="W132">
            <v>-240283.7</v>
          </cell>
          <cell r="Y132">
            <v>-1.3923700192730499</v>
          </cell>
          <cell r="Z132">
            <v>-2308677.04</v>
          </cell>
          <cell r="AA132">
            <v>1.7510056582015501</v>
          </cell>
        </row>
        <row r="133">
          <cell r="J133">
            <v>0</v>
          </cell>
          <cell r="K133">
            <v>0</v>
          </cell>
          <cell r="M133" t="str">
            <v/>
          </cell>
          <cell r="N133">
            <v>0</v>
          </cell>
          <cell r="P133" t="str">
            <v/>
          </cell>
          <cell r="S133">
            <v>0</v>
          </cell>
          <cell r="T133">
            <v>0</v>
          </cell>
          <cell r="V133" t="str">
            <v/>
          </cell>
          <cell r="W133">
            <v>0</v>
          </cell>
          <cell r="Y133" t="str">
            <v/>
          </cell>
        </row>
        <row r="134">
          <cell r="J134">
            <v>-574847.52</v>
          </cell>
          <cell r="K134">
            <v>0</v>
          </cell>
          <cell r="M134" t="str">
            <v/>
          </cell>
          <cell r="N134">
            <v>0</v>
          </cell>
          <cell r="P134" t="str">
            <v/>
          </cell>
          <cell r="S134">
            <v>-574847.52</v>
          </cell>
          <cell r="T134">
            <v>0</v>
          </cell>
          <cell r="V134" t="str">
            <v/>
          </cell>
          <cell r="W134">
            <v>0</v>
          </cell>
          <cell r="Y134" t="str">
            <v/>
          </cell>
          <cell r="Z134">
            <v>0</v>
          </cell>
        </row>
        <row r="135">
          <cell r="J135">
            <v>0</v>
          </cell>
          <cell r="K135">
            <v>0</v>
          </cell>
          <cell r="M135" t="str">
            <v/>
          </cell>
          <cell r="N135">
            <v>0</v>
          </cell>
          <cell r="P135" t="str">
            <v/>
          </cell>
          <cell r="S135">
            <v>0</v>
          </cell>
          <cell r="T135">
            <v>0</v>
          </cell>
          <cell r="V135" t="str">
            <v/>
          </cell>
          <cell r="W135">
            <v>0</v>
          </cell>
          <cell r="Y135" t="str">
            <v/>
          </cell>
        </row>
        <row r="140">
          <cell r="J140">
            <v>-511557.42</v>
          </cell>
          <cell r="K140">
            <v>-305136.23</v>
          </cell>
          <cell r="M140">
            <v>-0.67648862935745102</v>
          </cell>
          <cell r="N140">
            <v>-198516.10334999999</v>
          </cell>
          <cell r="P140">
            <v>-1.57690641397531</v>
          </cell>
          <cell r="S140">
            <v>-511557.42</v>
          </cell>
          <cell r="T140">
            <v>-305136.23</v>
          </cell>
          <cell r="V140">
            <v>-0.67648862935745102</v>
          </cell>
          <cell r="W140">
            <v>-198516.10334999999</v>
          </cell>
          <cell r="Y140">
            <v>-1.57690641397531</v>
          </cell>
          <cell r="Z140">
            <v>-1544772.36</v>
          </cell>
          <cell r="AA140">
            <v>1.66884608163238</v>
          </cell>
        </row>
        <row r="141">
          <cell r="J141">
            <v>0</v>
          </cell>
          <cell r="K141">
            <v>0</v>
          </cell>
          <cell r="M141" t="str">
            <v/>
          </cell>
          <cell r="N141">
            <v>0</v>
          </cell>
          <cell r="P141" t="str">
            <v/>
          </cell>
          <cell r="S141">
            <v>0</v>
          </cell>
          <cell r="T141">
            <v>0</v>
          </cell>
          <cell r="V141" t="str">
            <v/>
          </cell>
          <cell r="W141">
            <v>0</v>
          </cell>
          <cell r="Y141" t="str">
            <v/>
          </cell>
          <cell r="Z141">
            <v>0</v>
          </cell>
          <cell r="AA141" t="str">
            <v/>
          </cell>
        </row>
        <row r="142">
          <cell r="J142">
            <v>146702.15</v>
          </cell>
          <cell r="K142">
            <v>168938.87</v>
          </cell>
          <cell r="M142">
            <v>-0.131625836019857</v>
          </cell>
          <cell r="N142">
            <v>166111.63</v>
          </cell>
          <cell r="P142">
            <v>-0.116846002895764</v>
          </cell>
          <cell r="S142">
            <v>146702.15</v>
          </cell>
          <cell r="T142">
            <v>168938.87</v>
          </cell>
          <cell r="V142">
            <v>-0.131625836019857</v>
          </cell>
          <cell r="W142">
            <v>166111.63</v>
          </cell>
          <cell r="Y142">
            <v>-0.116846002895764</v>
          </cell>
          <cell r="Z142">
            <v>2136515.11</v>
          </cell>
          <cell r="AA142">
            <v>6.86642230206366E-2</v>
          </cell>
        </row>
        <row r="143">
          <cell r="J143">
            <v>0</v>
          </cell>
          <cell r="K143">
            <v>0</v>
          </cell>
          <cell r="M143" t="str">
            <v/>
          </cell>
          <cell r="N143">
            <v>30026.003349999999</v>
          </cell>
          <cell r="P143">
            <v>-1</v>
          </cell>
          <cell r="S143">
            <v>0</v>
          </cell>
          <cell r="T143">
            <v>0</v>
          </cell>
          <cell r="V143" t="str">
            <v/>
          </cell>
          <cell r="W143">
            <v>30026.003349999999</v>
          </cell>
          <cell r="Y143">
            <v>-1</v>
          </cell>
          <cell r="Z143">
            <v>0</v>
          </cell>
          <cell r="AA143" t="str">
            <v/>
          </cell>
        </row>
        <row r="144">
          <cell r="J144">
            <v>0</v>
          </cell>
          <cell r="K144">
            <v>0</v>
          </cell>
          <cell r="M144" t="str">
            <v/>
          </cell>
          <cell r="N144">
            <v>1454.95</v>
          </cell>
          <cell r="P144">
            <v>-1</v>
          </cell>
          <cell r="S144">
            <v>0</v>
          </cell>
          <cell r="T144">
            <v>0</v>
          </cell>
          <cell r="V144" t="str">
            <v/>
          </cell>
          <cell r="W144">
            <v>1454.95</v>
          </cell>
          <cell r="Y144">
            <v>-1</v>
          </cell>
          <cell r="Z144">
            <v>0</v>
          </cell>
          <cell r="AA144" t="str">
            <v/>
          </cell>
        </row>
        <row r="145">
          <cell r="J145">
            <v>236.25</v>
          </cell>
          <cell r="K145">
            <v>0</v>
          </cell>
          <cell r="M145" t="str">
            <v/>
          </cell>
          <cell r="N145">
            <v>4.72</v>
          </cell>
          <cell r="P145">
            <v>49.052966101694899</v>
          </cell>
          <cell r="S145">
            <v>236.25</v>
          </cell>
          <cell r="T145">
            <v>0</v>
          </cell>
          <cell r="V145" t="str">
            <v/>
          </cell>
          <cell r="W145">
            <v>4.72</v>
          </cell>
          <cell r="Y145">
            <v>49.052966101694899</v>
          </cell>
          <cell r="Z145">
            <v>0</v>
          </cell>
          <cell r="AA145" t="str">
            <v/>
          </cell>
        </row>
        <row r="146">
          <cell r="J146">
            <v>41370.93</v>
          </cell>
          <cell r="K146">
            <v>40658.699999999997</v>
          </cell>
          <cell r="M146">
            <v>1.75172841236933E-2</v>
          </cell>
          <cell r="N146">
            <v>48322.17</v>
          </cell>
          <cell r="P146">
            <v>-0.14385198346845701</v>
          </cell>
          <cell r="S146">
            <v>41370.93</v>
          </cell>
          <cell r="T146">
            <v>40658.699999999997</v>
          </cell>
          <cell r="V146">
            <v>1.75172841236933E-2</v>
          </cell>
          <cell r="W146">
            <v>48322.17</v>
          </cell>
          <cell r="Y146">
            <v>-0.14385198346845701</v>
          </cell>
          <cell r="Z146">
            <v>487904.68</v>
          </cell>
          <cell r="AA146">
            <v>8.4793058349020206E-2</v>
          </cell>
        </row>
        <row r="147">
          <cell r="J147">
            <v>0</v>
          </cell>
          <cell r="K147">
            <v>0</v>
          </cell>
          <cell r="M147" t="str">
            <v/>
          </cell>
          <cell r="N147">
            <v>0</v>
          </cell>
          <cell r="P147" t="str">
            <v/>
          </cell>
          <cell r="S147">
            <v>0</v>
          </cell>
          <cell r="T147">
            <v>0</v>
          </cell>
          <cell r="V147" t="str">
            <v/>
          </cell>
          <cell r="W147">
            <v>0</v>
          </cell>
          <cell r="Y147" t="str">
            <v/>
          </cell>
          <cell r="Z147">
            <v>0</v>
          </cell>
          <cell r="AA147" t="str">
            <v/>
          </cell>
        </row>
        <row r="148">
          <cell r="J148">
            <v>-406462.45</v>
          </cell>
          <cell r="K148">
            <v>-176856.06</v>
          </cell>
          <cell r="M148">
            <v>-1.2982670200840201</v>
          </cell>
          <cell r="N148">
            <v>-49250.409999999902</v>
          </cell>
          <cell r="P148">
            <v>-7.2529759650732002</v>
          </cell>
          <cell r="S148">
            <v>-406462.45</v>
          </cell>
          <cell r="T148">
            <v>-176856.06</v>
          </cell>
          <cell r="V148">
            <v>-1.2982670200840201</v>
          </cell>
          <cell r="W148">
            <v>-49250.409999999902</v>
          </cell>
          <cell r="Y148">
            <v>-7.2529759650732002</v>
          </cell>
          <cell r="Z148">
            <v>103838.07</v>
          </cell>
          <cell r="AA148">
            <v>-3.9143875651771798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8">
          <cell r="H158">
            <v>129030.87</v>
          </cell>
          <cell r="I158">
            <v>631295.71</v>
          </cell>
          <cell r="J158">
            <v>0.20439053831048501</v>
          </cell>
          <cell r="K158">
            <v>808427.54</v>
          </cell>
          <cell r="L158">
            <v>-0.84039278275947904</v>
          </cell>
          <cell r="M158">
            <v>-361955.44</v>
          </cell>
          <cell r="N158">
            <v>-126727.92</v>
          </cell>
          <cell r="O158">
            <v>-0.85616176766730001</v>
          </cell>
          <cell r="P158">
            <v>23988.070000000102</v>
          </cell>
          <cell r="Q158">
            <v>-16.088977145722801</v>
          </cell>
          <cell r="R158">
            <v>-406462.45</v>
          </cell>
          <cell r="S158">
            <v>-176856.06</v>
          </cell>
          <cell r="T158">
            <v>-0.29826702008401601</v>
          </cell>
          <cell r="U158">
            <v>-49250.409999999902</v>
          </cell>
          <cell r="V158">
            <v>-7.2529759650732002</v>
          </cell>
          <cell r="W158">
            <v>0.51806265066897195</v>
          </cell>
          <cell r="X158">
            <v>-2.8051848367758798</v>
          </cell>
          <cell r="Y158">
            <v>3.2112757919209499E-2</v>
          </cell>
          <cell r="Z158">
            <v>165.84337858220201</v>
          </cell>
          <cell r="AA158">
            <v>5.3256882689140799</v>
          </cell>
          <cell r="AB158">
            <v>0.81298808872838801</v>
          </cell>
          <cell r="AC158">
            <v>-0.59771863062783703</v>
          </cell>
          <cell r="AD158">
            <v>0.47804757233193801</v>
          </cell>
          <cell r="AE158">
            <v>0.98638897028471095</v>
          </cell>
          <cell r="AF158">
            <v>-0.59752879962580197</v>
          </cell>
          <cell r="AG158">
            <v>1.06594933444997</v>
          </cell>
          <cell r="AH158">
            <v>1.1984063893771899</v>
          </cell>
          <cell r="AI158">
            <v>1.6072897904199201E-3</v>
          </cell>
          <cell r="AJ158">
            <v>2.2241328761094099</v>
          </cell>
          <cell r="AK158">
            <v>0</v>
          </cell>
        </row>
        <row r="159">
          <cell r="H159">
            <v>129030.87</v>
          </cell>
          <cell r="I159">
            <v>631295.71</v>
          </cell>
          <cell r="J159">
            <v>0.20439053831048501</v>
          </cell>
          <cell r="K159">
            <v>808427.54</v>
          </cell>
          <cell r="L159">
            <v>-0.84039278275947904</v>
          </cell>
          <cell r="M159">
            <v>-361955.44</v>
          </cell>
          <cell r="N159">
            <v>-126727.92</v>
          </cell>
          <cell r="O159">
            <v>-0.85616176766730001</v>
          </cell>
          <cell r="P159">
            <v>23988.070000000102</v>
          </cell>
          <cell r="Q159">
            <v>-16.088977145722801</v>
          </cell>
          <cell r="R159">
            <v>-406462.45</v>
          </cell>
          <cell r="S159">
            <v>-176856.06</v>
          </cell>
          <cell r="T159">
            <v>-0.29826702008401601</v>
          </cell>
          <cell r="U159">
            <v>-49250.409999999902</v>
          </cell>
          <cell r="V159">
            <v>-7.2529759650732002</v>
          </cell>
          <cell r="W159">
            <v>0.51806265066897195</v>
          </cell>
          <cell r="X159">
            <v>-2.8051848367758798</v>
          </cell>
          <cell r="Y159">
            <v>3.2112757919209499E-2</v>
          </cell>
          <cell r="Z159">
            <v>165.84337858220201</v>
          </cell>
          <cell r="AA159">
            <v>5.3256882689140799</v>
          </cell>
          <cell r="AB159">
            <v>0.81298808872838801</v>
          </cell>
          <cell r="AC159">
            <v>-0.59771863062783703</v>
          </cell>
          <cell r="AD159">
            <v>0.47804757233193801</v>
          </cell>
          <cell r="AE159">
            <v>0.98638897028471095</v>
          </cell>
          <cell r="AF159">
            <v>-0.59752879962580197</v>
          </cell>
          <cell r="AG159">
            <v>1.06594933444997</v>
          </cell>
          <cell r="AH159">
            <v>1.1984063893771899</v>
          </cell>
          <cell r="AI159">
            <v>1.6072897904199201E-3</v>
          </cell>
          <cell r="AJ159">
            <v>2.2241328761094099</v>
          </cell>
          <cell r="AK15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T"/>
      <sheetName val="Sheet1"/>
      <sheetName val="酒店主体 (报送)"/>
      <sheetName val="酒店主体"/>
      <sheetName val="客房主体"/>
      <sheetName val="前厅公共"/>
      <sheetName val="前台"/>
      <sheetName val="预订"/>
      <sheetName val="礼宾"/>
      <sheetName val="管家公共"/>
      <sheetName val="客房"/>
      <sheetName val="公区"/>
      <sheetName val="餐饮"/>
      <sheetName val="中餐"/>
      <sheetName val="中餐厅"/>
      <sheetName val="中厨房"/>
      <sheetName val="西餐"/>
      <sheetName val="西餐厅"/>
      <sheetName val="西厨房"/>
      <sheetName val="特色餐厅"/>
      <sheetName val="餐饮其他"/>
      <sheetName val="餐饮公共"/>
      <sheetName val="出品公共"/>
      <sheetName val="宴会厅"/>
      <sheetName val="新零售"/>
      <sheetName val="水疗及健身"/>
      <sheetName val="康乐"/>
      <sheetName val="温泉"/>
      <sheetName val="其他营运部门"/>
      <sheetName val="行政"/>
      <sheetName val="人力行政"/>
      <sheetName val="财务"/>
      <sheetName val="采购"/>
      <sheetName val="综合办公室"/>
      <sheetName val="营销"/>
      <sheetName val="销售公共"/>
      <sheetName val="销售"/>
      <sheetName val="策划"/>
      <sheetName val="物业保养"/>
      <sheetName val="技术支持公共"/>
      <sheetName val="工程"/>
      <sheetName val="保安"/>
      <sheetName val="非经营"/>
      <sheetName val="业主代表部"/>
      <sheetName val="其他主体"/>
      <sheetName val="大润发"/>
      <sheetName val="商业街"/>
      <sheetName val="样板房"/>
      <sheetName val="其他"/>
    </sheetNames>
    <sheetDataSet>
      <sheetData sheetId="0">
        <row r="1">
          <cell r="B1">
            <v>2026</v>
          </cell>
        </row>
        <row r="2">
          <cell r="B2">
            <v>1</v>
          </cell>
        </row>
        <row r="6">
          <cell r="B6" t="str">
            <v>武汉市碧桂园凤凰酒店有限公司</v>
          </cell>
        </row>
      </sheetData>
      <sheetData sheetId="1" refreshError="1"/>
      <sheetData sheetId="2" refreshError="1"/>
      <sheetData sheetId="3">
        <row r="5">
          <cell r="J5">
            <v>10261</v>
          </cell>
          <cell r="K5">
            <v>10261</v>
          </cell>
          <cell r="M5">
            <v>0</v>
          </cell>
          <cell r="N5">
            <v>10261</v>
          </cell>
          <cell r="P5">
            <v>0</v>
          </cell>
          <cell r="S5">
            <v>10261</v>
          </cell>
          <cell r="T5">
            <v>10261</v>
          </cell>
          <cell r="V5">
            <v>0</v>
          </cell>
          <cell r="W5">
            <v>10261</v>
          </cell>
          <cell r="Y5">
            <v>0</v>
          </cell>
          <cell r="Z5">
            <v>120815</v>
          </cell>
          <cell r="AA5">
            <v>8.4931506849315094E-2</v>
          </cell>
        </row>
        <row r="6">
          <cell r="J6">
            <v>10261</v>
          </cell>
          <cell r="K6">
            <v>10261</v>
          </cell>
          <cell r="M6">
            <v>0</v>
          </cell>
          <cell r="N6">
            <v>10261</v>
          </cell>
          <cell r="P6">
            <v>0</v>
          </cell>
          <cell r="S6">
            <v>10261</v>
          </cell>
          <cell r="T6">
            <v>10261</v>
          </cell>
          <cell r="V6">
            <v>0</v>
          </cell>
          <cell r="W6">
            <v>10261</v>
          </cell>
          <cell r="Y6">
            <v>0</v>
          </cell>
          <cell r="Z6">
            <v>120815</v>
          </cell>
          <cell r="AA6">
            <v>8.4931506849315094E-2</v>
          </cell>
        </row>
        <row r="7">
          <cell r="J7">
            <v>2307.5</v>
          </cell>
          <cell r="K7">
            <v>2427</v>
          </cell>
          <cell r="M7">
            <v>-4.9237742068397199E-2</v>
          </cell>
          <cell r="N7">
            <v>1824</v>
          </cell>
          <cell r="P7">
            <v>0.26507675438596501</v>
          </cell>
          <cell r="S7">
            <v>2307.5</v>
          </cell>
          <cell r="T7">
            <v>2427</v>
          </cell>
          <cell r="V7">
            <v>-4.9237742068397199E-2</v>
          </cell>
          <cell r="W7">
            <v>1824</v>
          </cell>
          <cell r="Y7">
            <v>0.26507675438596501</v>
          </cell>
          <cell r="Z7">
            <v>38576.5</v>
          </cell>
          <cell r="AA7">
            <v>5.98162093502521E-2</v>
          </cell>
        </row>
        <row r="8">
          <cell r="J8">
            <v>2217</v>
          </cell>
          <cell r="K8">
            <v>2427</v>
          </cell>
          <cell r="M8">
            <v>-8.6526576019777507E-2</v>
          </cell>
          <cell r="N8">
            <v>1733</v>
          </cell>
          <cell r="P8">
            <v>0.27928447778418902</v>
          </cell>
          <cell r="S8">
            <v>2217</v>
          </cell>
          <cell r="T8">
            <v>2427</v>
          </cell>
          <cell r="V8">
            <v>-8.6526576019777507E-2</v>
          </cell>
          <cell r="W8">
            <v>1733</v>
          </cell>
          <cell r="Y8">
            <v>0.27928447778418902</v>
          </cell>
          <cell r="Z8">
            <v>38576.5</v>
          </cell>
          <cell r="AA8">
            <v>5.7470221507912797E-2</v>
          </cell>
        </row>
        <row r="9">
          <cell r="J9">
            <v>0.224880615924374</v>
          </cell>
          <cell r="K9">
            <v>0.236526654322191</v>
          </cell>
          <cell r="M9">
            <v>-4.9237742068397303E-2</v>
          </cell>
          <cell r="N9">
            <v>0.177760452197642</v>
          </cell>
          <cell r="P9">
            <v>0.26507675438596501</v>
          </cell>
          <cell r="S9">
            <v>0.224880615924374</v>
          </cell>
          <cell r="T9">
            <v>0.236526654322191</v>
          </cell>
          <cell r="V9">
            <v>-4.9237742068397303E-2</v>
          </cell>
          <cell r="W9">
            <v>0.177760452197642</v>
          </cell>
          <cell r="Y9">
            <v>0.26507675438596501</v>
          </cell>
          <cell r="Z9">
            <v>0.319302238960394</v>
          </cell>
          <cell r="AA9">
            <v>0.70428762622070995</v>
          </cell>
        </row>
        <row r="10">
          <cell r="J10">
            <v>0.21606081278627801</v>
          </cell>
          <cell r="K10">
            <v>0.236526654322191</v>
          </cell>
          <cell r="M10">
            <v>-8.6526576019777507E-2</v>
          </cell>
          <cell r="N10">
            <v>0.16889192086541299</v>
          </cell>
          <cell r="P10">
            <v>0.27928447778418902</v>
          </cell>
          <cell r="S10">
            <v>0.21606081278627801</v>
          </cell>
          <cell r="T10">
            <v>0.236526654322191</v>
          </cell>
          <cell r="V10">
            <v>-8.6526576019777507E-2</v>
          </cell>
          <cell r="W10">
            <v>0.16889192086541299</v>
          </cell>
          <cell r="Y10">
            <v>0.27928447778418902</v>
          </cell>
          <cell r="Z10">
            <v>0.319302238960394</v>
          </cell>
          <cell r="AA10">
            <v>0.67666551130284502</v>
          </cell>
        </row>
        <row r="11">
          <cell r="J11">
            <v>221.87889924160299</v>
          </cell>
          <cell r="K11">
            <v>225.60569427276499</v>
          </cell>
          <cell r="M11">
            <v>-1.6519064570486599E-2</v>
          </cell>
          <cell r="N11">
            <v>214.34107456140401</v>
          </cell>
          <cell r="P11">
            <v>3.5167429740773103E-2</v>
          </cell>
          <cell r="S11">
            <v>221.87889924160299</v>
          </cell>
          <cell r="T11">
            <v>225.60569427276499</v>
          </cell>
          <cell r="V11">
            <v>-1.6519064570486599E-2</v>
          </cell>
          <cell r="W11">
            <v>214.34107456140401</v>
          </cell>
          <cell r="Y11">
            <v>3.5167429740773103E-2</v>
          </cell>
          <cell r="Z11">
            <v>214.84119295426001</v>
          </cell>
          <cell r="AA11">
            <v>1.03275771368874</v>
          </cell>
        </row>
        <row r="12">
          <cell r="J12">
            <v>230.93620207487601</v>
          </cell>
          <cell r="K12">
            <v>225.60569427276499</v>
          </cell>
          <cell r="M12">
            <v>2.36275410480839E-2</v>
          </cell>
          <cell r="N12">
            <v>225.59614541257901</v>
          </cell>
          <cell r="P12">
            <v>2.3670868367588901E-2</v>
          </cell>
          <cell r="S12">
            <v>230.93620207487601</v>
          </cell>
          <cell r="T12">
            <v>225.60569427276499</v>
          </cell>
          <cell r="V12">
            <v>2.36275410480839E-2</v>
          </cell>
          <cell r="W12">
            <v>225.59614541257901</v>
          </cell>
          <cell r="Y12">
            <v>2.3670868367588901E-2</v>
          </cell>
          <cell r="Z12">
            <v>214.84119295426001</v>
          </cell>
          <cell r="AA12">
            <v>1.0749158431830299</v>
          </cell>
        </row>
        <row r="13">
          <cell r="J13">
            <v>49.896263522073902</v>
          </cell>
          <cell r="K13">
            <v>53.361760062372099</v>
          </cell>
          <cell r="M13">
            <v>-6.4943445198351005E-2</v>
          </cell>
          <cell r="N13">
            <v>38.101366338563501</v>
          </cell>
          <cell r="P13">
            <v>0.30956625226251899</v>
          </cell>
          <cell r="S13">
            <v>49.896263522073902</v>
          </cell>
          <cell r="T13">
            <v>53.361760062372099</v>
          </cell>
          <cell r="V13">
            <v>-6.4943445198351005E-2</v>
          </cell>
          <cell r="W13">
            <v>38.101366338563501</v>
          </cell>
          <cell r="Y13">
            <v>0.30956625226251899</v>
          </cell>
          <cell r="Z13">
            <v>68.599273931217198</v>
          </cell>
          <cell r="AA13">
            <v>0.72735847863497305</v>
          </cell>
        </row>
        <row r="16">
          <cell r="J16">
            <v>1136568.83</v>
          </cell>
          <cell r="K16">
            <v>1160828.73</v>
          </cell>
          <cell r="M16">
            <v>-2.0898776342311801E-2</v>
          </cell>
          <cell r="N16">
            <v>1251789.25</v>
          </cell>
          <cell r="P16">
            <v>-9.2044583383344994E-2</v>
          </cell>
          <cell r="S16">
            <v>1136568.83</v>
          </cell>
          <cell r="T16">
            <v>1160828.73</v>
          </cell>
          <cell r="V16">
            <v>-2.0898776342311801E-2</v>
          </cell>
          <cell r="W16">
            <v>1251789.25</v>
          </cell>
          <cell r="Y16">
            <v>-9.2044583383344994E-2</v>
          </cell>
          <cell r="Z16">
            <v>17816639.27</v>
          </cell>
          <cell r="AA16">
            <v>6.3792548795314999E-2</v>
          </cell>
        </row>
        <row r="17">
          <cell r="J17">
            <v>251127.97</v>
          </cell>
          <cell r="K17">
            <v>277975.51</v>
          </cell>
          <cell r="M17">
            <v>-9.6582393175571601E-2</v>
          </cell>
          <cell r="N17">
            <v>395021.8</v>
          </cell>
          <cell r="P17">
            <v>-0.36426807330633398</v>
          </cell>
          <cell r="S17">
            <v>251127.97</v>
          </cell>
          <cell r="T17">
            <v>277975.51</v>
          </cell>
          <cell r="V17">
            <v>-9.6582393175571601E-2</v>
          </cell>
          <cell r="W17">
            <v>395021.8</v>
          </cell>
          <cell r="Y17">
            <v>-0.36426807330633398</v>
          </cell>
          <cell r="Z17">
            <v>4134679.12</v>
          </cell>
          <cell r="AA17">
            <v>6.07369913629476E-2</v>
          </cell>
        </row>
        <row r="18">
          <cell r="J18">
            <v>381828.39</v>
          </cell>
          <cell r="K18">
            <v>427550.53</v>
          </cell>
          <cell r="M18">
            <v>-0.106939734117509</v>
          </cell>
          <cell r="N18">
            <v>485558.88</v>
          </cell>
          <cell r="P18">
            <v>-0.21363112543632201</v>
          </cell>
          <cell r="S18">
            <v>381828.39</v>
          </cell>
          <cell r="T18">
            <v>427550.53</v>
          </cell>
          <cell r="V18">
            <v>-0.106939734117509</v>
          </cell>
          <cell r="W18">
            <v>485558.88</v>
          </cell>
          <cell r="Y18">
            <v>-0.21363112543632201</v>
          </cell>
          <cell r="Z18">
            <v>5506060.0999999996</v>
          </cell>
          <cell r="AA18">
            <v>6.9346934662046306E-2</v>
          </cell>
        </row>
        <row r="19">
          <cell r="J19">
            <v>445590.2</v>
          </cell>
          <cell r="K19">
            <v>545095.5</v>
          </cell>
          <cell r="M19">
            <v>-0.182546544596314</v>
          </cell>
          <cell r="N19">
            <v>550657.59</v>
          </cell>
          <cell r="P19">
            <v>-0.19080349005994801</v>
          </cell>
          <cell r="S19">
            <v>445590.2</v>
          </cell>
          <cell r="T19">
            <v>545095.5</v>
          </cell>
          <cell r="V19">
            <v>-0.182546544596314</v>
          </cell>
          <cell r="W19">
            <v>550657.59</v>
          </cell>
          <cell r="Y19">
            <v>-0.19080349005994801</v>
          </cell>
          <cell r="Z19">
            <v>6208649.6699999999</v>
          </cell>
          <cell r="AA19">
            <v>7.1769261221659497E-2</v>
          </cell>
        </row>
        <row r="20">
          <cell r="J20">
            <v>58022.27</v>
          </cell>
          <cell r="K20">
            <v>-89792.8100000001</v>
          </cell>
          <cell r="M20">
            <v>1.64617946581692</v>
          </cell>
          <cell r="N20">
            <v>-179449.02</v>
          </cell>
          <cell r="P20">
            <v>1.3233356749454499</v>
          </cell>
          <cell r="S20">
            <v>58022.27</v>
          </cell>
          <cell r="T20">
            <v>-89792.8100000001</v>
          </cell>
          <cell r="V20">
            <v>1.64617946581692</v>
          </cell>
          <cell r="W20">
            <v>-179449.02</v>
          </cell>
          <cell r="Y20">
            <v>1.3233356749454499</v>
          </cell>
          <cell r="Z20">
            <v>1967250.38</v>
          </cell>
          <cell r="AA20">
            <v>2.94940952051055E-2</v>
          </cell>
        </row>
        <row r="21">
          <cell r="J21">
            <v>5.1050379412569298E-2</v>
          </cell>
          <cell r="K21">
            <v>-7.7352332587426603E-2</v>
          </cell>
          <cell r="M21">
            <v>1.65997207459607</v>
          </cell>
          <cell r="N21">
            <v>-0.143354019057122</v>
          </cell>
          <cell r="P21">
            <v>1.3561140437382999</v>
          </cell>
          <cell r="S21">
            <v>5.1050379412569298E-2</v>
          </cell>
          <cell r="T21">
            <v>-7.7352332587426603E-2</v>
          </cell>
          <cell r="V21">
            <v>1.65997207459607</v>
          </cell>
          <cell r="W21">
            <v>-0.143354019057122</v>
          </cell>
          <cell r="Y21">
            <v>1.3561140437382999</v>
          </cell>
          <cell r="Z21">
            <v>0.110416468009907</v>
          </cell>
          <cell r="AA21">
            <v>0.46234389065940001</v>
          </cell>
        </row>
        <row r="22">
          <cell r="J22">
            <v>28531.81</v>
          </cell>
          <cell r="K22">
            <v>17412.43</v>
          </cell>
          <cell r="M22">
            <v>0.63858864041377295</v>
          </cell>
          <cell r="N22">
            <v>28984.99</v>
          </cell>
          <cell r="P22">
            <v>-1.5634989006378799E-2</v>
          </cell>
          <cell r="S22">
            <v>28531.81</v>
          </cell>
          <cell r="T22">
            <v>17412.43</v>
          </cell>
          <cell r="V22">
            <v>0.63858864041377295</v>
          </cell>
          <cell r="W22">
            <v>28984.99</v>
          </cell>
          <cell r="Y22">
            <v>-1.5634989006378799E-2</v>
          </cell>
          <cell r="Z22">
            <v>267249.61</v>
          </cell>
          <cell r="AA22">
            <v>0.106760904159972</v>
          </cell>
        </row>
        <row r="23">
          <cell r="J23">
            <v>-138945.96</v>
          </cell>
          <cell r="K23">
            <v>-141666</v>
          </cell>
          <cell r="M23">
            <v>1.9200372707636301E-2</v>
          </cell>
          <cell r="N23">
            <v>-143525.92000000001</v>
          </cell>
          <cell r="P23">
            <v>3.19103336874621E-2</v>
          </cell>
          <cell r="S23">
            <v>-138945.96</v>
          </cell>
          <cell r="T23">
            <v>-141666</v>
          </cell>
          <cell r="V23">
            <v>1.9200372707636301E-2</v>
          </cell>
          <cell r="W23">
            <v>-143525.92000000001</v>
          </cell>
          <cell r="Y23">
            <v>3.19103336874621E-2</v>
          </cell>
          <cell r="Z23">
            <v>-1700000</v>
          </cell>
          <cell r="AA23">
            <v>1.91826708235294</v>
          </cell>
        </row>
        <row r="24">
          <cell r="J24">
            <v>-109455.5</v>
          </cell>
          <cell r="K24">
            <v>-248871.24</v>
          </cell>
          <cell r="M24">
            <v>0.56019225041832899</v>
          </cell>
          <cell r="N24">
            <v>-351959.93</v>
          </cell>
          <cell r="P24">
            <v>0.68901147355041203</v>
          </cell>
          <cell r="S24">
            <v>-109455.5</v>
          </cell>
          <cell r="T24">
            <v>-248871.24</v>
          </cell>
          <cell r="V24">
            <v>0.56019225041832899</v>
          </cell>
          <cell r="W24">
            <v>-351959.93</v>
          </cell>
          <cell r="Y24">
            <v>0.68901147355041203</v>
          </cell>
          <cell r="Z24">
            <v>0.76999999908730399</v>
          </cell>
          <cell r="AA24">
            <v>-142150.00016849299</v>
          </cell>
        </row>
        <row r="25">
          <cell r="J25">
            <v>0</v>
          </cell>
          <cell r="K25">
            <v>0</v>
          </cell>
          <cell r="M25" t="str">
            <v/>
          </cell>
          <cell r="N25">
            <v>45500.583100000003</v>
          </cell>
          <cell r="P25">
            <v>-1</v>
          </cell>
          <cell r="S25">
            <v>0</v>
          </cell>
          <cell r="T25">
            <v>0</v>
          </cell>
          <cell r="V25" t="str">
            <v/>
          </cell>
          <cell r="W25">
            <v>45500.583100000003</v>
          </cell>
          <cell r="Y25">
            <v>-1</v>
          </cell>
          <cell r="Z25">
            <v>0</v>
          </cell>
          <cell r="AA25" t="str">
            <v/>
          </cell>
        </row>
        <row r="26">
          <cell r="J26">
            <v>-109455.5</v>
          </cell>
          <cell r="K26">
            <v>-248871.24</v>
          </cell>
          <cell r="M26">
            <v>0.56019225041832899</v>
          </cell>
          <cell r="N26">
            <v>-397460.51309999998</v>
          </cell>
          <cell r="P26">
            <v>0.72461289513692795</v>
          </cell>
          <cell r="S26">
            <v>-109455.5</v>
          </cell>
          <cell r="T26">
            <v>-248871.24</v>
          </cell>
          <cell r="V26">
            <v>0.56019225041832899</v>
          </cell>
          <cell r="W26">
            <v>-397460.51309999998</v>
          </cell>
          <cell r="Y26">
            <v>0.72461289513692795</v>
          </cell>
          <cell r="Z26">
            <v>0.76999999908730399</v>
          </cell>
          <cell r="AA26">
            <v>-142150.00016849299</v>
          </cell>
        </row>
        <row r="27">
          <cell r="J27">
            <v>624953.99</v>
          </cell>
          <cell r="K27">
            <v>620425.76</v>
          </cell>
          <cell r="M27">
            <v>7.2985847654036496E-3</v>
          </cell>
          <cell r="N27">
            <v>616149.55000000005</v>
          </cell>
          <cell r="P27">
            <v>1.42894529420661E-2</v>
          </cell>
          <cell r="S27">
            <v>624953.99</v>
          </cell>
          <cell r="T27">
            <v>620425.76</v>
          </cell>
          <cell r="V27">
            <v>7.2985847654036496E-3</v>
          </cell>
          <cell r="W27">
            <v>616149.55000000005</v>
          </cell>
          <cell r="Y27">
            <v>1.42894529420661E-2</v>
          </cell>
          <cell r="Z27">
            <v>7427572.1200000001</v>
          </cell>
          <cell r="AA27">
            <v>8.4139740402816798E-2</v>
          </cell>
        </row>
        <row r="28">
          <cell r="J28">
            <v>0</v>
          </cell>
          <cell r="K28">
            <v>0</v>
          </cell>
          <cell r="M28" t="str">
            <v/>
          </cell>
          <cell r="N28">
            <v>0</v>
          </cell>
          <cell r="P28" t="str">
            <v/>
          </cell>
          <cell r="S28">
            <v>0</v>
          </cell>
          <cell r="T28">
            <v>0</v>
          </cell>
          <cell r="V28" t="str">
            <v/>
          </cell>
          <cell r="W28">
            <v>0</v>
          </cell>
          <cell r="Y28" t="str">
            <v/>
          </cell>
          <cell r="Z28">
            <v>0</v>
          </cell>
          <cell r="AA28" t="str">
            <v/>
          </cell>
        </row>
        <row r="29">
          <cell r="J29">
            <v>-734409.49</v>
          </cell>
          <cell r="K29">
            <v>-869297</v>
          </cell>
          <cell r="M29">
            <v>0.155168498223277</v>
          </cell>
          <cell r="N29">
            <v>-1013610.0631</v>
          </cell>
          <cell r="P29">
            <v>0.275451658644844</v>
          </cell>
          <cell r="S29">
            <v>-734409.49</v>
          </cell>
          <cell r="T29">
            <v>-869297</v>
          </cell>
          <cell r="V29">
            <v>0.155168498223277</v>
          </cell>
          <cell r="W29">
            <v>-1013610.0631</v>
          </cell>
          <cell r="Y29">
            <v>0.275451658644844</v>
          </cell>
          <cell r="Z29">
            <v>-7427571.3499999996</v>
          </cell>
          <cell r="AA29">
            <v>1.9011238727447599</v>
          </cell>
        </row>
        <row r="31">
          <cell r="J31">
            <v>539485.22</v>
          </cell>
          <cell r="K31">
            <v>588515.1</v>
          </cell>
          <cell r="M31">
            <v>-8.3311167377013801E-2</v>
          </cell>
          <cell r="N31">
            <v>683152.78</v>
          </cell>
          <cell r="P31">
            <v>-0.21030077635049699</v>
          </cell>
          <cell r="S31">
            <v>539485.22</v>
          </cell>
          <cell r="T31">
            <v>588515.1</v>
          </cell>
          <cell r="V31">
            <v>-8.3311167377013801E-2</v>
          </cell>
          <cell r="W31">
            <v>683152.78</v>
          </cell>
          <cell r="Y31">
            <v>-0.21030077635049699</v>
          </cell>
          <cell r="Z31">
            <v>7179133.0300000003</v>
          </cell>
          <cell r="AA31">
            <v>7.5146291027845702E-2</v>
          </cell>
        </row>
        <row r="32">
          <cell r="J32">
            <v>25000</v>
          </cell>
          <cell r="K32">
            <v>25000</v>
          </cell>
          <cell r="M32">
            <v>0</v>
          </cell>
          <cell r="N32">
            <v>50000</v>
          </cell>
          <cell r="P32">
            <v>-0.5</v>
          </cell>
          <cell r="S32">
            <v>25000</v>
          </cell>
          <cell r="T32">
            <v>25000</v>
          </cell>
          <cell r="V32">
            <v>0</v>
          </cell>
          <cell r="W32">
            <v>50000</v>
          </cell>
          <cell r="Y32">
            <v>-0.5</v>
          </cell>
          <cell r="Z32">
            <v>300000</v>
          </cell>
          <cell r="AA32">
            <v>8.3333333333333301E-2</v>
          </cell>
        </row>
        <row r="33">
          <cell r="J33">
            <v>0.47466128382211598</v>
          </cell>
          <cell r="K33">
            <v>0.50697840671121197</v>
          </cell>
          <cell r="M33">
            <v>-6.3744574643206001E-2</v>
          </cell>
          <cell r="N33">
            <v>0.545741050260657</v>
          </cell>
          <cell r="P33">
            <v>-0.13024449306972999</v>
          </cell>
          <cell r="S33">
            <v>0.47466128382211598</v>
          </cell>
          <cell r="T33">
            <v>0.50697840671121197</v>
          </cell>
          <cell r="V33">
            <v>-6.3744574643206001E-2</v>
          </cell>
          <cell r="W33">
            <v>0.545741050260657</v>
          </cell>
          <cell r="Y33">
            <v>-0.13024449306972999</v>
          </cell>
          <cell r="Z33">
            <v>0.40294541081540303</v>
          </cell>
          <cell r="AA33">
            <v>1.17797912839257</v>
          </cell>
        </row>
        <row r="34">
          <cell r="J34">
            <v>132997.87</v>
          </cell>
          <cell r="K34">
            <v>144300</v>
          </cell>
          <cell r="M34">
            <v>-7.8323839223839301E-2</v>
          </cell>
          <cell r="N34">
            <v>120892.18</v>
          </cell>
          <cell r="P34">
            <v>0.100136253643536</v>
          </cell>
          <cell r="S34">
            <v>132997.87</v>
          </cell>
          <cell r="T34">
            <v>144300</v>
          </cell>
          <cell r="V34">
            <v>-7.8323839223839301E-2</v>
          </cell>
          <cell r="W34">
            <v>120892.18</v>
          </cell>
          <cell r="Y34">
            <v>0.100136253643536</v>
          </cell>
          <cell r="Z34">
            <v>1486000</v>
          </cell>
          <cell r="AA34">
            <v>8.9500585464333801E-2</v>
          </cell>
        </row>
        <row r="35">
          <cell r="J35">
            <v>0.117016995794263</v>
          </cell>
          <cell r="K35">
            <v>0.124307743485984</v>
          </cell>
          <cell r="M35">
            <v>-5.8650792680046901E-2</v>
          </cell>
          <cell r="N35">
            <v>9.6575505820967897E-2</v>
          </cell>
          <cell r="P35">
            <v>0.21166329701849401</v>
          </cell>
          <cell r="S35">
            <v>0.117016995794263</v>
          </cell>
          <cell r="T35">
            <v>0.124307743485984</v>
          </cell>
          <cell r="V35">
            <v>-5.8650792680046901E-2</v>
          </cell>
          <cell r="W35">
            <v>9.6575505820967897E-2</v>
          </cell>
          <cell r="Y35">
            <v>0.21166329701849401</v>
          </cell>
          <cell r="Z35">
            <v>8.3405179701996596E-2</v>
          </cell>
          <cell r="AA35">
            <v>1.40299434894043</v>
          </cell>
        </row>
        <row r="36">
          <cell r="J36">
            <v>18239.38</v>
          </cell>
          <cell r="K36">
            <v>28000</v>
          </cell>
          <cell r="M36">
            <v>-0.348593571428572</v>
          </cell>
          <cell r="N36">
            <v>32562.07</v>
          </cell>
          <cell r="P36">
            <v>-0.43985809255983999</v>
          </cell>
          <cell r="S36">
            <v>18239.38</v>
          </cell>
          <cell r="T36">
            <v>28000</v>
          </cell>
          <cell r="V36">
            <v>-0.348593571428572</v>
          </cell>
          <cell r="W36">
            <v>32562.07</v>
          </cell>
          <cell r="Y36">
            <v>-0.43985809255983999</v>
          </cell>
          <cell r="Z36">
            <v>356000</v>
          </cell>
          <cell r="AA36">
            <v>5.12342134831461E-2</v>
          </cell>
        </row>
        <row r="37">
          <cell r="J37">
            <v>1.6047756650162601E-2</v>
          </cell>
          <cell r="K37">
            <v>2.4120698666718898E-2</v>
          </cell>
          <cell r="M37">
            <v>-0.33468939387295399</v>
          </cell>
          <cell r="N37">
            <v>2.6012421819407699E-2</v>
          </cell>
          <cell r="P37">
            <v>-0.38307333467161298</v>
          </cell>
          <cell r="S37">
            <v>1.6047756650162601E-2</v>
          </cell>
          <cell r="T37">
            <v>2.4120698666718898E-2</v>
          </cell>
          <cell r="V37">
            <v>-0.33468939387295399</v>
          </cell>
          <cell r="W37">
            <v>2.6012421819407699E-2</v>
          </cell>
          <cell r="Y37">
            <v>-0.38307333467161298</v>
          </cell>
          <cell r="Z37">
            <v>1.99813216513532E-2</v>
          </cell>
          <cell r="AA37">
            <v>0.80313789699070304</v>
          </cell>
        </row>
        <row r="38">
          <cell r="J38">
            <v>16269.54</v>
          </cell>
          <cell r="K38">
            <v>27108.63</v>
          </cell>
          <cell r="M38">
            <v>-0.39983909183164201</v>
          </cell>
          <cell r="N38">
            <v>25676.9</v>
          </cell>
          <cell r="P38">
            <v>-0.36637444551328202</v>
          </cell>
          <cell r="S38">
            <v>16269.54</v>
          </cell>
          <cell r="T38">
            <v>27108.63</v>
          </cell>
          <cell r="V38">
            <v>-0.39983909183164201</v>
          </cell>
          <cell r="W38">
            <v>25676.9</v>
          </cell>
          <cell r="Y38">
            <v>-0.36637444551328202</v>
          </cell>
          <cell r="Z38">
            <v>383000.01</v>
          </cell>
          <cell r="AA38">
            <v>4.24792156010649E-2</v>
          </cell>
        </row>
        <row r="39">
          <cell r="J39">
            <v>1.43146104050733E-2</v>
          </cell>
          <cell r="K39">
            <v>2.33528248391991E-2</v>
          </cell>
          <cell r="M39">
            <v>-0.38702874261937897</v>
          </cell>
          <cell r="N39">
            <v>2.05121588957566E-2</v>
          </cell>
          <cell r="P39">
            <v>-0.30214023410112101</v>
          </cell>
          <cell r="S39">
            <v>1.43146104050733E-2</v>
          </cell>
          <cell r="T39">
            <v>2.33528248391991E-2</v>
          </cell>
          <cell r="V39">
            <v>-0.38702874261937897</v>
          </cell>
          <cell r="W39">
            <v>2.05121588957566E-2</v>
          </cell>
          <cell r="Y39">
            <v>-0.30214023410112101</v>
          </cell>
          <cell r="Z39">
            <v>2.14967595288806E-2</v>
          </cell>
          <cell r="AA39">
            <v>0.66589619639377995</v>
          </cell>
        </row>
        <row r="43">
          <cell r="J43">
            <v>512343.26</v>
          </cell>
          <cell r="K43">
            <v>547545.02</v>
          </cell>
          <cell r="M43">
            <v>-6.4290165583096706E-2</v>
          </cell>
          <cell r="N43">
            <v>396434.95</v>
          </cell>
          <cell r="P43">
            <v>0.29237661815639598</v>
          </cell>
          <cell r="S43">
            <v>512343.26</v>
          </cell>
          <cell r="T43">
            <v>547545.02</v>
          </cell>
          <cell r="V43">
            <v>-6.4290165583096706E-2</v>
          </cell>
          <cell r="W43">
            <v>396434.95</v>
          </cell>
          <cell r="Y43">
            <v>0.29237661815639598</v>
          </cell>
          <cell r="Z43">
            <v>8287821.2800000003</v>
          </cell>
          <cell r="AA43">
            <v>6.1818811324560803E-2</v>
          </cell>
        </row>
        <row r="44">
          <cell r="J44">
            <v>78995.490000000005</v>
          </cell>
          <cell r="K44">
            <v>93700.2</v>
          </cell>
          <cell r="M44">
            <v>-0.156933603129983</v>
          </cell>
          <cell r="N44">
            <v>58188.93</v>
          </cell>
          <cell r="P44">
            <v>0.357569042771537</v>
          </cell>
          <cell r="S44">
            <v>78995.490000000005</v>
          </cell>
          <cell r="T44">
            <v>93700.2</v>
          </cell>
          <cell r="V44">
            <v>-0.156933603129983</v>
          </cell>
          <cell r="W44">
            <v>58188.93</v>
          </cell>
          <cell r="Y44">
            <v>0.357569042771537</v>
          </cell>
          <cell r="Z44">
            <v>1145402.3999999999</v>
          </cell>
          <cell r="AA44">
            <v>6.8967456328011906E-2</v>
          </cell>
        </row>
        <row r="45">
          <cell r="J45">
            <v>28122.21</v>
          </cell>
          <cell r="K45">
            <v>29547.35</v>
          </cell>
          <cell r="M45">
            <v>-4.8232413397479003E-2</v>
          </cell>
          <cell r="N45">
            <v>40610.839999999997</v>
          </cell>
          <cell r="P45">
            <v>-0.30751961791482302</v>
          </cell>
          <cell r="S45">
            <v>28122.21</v>
          </cell>
          <cell r="T45">
            <v>29547.35</v>
          </cell>
          <cell r="V45">
            <v>-4.8232413397479003E-2</v>
          </cell>
          <cell r="W45">
            <v>40610.839999999997</v>
          </cell>
          <cell r="Y45">
            <v>-0.30751961791482302</v>
          </cell>
          <cell r="Z45">
            <v>356946.82</v>
          </cell>
          <cell r="AA45">
            <v>7.8785433639666502E-2</v>
          </cell>
        </row>
        <row r="46">
          <cell r="J46">
            <v>92721.15</v>
          </cell>
          <cell r="K46">
            <v>117464.5</v>
          </cell>
          <cell r="M46">
            <v>-0.21064534391241599</v>
          </cell>
          <cell r="N46">
            <v>102999.67</v>
          </cell>
          <cell r="P46">
            <v>-9.9791776031903603E-2</v>
          </cell>
          <cell r="S46">
            <v>92721.15</v>
          </cell>
          <cell r="T46">
            <v>117464.5</v>
          </cell>
          <cell r="V46">
            <v>-0.21064534391241599</v>
          </cell>
          <cell r="W46">
            <v>102999.67</v>
          </cell>
          <cell r="Y46">
            <v>-9.9791776031903603E-2</v>
          </cell>
          <cell r="Z46">
            <v>1631665.46</v>
          </cell>
          <cell r="AA46">
            <v>5.68260787968142E-2</v>
          </cell>
        </row>
        <row r="47">
          <cell r="J47">
            <v>199838.85</v>
          </cell>
          <cell r="K47">
            <v>240712.05</v>
          </cell>
          <cell r="M47">
            <v>-0.169801221002438</v>
          </cell>
          <cell r="N47">
            <v>201799.44</v>
          </cell>
          <cell r="P47">
            <v>-9.7155373671999595E-3</v>
          </cell>
          <cell r="S47">
            <v>199838.85</v>
          </cell>
          <cell r="T47">
            <v>240712.05</v>
          </cell>
          <cell r="V47">
            <v>-0.169801221002438</v>
          </cell>
          <cell r="W47">
            <v>201799.44</v>
          </cell>
          <cell r="Y47">
            <v>-9.7155373671999595E-3</v>
          </cell>
          <cell r="Z47">
            <v>3134014.68</v>
          </cell>
          <cell r="AA47">
            <v>6.3764490726635606E-2</v>
          </cell>
        </row>
        <row r="48">
          <cell r="J48">
            <v>312504.40999999997</v>
          </cell>
          <cell r="K48">
            <v>306832.96999999997</v>
          </cell>
          <cell r="M48">
            <v>1.8483802441439101E-2</v>
          </cell>
          <cell r="N48">
            <v>194635.51</v>
          </cell>
          <cell r="P48">
            <v>0.60558784982247105</v>
          </cell>
          <cell r="S48">
            <v>312504.40999999997</v>
          </cell>
          <cell r="T48">
            <v>306832.96999999997</v>
          </cell>
          <cell r="V48">
            <v>1.8483802441439101E-2</v>
          </cell>
          <cell r="W48">
            <v>194635.51</v>
          </cell>
          <cell r="Y48">
            <v>0.60558784982247105</v>
          </cell>
          <cell r="Z48">
            <v>5153806.5999999996</v>
          </cell>
          <cell r="AA48">
            <v>6.0635649385834503E-2</v>
          </cell>
        </row>
        <row r="49">
          <cell r="J49">
            <v>0.60995124635776399</v>
          </cell>
          <cell r="K49">
            <v>0.560379436927396</v>
          </cell>
          <cell r="M49">
            <v>8.8461150006099096E-2</v>
          </cell>
          <cell r="N49">
            <v>0.49096455799368799</v>
          </cell>
          <cell r="P49">
            <v>0.24235290801908599</v>
          </cell>
          <cell r="S49">
            <v>0.60995124635776399</v>
          </cell>
          <cell r="T49">
            <v>0.560379436927396</v>
          </cell>
          <cell r="V49">
            <v>8.8461150006099096E-2</v>
          </cell>
          <cell r="W49">
            <v>0.49096455799368799</v>
          </cell>
          <cell r="Y49">
            <v>0.24235290801908599</v>
          </cell>
          <cell r="Z49">
            <v>0.62185300887665895</v>
          </cell>
          <cell r="AA49">
            <v>0.98086081059510499</v>
          </cell>
        </row>
        <row r="52">
          <cell r="J52">
            <v>504977.39</v>
          </cell>
          <cell r="K52">
            <v>509483.02</v>
          </cell>
          <cell r="M52">
            <v>-8.8435331956696096E-3</v>
          </cell>
          <cell r="N52">
            <v>697991.59</v>
          </cell>
          <cell r="P52">
            <v>-0.27652797363933901</v>
          </cell>
          <cell r="S52">
            <v>504977.39</v>
          </cell>
          <cell r="T52">
            <v>509483.02</v>
          </cell>
          <cell r="V52">
            <v>-8.8435331956696096E-3</v>
          </cell>
          <cell r="W52">
            <v>697991.59</v>
          </cell>
          <cell r="Y52">
            <v>-0.27652797363933901</v>
          </cell>
          <cell r="Z52">
            <v>7562941.7000000002</v>
          </cell>
          <cell r="AA52">
            <v>6.6769969944367E-2</v>
          </cell>
        </row>
        <row r="53">
          <cell r="J53">
            <v>1471.69</v>
          </cell>
          <cell r="K53">
            <v>0</v>
          </cell>
          <cell r="M53" t="str">
            <v/>
          </cell>
          <cell r="N53">
            <v>7264.03</v>
          </cell>
          <cell r="P53">
            <v>-0.797400341132952</v>
          </cell>
          <cell r="S53">
            <v>1471.69</v>
          </cell>
          <cell r="T53">
            <v>0</v>
          </cell>
          <cell r="V53" t="str">
            <v/>
          </cell>
          <cell r="W53">
            <v>7264.03</v>
          </cell>
          <cell r="Y53">
            <v>-0.797400341132952</v>
          </cell>
          <cell r="Z53">
            <v>0</v>
          </cell>
          <cell r="AA53" t="str">
            <v/>
          </cell>
        </row>
        <row r="54">
          <cell r="J54">
            <v>7236.3</v>
          </cell>
          <cell r="K54">
            <v>8849.56</v>
          </cell>
          <cell r="M54">
            <v>-0.182298328956468</v>
          </cell>
          <cell r="N54">
            <v>40015.11</v>
          </cell>
          <cell r="P54">
            <v>-0.81916081200326596</v>
          </cell>
          <cell r="S54">
            <v>7236.3</v>
          </cell>
          <cell r="T54">
            <v>8849.56</v>
          </cell>
          <cell r="V54">
            <v>-0.182298328956468</v>
          </cell>
          <cell r="W54">
            <v>40015.11</v>
          </cell>
          <cell r="Y54">
            <v>-0.81916081200326596</v>
          </cell>
          <cell r="Z54">
            <v>238938.08</v>
          </cell>
          <cell r="AA54">
            <v>3.02852521456605E-2</v>
          </cell>
        </row>
        <row r="55">
          <cell r="J55">
            <v>72357.850000000006</v>
          </cell>
          <cell r="K55">
            <v>66037.740000000005</v>
          </cell>
          <cell r="M55">
            <v>9.5704516841430207E-2</v>
          </cell>
          <cell r="N55">
            <v>54772.69</v>
          </cell>
          <cell r="P55">
            <v>0.32105708154921703</v>
          </cell>
          <cell r="S55">
            <v>72357.850000000006</v>
          </cell>
          <cell r="T55">
            <v>66037.740000000005</v>
          </cell>
          <cell r="V55">
            <v>9.5704516841430207E-2</v>
          </cell>
          <cell r="W55">
            <v>54772.69</v>
          </cell>
          <cell r="Y55">
            <v>0.32105708154921703</v>
          </cell>
          <cell r="Z55">
            <v>1377358.49</v>
          </cell>
          <cell r="AA55">
            <v>5.2533781528438503E-2</v>
          </cell>
        </row>
        <row r="56">
          <cell r="J56">
            <v>586043.23</v>
          </cell>
          <cell r="K56">
            <v>584370.31999999995</v>
          </cell>
          <cell r="M56">
            <v>2.8627566163865301E-3</v>
          </cell>
          <cell r="N56">
            <v>800043.42</v>
          </cell>
          <cell r="P56">
            <v>-0.26748571971256302</v>
          </cell>
          <cell r="S56">
            <v>586043.23</v>
          </cell>
          <cell r="T56">
            <v>584370.31999999995</v>
          </cell>
          <cell r="V56">
            <v>2.8627566163865301E-3</v>
          </cell>
          <cell r="W56">
            <v>800043.42</v>
          </cell>
          <cell r="Y56">
            <v>-0.26748571971256302</v>
          </cell>
          <cell r="Z56">
            <v>9179238.2699999996</v>
          </cell>
          <cell r="AA56">
            <v>6.3844429435428507E-2</v>
          </cell>
        </row>
        <row r="57">
          <cell r="J57">
            <v>229273.75</v>
          </cell>
          <cell r="K57">
            <v>257168.8</v>
          </cell>
          <cell r="M57">
            <v>-0.108469806601734</v>
          </cell>
          <cell r="N57">
            <v>315993.03000000003</v>
          </cell>
          <cell r="P57">
            <v>-0.274434154449546</v>
          </cell>
          <cell r="S57">
            <v>229273.75</v>
          </cell>
          <cell r="T57">
            <v>257168.8</v>
          </cell>
          <cell r="V57">
            <v>-0.108469806601734</v>
          </cell>
          <cell r="W57">
            <v>315993.03000000003</v>
          </cell>
          <cell r="Y57">
            <v>-0.274434154449546</v>
          </cell>
          <cell r="Z57">
            <v>3740015.9</v>
          </cell>
          <cell r="AA57">
            <v>6.1302881092029603E-2</v>
          </cell>
        </row>
        <row r="58">
          <cell r="J58">
            <v>2722.3</v>
          </cell>
          <cell r="K58">
            <v>0</v>
          </cell>
          <cell r="M58" t="str">
            <v/>
          </cell>
          <cell r="N58">
            <v>8396.27</v>
          </cell>
          <cell r="P58">
            <v>-0.67577269430354203</v>
          </cell>
          <cell r="S58">
            <v>2722.3</v>
          </cell>
          <cell r="T58">
            <v>0</v>
          </cell>
          <cell r="V58" t="str">
            <v/>
          </cell>
          <cell r="W58">
            <v>8396.27</v>
          </cell>
          <cell r="Y58">
            <v>-0.67577269430354203</v>
          </cell>
          <cell r="Z58">
            <v>105309.7</v>
          </cell>
          <cell r="AA58">
            <v>2.58504202366923E-2</v>
          </cell>
        </row>
        <row r="59">
          <cell r="J59">
            <v>4761.0600000000004</v>
          </cell>
          <cell r="K59">
            <v>0</v>
          </cell>
          <cell r="M59" t="str">
            <v/>
          </cell>
          <cell r="N59">
            <v>48047.32</v>
          </cell>
          <cell r="P59">
            <v>-0.90090893727267196</v>
          </cell>
          <cell r="S59">
            <v>4761.0600000000004</v>
          </cell>
          <cell r="T59">
            <v>0</v>
          </cell>
          <cell r="V59" t="str">
            <v/>
          </cell>
          <cell r="W59">
            <v>48047.32</v>
          </cell>
          <cell r="Y59">
            <v>-0.90090893727267196</v>
          </cell>
          <cell r="Z59">
            <v>0</v>
          </cell>
          <cell r="AA59" t="str">
            <v/>
          </cell>
        </row>
        <row r="60">
          <cell r="J60">
            <v>236757.11</v>
          </cell>
          <cell r="K60">
            <v>257168.8</v>
          </cell>
          <cell r="M60">
            <v>-7.9370786813952598E-2</v>
          </cell>
          <cell r="N60">
            <v>372436.62</v>
          </cell>
          <cell r="P60">
            <v>-0.36430228047929297</v>
          </cell>
          <cell r="S60">
            <v>236757.11</v>
          </cell>
          <cell r="T60">
            <v>257168.8</v>
          </cell>
          <cell r="V60">
            <v>-7.9370786813952598E-2</v>
          </cell>
          <cell r="W60">
            <v>372436.62</v>
          </cell>
          <cell r="Y60">
            <v>-0.36430228047929297</v>
          </cell>
          <cell r="Z60">
            <v>3845325.6</v>
          </cell>
          <cell r="AA60">
            <v>6.15701073531979E-2</v>
          </cell>
        </row>
        <row r="61">
          <cell r="J61">
            <v>142904.4</v>
          </cell>
          <cell r="K61">
            <v>138104</v>
          </cell>
          <cell r="M61">
            <v>3.4759311822973898E-2</v>
          </cell>
          <cell r="N61">
            <v>193574.63</v>
          </cell>
          <cell r="P61">
            <v>-0.26176069663674401</v>
          </cell>
          <cell r="S61">
            <v>142904.4</v>
          </cell>
          <cell r="T61">
            <v>138104</v>
          </cell>
          <cell r="V61">
            <v>3.4759311822973898E-2</v>
          </cell>
          <cell r="W61">
            <v>193574.63</v>
          </cell>
          <cell r="Y61">
            <v>-0.26176069663674401</v>
          </cell>
          <cell r="Z61">
            <v>1735319.42</v>
          </cell>
          <cell r="AA61">
            <v>8.2350487381740903E-2</v>
          </cell>
        </row>
        <row r="62">
          <cell r="J62">
            <v>40035.24</v>
          </cell>
          <cell r="K62">
            <v>40601.06</v>
          </cell>
          <cell r="M62">
            <v>-1.39360893533323E-2</v>
          </cell>
          <cell r="N62">
            <v>63142.3</v>
          </cell>
          <cell r="P62">
            <v>-0.36595214301664702</v>
          </cell>
          <cell r="S62">
            <v>40035.24</v>
          </cell>
          <cell r="T62">
            <v>40601.06</v>
          </cell>
          <cell r="V62">
            <v>-1.39360893533323E-2</v>
          </cell>
          <cell r="W62">
            <v>63142.3</v>
          </cell>
          <cell r="Y62">
            <v>-0.36595214301664702</v>
          </cell>
          <cell r="Z62">
            <v>500714.51</v>
          </cell>
          <cell r="AA62">
            <v>7.9956220961122093E-2</v>
          </cell>
        </row>
        <row r="63">
          <cell r="J63">
            <v>13420.76</v>
          </cell>
          <cell r="K63">
            <v>28940.13</v>
          </cell>
          <cell r="M63">
            <v>-0.53625778460566698</v>
          </cell>
          <cell r="N63">
            <v>48627.69</v>
          </cell>
          <cell r="P63">
            <v>-0.72400992109639595</v>
          </cell>
          <cell r="S63">
            <v>13420.76</v>
          </cell>
          <cell r="T63">
            <v>28940.13</v>
          </cell>
          <cell r="V63">
            <v>-0.53625778460566698</v>
          </cell>
          <cell r="W63">
            <v>48627.69</v>
          </cell>
          <cell r="Y63">
            <v>-0.72400992109639595</v>
          </cell>
          <cell r="Z63">
            <v>425365.01</v>
          </cell>
          <cell r="AA63">
            <v>3.1551161201529003E-2</v>
          </cell>
        </row>
        <row r="64">
          <cell r="J64">
            <v>433117.51</v>
          </cell>
          <cell r="K64">
            <v>464813.99</v>
          </cell>
          <cell r="M64">
            <v>-6.8191751285282903E-2</v>
          </cell>
          <cell r="N64">
            <v>677781.24</v>
          </cell>
          <cell r="P64">
            <v>-0.360977429826768</v>
          </cell>
          <cell r="S64">
            <v>433117.51</v>
          </cell>
          <cell r="T64">
            <v>464813.99</v>
          </cell>
          <cell r="V64">
            <v>-6.8191751285282903E-2</v>
          </cell>
          <cell r="W64">
            <v>677781.24</v>
          </cell>
          <cell r="Y64">
            <v>-0.360977429826768</v>
          </cell>
          <cell r="Z64">
            <v>6506724.54</v>
          </cell>
          <cell r="AA64">
            <v>6.6564599029421995E-2</v>
          </cell>
        </row>
        <row r="65">
          <cell r="J65">
            <v>152925.72</v>
          </cell>
          <cell r="K65">
            <v>119556.33</v>
          </cell>
          <cell r="M65">
            <v>0.27911019015053301</v>
          </cell>
          <cell r="N65">
            <v>122262.18</v>
          </cell>
          <cell r="P65">
            <v>0.25080151523553501</v>
          </cell>
          <cell r="S65">
            <v>152925.72</v>
          </cell>
          <cell r="T65">
            <v>119556.33</v>
          </cell>
          <cell r="V65">
            <v>0.27911019015053301</v>
          </cell>
          <cell r="W65">
            <v>122262.18</v>
          </cell>
          <cell r="Y65">
            <v>0.25080151523553501</v>
          </cell>
          <cell r="Z65">
            <v>2672513.73</v>
          </cell>
          <cell r="AA65">
            <v>5.7221677959349501E-2</v>
          </cell>
        </row>
        <row r="66">
          <cell r="J66">
            <v>0.260946142147227</v>
          </cell>
          <cell r="K66">
            <v>0.20459001066310201</v>
          </cell>
          <cell r="M66">
            <v>0.27545886185482898</v>
          </cell>
          <cell r="N66">
            <v>0.152819430725398</v>
          </cell>
          <cell r="P66">
            <v>0.70754557132281903</v>
          </cell>
          <cell r="S66">
            <v>0.260946142147227</v>
          </cell>
          <cell r="T66">
            <v>0.20459001066310201</v>
          </cell>
          <cell r="V66">
            <v>0.27545886185482898</v>
          </cell>
          <cell r="W66">
            <v>0.152819430725398</v>
          </cell>
          <cell r="Y66">
            <v>0.70754557132281903</v>
          </cell>
          <cell r="Z66">
            <v>0.29114765859542302</v>
          </cell>
          <cell r="AA66">
            <v>0.89626735590491602</v>
          </cell>
        </row>
        <row r="69">
          <cell r="J69">
            <v>0</v>
          </cell>
          <cell r="K69">
            <v>0</v>
          </cell>
          <cell r="M69" t="str">
            <v/>
          </cell>
          <cell r="N69">
            <v>0</v>
          </cell>
          <cell r="P69" t="str">
            <v/>
          </cell>
          <cell r="S69">
            <v>0</v>
          </cell>
          <cell r="T69">
            <v>0</v>
          </cell>
          <cell r="V69" t="str">
            <v/>
          </cell>
          <cell r="W69">
            <v>0</v>
          </cell>
          <cell r="Y69" t="str">
            <v/>
          </cell>
          <cell r="Z69">
            <v>0</v>
          </cell>
          <cell r="AA69" t="str">
            <v/>
          </cell>
        </row>
        <row r="70">
          <cell r="J70">
            <v>0</v>
          </cell>
          <cell r="K70">
            <v>0</v>
          </cell>
          <cell r="M70" t="str">
            <v/>
          </cell>
          <cell r="N70">
            <v>0</v>
          </cell>
          <cell r="P70" t="str">
            <v/>
          </cell>
          <cell r="S70">
            <v>0</v>
          </cell>
          <cell r="T70">
            <v>0</v>
          </cell>
          <cell r="V70" t="str">
            <v/>
          </cell>
          <cell r="W70">
            <v>0</v>
          </cell>
          <cell r="Y70" t="str">
            <v/>
          </cell>
          <cell r="Z70">
            <v>0</v>
          </cell>
          <cell r="AA70" t="str">
            <v/>
          </cell>
        </row>
        <row r="71">
          <cell r="J71">
            <v>0</v>
          </cell>
          <cell r="K71">
            <v>0</v>
          </cell>
          <cell r="M71" t="str">
            <v/>
          </cell>
          <cell r="N71">
            <v>0</v>
          </cell>
          <cell r="P71" t="str">
            <v/>
          </cell>
          <cell r="S71">
            <v>0</v>
          </cell>
          <cell r="T71">
            <v>0</v>
          </cell>
          <cell r="V71" t="str">
            <v/>
          </cell>
          <cell r="W71">
            <v>0</v>
          </cell>
          <cell r="Y71" t="str">
            <v/>
          </cell>
          <cell r="Z71">
            <v>0</v>
          </cell>
          <cell r="AA71" t="str">
            <v/>
          </cell>
        </row>
        <row r="72">
          <cell r="J72">
            <v>0</v>
          </cell>
          <cell r="K72">
            <v>0</v>
          </cell>
          <cell r="M72" t="str">
            <v/>
          </cell>
          <cell r="N72">
            <v>0</v>
          </cell>
          <cell r="P72" t="str">
            <v/>
          </cell>
          <cell r="S72">
            <v>0</v>
          </cell>
          <cell r="T72">
            <v>0</v>
          </cell>
          <cell r="V72" t="str">
            <v/>
          </cell>
          <cell r="W72">
            <v>0</v>
          </cell>
          <cell r="Y72" t="str">
            <v/>
          </cell>
          <cell r="Z72">
            <v>0</v>
          </cell>
          <cell r="AA72" t="str">
            <v/>
          </cell>
        </row>
        <row r="73">
          <cell r="J73">
            <v>0</v>
          </cell>
          <cell r="K73">
            <v>0</v>
          </cell>
          <cell r="M73" t="str">
            <v/>
          </cell>
          <cell r="N73">
            <v>0</v>
          </cell>
          <cell r="P73" t="str">
            <v/>
          </cell>
          <cell r="S73">
            <v>0</v>
          </cell>
          <cell r="T73">
            <v>0</v>
          </cell>
          <cell r="V73" t="str">
            <v/>
          </cell>
          <cell r="W73">
            <v>0</v>
          </cell>
          <cell r="Y73" t="str">
            <v/>
          </cell>
          <cell r="Z73">
            <v>0</v>
          </cell>
          <cell r="AA73" t="str">
            <v/>
          </cell>
        </row>
        <row r="74">
          <cell r="J74">
            <v>0</v>
          </cell>
          <cell r="K74">
            <v>0</v>
          </cell>
          <cell r="M74" t="str">
            <v/>
          </cell>
          <cell r="N74">
            <v>0</v>
          </cell>
          <cell r="P74" t="str">
            <v/>
          </cell>
          <cell r="S74">
            <v>0</v>
          </cell>
          <cell r="T74">
            <v>0</v>
          </cell>
          <cell r="V74" t="str">
            <v/>
          </cell>
          <cell r="W74">
            <v>0</v>
          </cell>
          <cell r="Y74" t="str">
            <v/>
          </cell>
          <cell r="Z74">
            <v>0</v>
          </cell>
          <cell r="AA74" t="str">
            <v/>
          </cell>
        </row>
        <row r="75">
          <cell r="J75">
            <v>36757.129999999997</v>
          </cell>
          <cell r="K75">
            <v>19479.43</v>
          </cell>
          <cell r="M75">
            <v>0.88697153869492096</v>
          </cell>
          <cell r="N75">
            <v>21942.06</v>
          </cell>
          <cell r="P75">
            <v>0.67519047892495099</v>
          </cell>
          <cell r="S75">
            <v>36757.129999999997</v>
          </cell>
          <cell r="T75">
            <v>19479.43</v>
          </cell>
          <cell r="V75">
            <v>0.88697153869492096</v>
          </cell>
          <cell r="W75">
            <v>21942.06</v>
          </cell>
          <cell r="Y75">
            <v>0.67519047892495099</v>
          </cell>
          <cell r="Z75">
            <v>236372.2</v>
          </cell>
          <cell r="AA75">
            <v>0.15550530053872699</v>
          </cell>
        </row>
        <row r="76">
          <cell r="J76">
            <v>1425.21</v>
          </cell>
          <cell r="K76">
            <v>9433.9599999999991</v>
          </cell>
          <cell r="M76">
            <v>-0.84892770374264903</v>
          </cell>
          <cell r="N76">
            <v>33368.82</v>
          </cell>
          <cell r="P76">
            <v>-0.95728916994967195</v>
          </cell>
          <cell r="S76">
            <v>1425.21</v>
          </cell>
          <cell r="T76">
            <v>9433.9599999999991</v>
          </cell>
          <cell r="V76">
            <v>-0.84892770374264903</v>
          </cell>
          <cell r="W76">
            <v>33368.82</v>
          </cell>
          <cell r="Y76">
            <v>-0.95728916994967195</v>
          </cell>
          <cell r="Z76">
            <v>113207.52</v>
          </cell>
          <cell r="AA76">
            <v>1.2589358021445901E-2</v>
          </cell>
        </row>
        <row r="77">
          <cell r="J77">
            <v>38182.339999999997</v>
          </cell>
          <cell r="K77">
            <v>28913.39</v>
          </cell>
          <cell r="M77">
            <v>0.32057638346800599</v>
          </cell>
          <cell r="N77">
            <v>55310.879999999997</v>
          </cell>
          <cell r="P77">
            <v>-0.30967758965324699</v>
          </cell>
          <cell r="S77">
            <v>38182.339999999997</v>
          </cell>
          <cell r="T77">
            <v>28913.39</v>
          </cell>
          <cell r="V77">
            <v>0.32057638346800599</v>
          </cell>
          <cell r="W77">
            <v>55310.879999999997</v>
          </cell>
          <cell r="Y77">
            <v>-0.30967758965324699</v>
          </cell>
          <cell r="Z77">
            <v>349579.72</v>
          </cell>
          <cell r="AA77">
            <v>0.109223555645619</v>
          </cell>
        </row>
        <row r="78">
          <cell r="J78">
            <v>0</v>
          </cell>
          <cell r="K78">
            <v>0</v>
          </cell>
          <cell r="M78" t="str">
            <v/>
          </cell>
          <cell r="N78">
            <v>0</v>
          </cell>
          <cell r="P78" t="str">
            <v/>
          </cell>
          <cell r="S78">
            <v>0</v>
          </cell>
          <cell r="T78">
            <v>0</v>
          </cell>
          <cell r="V78" t="str">
            <v/>
          </cell>
          <cell r="W78">
            <v>0</v>
          </cell>
          <cell r="Y78" t="str">
            <v/>
          </cell>
          <cell r="Z78">
            <v>0</v>
          </cell>
          <cell r="AA78" t="str">
            <v/>
          </cell>
        </row>
        <row r="79">
          <cell r="J79">
            <v>0</v>
          </cell>
          <cell r="K79">
            <v>0</v>
          </cell>
          <cell r="M79" t="str">
            <v/>
          </cell>
          <cell r="N79">
            <v>0</v>
          </cell>
          <cell r="P79" t="str">
            <v/>
          </cell>
          <cell r="S79">
            <v>0</v>
          </cell>
          <cell r="T79">
            <v>0</v>
          </cell>
          <cell r="V79" t="str">
            <v/>
          </cell>
          <cell r="W79">
            <v>0</v>
          </cell>
          <cell r="Y79" t="str">
            <v/>
          </cell>
          <cell r="Z79">
            <v>0</v>
          </cell>
          <cell r="AA79" t="str">
            <v/>
          </cell>
        </row>
        <row r="80">
          <cell r="J80">
            <v>0</v>
          </cell>
          <cell r="K80">
            <v>0</v>
          </cell>
          <cell r="M80" t="str">
            <v/>
          </cell>
          <cell r="N80">
            <v>0</v>
          </cell>
          <cell r="P80" t="str">
            <v/>
          </cell>
          <cell r="S80">
            <v>0</v>
          </cell>
          <cell r="T80">
            <v>0</v>
          </cell>
          <cell r="V80" t="str">
            <v/>
          </cell>
          <cell r="W80">
            <v>0</v>
          </cell>
          <cell r="Y80" t="str">
            <v/>
          </cell>
          <cell r="Z80">
            <v>0</v>
          </cell>
          <cell r="AA80" t="str">
            <v/>
          </cell>
        </row>
        <row r="81">
          <cell r="J81">
            <v>0</v>
          </cell>
          <cell r="K81">
            <v>0</v>
          </cell>
          <cell r="M81" t="str">
            <v/>
          </cell>
          <cell r="N81">
            <v>1000</v>
          </cell>
          <cell r="P81">
            <v>-1</v>
          </cell>
          <cell r="S81">
            <v>0</v>
          </cell>
          <cell r="T81">
            <v>0</v>
          </cell>
          <cell r="V81" t="str">
            <v/>
          </cell>
          <cell r="W81">
            <v>1000</v>
          </cell>
          <cell r="Y81">
            <v>-1</v>
          </cell>
          <cell r="Z81">
            <v>0</v>
          </cell>
          <cell r="AA81" t="str">
            <v/>
          </cell>
        </row>
        <row r="82">
          <cell r="J82">
            <v>0</v>
          </cell>
          <cell r="K82">
            <v>0</v>
          </cell>
          <cell r="M82" t="str">
            <v/>
          </cell>
          <cell r="N82">
            <v>1000</v>
          </cell>
          <cell r="P82">
            <v>-1</v>
          </cell>
          <cell r="S82">
            <v>0</v>
          </cell>
          <cell r="T82">
            <v>0</v>
          </cell>
          <cell r="V82" t="str">
            <v/>
          </cell>
          <cell r="W82">
            <v>1000</v>
          </cell>
          <cell r="Y82">
            <v>-1</v>
          </cell>
          <cell r="Z82">
            <v>0</v>
          </cell>
          <cell r="AA82" t="str">
            <v/>
          </cell>
        </row>
        <row r="83">
          <cell r="J83">
            <v>38182.339999999997</v>
          </cell>
          <cell r="K83">
            <v>28913.39</v>
          </cell>
          <cell r="M83">
            <v>0.32057638346800599</v>
          </cell>
          <cell r="N83">
            <v>54310.879999999997</v>
          </cell>
          <cell r="P83">
            <v>-0.29696701655358898</v>
          </cell>
          <cell r="S83">
            <v>38182.339999999997</v>
          </cell>
          <cell r="T83">
            <v>28913.39</v>
          </cell>
          <cell r="V83">
            <v>0.32057638346800599</v>
          </cell>
          <cell r="W83">
            <v>54310.879999999997</v>
          </cell>
          <cell r="Y83">
            <v>-0.29696701655358898</v>
          </cell>
          <cell r="Z83">
            <v>349579.72</v>
          </cell>
          <cell r="AA83">
            <v>0.109223555645619</v>
          </cell>
        </row>
        <row r="85">
          <cell r="J85">
            <v>1136568.83</v>
          </cell>
          <cell r="K85">
            <v>1160828.73</v>
          </cell>
          <cell r="M85">
            <v>-2.0898776342311801E-2</v>
          </cell>
          <cell r="N85">
            <v>1251789.25</v>
          </cell>
          <cell r="P85">
            <v>-9.2044583383344994E-2</v>
          </cell>
          <cell r="S85">
            <v>1136568.83</v>
          </cell>
          <cell r="T85">
            <v>1160828.73</v>
          </cell>
          <cell r="V85">
            <v>-2.0898776342311801E-2</v>
          </cell>
          <cell r="W85">
            <v>1251789.25</v>
          </cell>
          <cell r="Y85">
            <v>-9.2044583383344994E-2</v>
          </cell>
          <cell r="Z85">
            <v>17816639.27</v>
          </cell>
          <cell r="AA85">
            <v>6.3792548795314999E-2</v>
          </cell>
        </row>
        <row r="86">
          <cell r="J86">
            <v>503612.47</v>
          </cell>
          <cell r="K86">
            <v>455302.69</v>
          </cell>
          <cell r="M86">
            <v>0.10610475418012499</v>
          </cell>
          <cell r="N86">
            <v>371208.57</v>
          </cell>
          <cell r="P86">
            <v>0.35668330609931698</v>
          </cell>
          <cell r="S86">
            <v>503612.47</v>
          </cell>
          <cell r="T86">
            <v>455302.69</v>
          </cell>
          <cell r="V86">
            <v>0.10610475418012499</v>
          </cell>
          <cell r="W86">
            <v>371208.57</v>
          </cell>
          <cell r="Y86">
            <v>0.35668330609931698</v>
          </cell>
          <cell r="Z86">
            <v>8175900.0499999998</v>
          </cell>
          <cell r="AA86">
            <v>6.1597190146667702E-2</v>
          </cell>
        </row>
        <row r="87">
          <cell r="J87">
            <v>0.443098963043004</v>
          </cell>
          <cell r="K87">
            <v>0.39222210670130497</v>
          </cell>
          <cell r="M87">
            <v>0.12971440281525001</v>
          </cell>
          <cell r="N87">
            <v>0.29654238522978199</v>
          </cell>
          <cell r="P87">
            <v>0.49421797730418499</v>
          </cell>
          <cell r="S87">
            <v>0.443098963043004</v>
          </cell>
          <cell r="T87">
            <v>0.39222210670130497</v>
          </cell>
          <cell r="V87">
            <v>0.12971440281525001</v>
          </cell>
          <cell r="W87">
            <v>0.29654238522978199</v>
          </cell>
          <cell r="Y87">
            <v>0.49421797730418499</v>
          </cell>
          <cell r="Z87">
            <v>0.45889126036057398</v>
          </cell>
          <cell r="AA87">
            <v>0.96558597061717499</v>
          </cell>
        </row>
        <row r="90">
          <cell r="J90">
            <v>128714.7</v>
          </cell>
          <cell r="K90">
            <v>140442.28</v>
          </cell>
          <cell r="M90">
            <v>-8.3504625530146606E-2</v>
          </cell>
          <cell r="N90">
            <v>169042.9</v>
          </cell>
          <cell r="P90">
            <v>-0.23856784283752799</v>
          </cell>
          <cell r="S90">
            <v>128714.7</v>
          </cell>
          <cell r="T90">
            <v>140442.28</v>
          </cell>
          <cell r="V90">
            <v>-8.3504625530146606E-2</v>
          </cell>
          <cell r="W90">
            <v>169042.9</v>
          </cell>
          <cell r="Y90">
            <v>-0.23856784283752799</v>
          </cell>
          <cell r="Z90">
            <v>1582707.32</v>
          </cell>
          <cell r="AA90">
            <v>8.1325649015131896E-2</v>
          </cell>
        </row>
        <row r="91">
          <cell r="J91">
            <v>56197.19</v>
          </cell>
          <cell r="K91">
            <v>65982</v>
          </cell>
          <cell r="M91">
            <v>-0.14829514109908801</v>
          </cell>
          <cell r="N91">
            <v>84920.639999999999</v>
          </cell>
          <cell r="P91">
            <v>-0.33823873677824401</v>
          </cell>
          <cell r="S91">
            <v>56197.19</v>
          </cell>
          <cell r="T91">
            <v>65982</v>
          </cell>
          <cell r="V91">
            <v>-0.14829514109908801</v>
          </cell>
          <cell r="W91">
            <v>84920.639999999999</v>
          </cell>
          <cell r="Y91">
            <v>-0.33823873677824401</v>
          </cell>
          <cell r="Z91">
            <v>791784</v>
          </cell>
          <cell r="AA91">
            <v>7.0975404908409395E-2</v>
          </cell>
        </row>
        <row r="92">
          <cell r="J92">
            <v>47357.09</v>
          </cell>
          <cell r="K92">
            <v>23451.95</v>
          </cell>
          <cell r="M92">
            <v>1.0193241926577501</v>
          </cell>
          <cell r="N92">
            <v>41760.11</v>
          </cell>
          <cell r="P92">
            <v>0.13402694581024799</v>
          </cell>
          <cell r="S92">
            <v>47357.09</v>
          </cell>
          <cell r="T92">
            <v>23451.95</v>
          </cell>
          <cell r="V92">
            <v>1.0193241926577501</v>
          </cell>
          <cell r="W92">
            <v>41760.11</v>
          </cell>
          <cell r="Y92">
            <v>0.13402694581024799</v>
          </cell>
          <cell r="Z92">
            <v>281423.40000000002</v>
          </cell>
          <cell r="AA92">
            <v>0.16827701605481299</v>
          </cell>
        </row>
        <row r="93">
          <cell r="J93">
            <v>18845.689999999999</v>
          </cell>
          <cell r="K93">
            <v>42752.37</v>
          </cell>
          <cell r="M93">
            <v>-0.55918958410960595</v>
          </cell>
          <cell r="N93">
            <v>35913.19</v>
          </cell>
          <cell r="P93">
            <v>-0.475243218438685</v>
          </cell>
          <cell r="S93">
            <v>18845.689999999999</v>
          </cell>
          <cell r="T93">
            <v>42752.37</v>
          </cell>
          <cell r="V93">
            <v>-0.55918958410960595</v>
          </cell>
          <cell r="W93">
            <v>35913.19</v>
          </cell>
          <cell r="Y93">
            <v>-0.475243218438685</v>
          </cell>
          <cell r="Z93">
            <v>393499.93</v>
          </cell>
          <cell r="AA93">
            <v>4.7892486283288502E-2</v>
          </cell>
        </row>
        <row r="94">
          <cell r="J94">
            <v>1236.4100000000001</v>
          </cell>
          <cell r="K94">
            <v>2000</v>
          </cell>
          <cell r="M94">
            <v>-0.381795</v>
          </cell>
          <cell r="N94">
            <v>1328.31</v>
          </cell>
          <cell r="P94">
            <v>-6.9185656962606507E-2</v>
          </cell>
          <cell r="S94">
            <v>1236.4100000000001</v>
          </cell>
          <cell r="T94">
            <v>2000</v>
          </cell>
          <cell r="V94">
            <v>-0.381795</v>
          </cell>
          <cell r="W94">
            <v>1328.31</v>
          </cell>
          <cell r="Y94">
            <v>-6.9185656962606507E-2</v>
          </cell>
          <cell r="Z94">
            <v>26000</v>
          </cell>
          <cell r="AA94">
            <v>4.75542307692308E-2</v>
          </cell>
        </row>
        <row r="95">
          <cell r="J95">
            <v>868.34</v>
          </cell>
          <cell r="K95">
            <v>0</v>
          </cell>
          <cell r="M95" t="str">
            <v/>
          </cell>
          <cell r="N95">
            <v>873</v>
          </cell>
          <cell r="P95">
            <v>-5.3379152348224101E-3</v>
          </cell>
          <cell r="S95">
            <v>868.34</v>
          </cell>
          <cell r="T95">
            <v>0</v>
          </cell>
          <cell r="V95" t="str">
            <v/>
          </cell>
          <cell r="W95">
            <v>873</v>
          </cell>
          <cell r="Y95">
            <v>-5.3379152348224101E-3</v>
          </cell>
          <cell r="Z95">
            <v>0</v>
          </cell>
          <cell r="AA95" t="str">
            <v/>
          </cell>
        </row>
        <row r="96">
          <cell r="J96">
            <v>4209.9799999999996</v>
          </cell>
          <cell r="K96">
            <v>6255.96</v>
          </cell>
          <cell r="M96">
            <v>-0.32704492995479501</v>
          </cell>
          <cell r="N96">
            <v>4247.6499999999996</v>
          </cell>
          <cell r="P96">
            <v>-8.8684331336150793E-3</v>
          </cell>
          <cell r="S96">
            <v>4209.9799999999996</v>
          </cell>
          <cell r="T96">
            <v>6255.96</v>
          </cell>
          <cell r="V96">
            <v>-0.32704492995479501</v>
          </cell>
          <cell r="W96">
            <v>4247.6499999999996</v>
          </cell>
          <cell r="Y96">
            <v>-8.8684331336150793E-3</v>
          </cell>
          <cell r="Z96">
            <v>89999.99</v>
          </cell>
          <cell r="AA96">
            <v>4.6777560753062303E-2</v>
          </cell>
        </row>
        <row r="97">
          <cell r="J97">
            <v>94502.93</v>
          </cell>
          <cell r="K97">
            <v>158889.01999999999</v>
          </cell>
          <cell r="M97">
            <v>-0.40522680547718198</v>
          </cell>
          <cell r="N97">
            <v>136411.20000000001</v>
          </cell>
          <cell r="P97">
            <v>-0.30722015494328903</v>
          </cell>
          <cell r="S97">
            <v>94502.93</v>
          </cell>
          <cell r="T97">
            <v>158889.01999999999</v>
          </cell>
          <cell r="V97">
            <v>-0.40522680547718198</v>
          </cell>
          <cell r="W97">
            <v>136411.20000000001</v>
          </cell>
          <cell r="Y97">
            <v>-0.30722015494328903</v>
          </cell>
          <cell r="Z97">
            <v>1898499.03</v>
          </cell>
          <cell r="AA97">
            <v>4.9777707813735299E-2</v>
          </cell>
        </row>
        <row r="98">
          <cell r="J98">
            <v>61338.74</v>
          </cell>
          <cell r="K98">
            <v>111000</v>
          </cell>
          <cell r="M98">
            <v>-0.44739873873873898</v>
          </cell>
          <cell r="N98">
            <v>83984.35</v>
          </cell>
          <cell r="P98">
            <v>-0.26964083189308502</v>
          </cell>
          <cell r="S98">
            <v>61338.74</v>
          </cell>
          <cell r="T98">
            <v>111000</v>
          </cell>
          <cell r="V98">
            <v>-0.44739873873873898</v>
          </cell>
          <cell r="W98">
            <v>83984.35</v>
          </cell>
          <cell r="Y98">
            <v>-0.26964083189308502</v>
          </cell>
          <cell r="Z98">
            <v>1332000</v>
          </cell>
          <cell r="AA98">
            <v>4.6050105105105099E-2</v>
          </cell>
        </row>
        <row r="99">
          <cell r="J99">
            <v>17847.61</v>
          </cell>
          <cell r="K99">
            <v>16124.93</v>
          </cell>
          <cell r="M99">
            <v>0.106833331989657</v>
          </cell>
          <cell r="N99">
            <v>28321.06</v>
          </cell>
          <cell r="P99">
            <v>-0.36981137005465198</v>
          </cell>
          <cell r="S99">
            <v>17847.61</v>
          </cell>
          <cell r="T99">
            <v>16124.93</v>
          </cell>
          <cell r="V99">
            <v>0.106833331989657</v>
          </cell>
          <cell r="W99">
            <v>28321.06</v>
          </cell>
          <cell r="Y99">
            <v>-0.36981137005465198</v>
          </cell>
          <cell r="Z99">
            <v>193499.16</v>
          </cell>
          <cell r="AA99">
            <v>9.2236110999138102E-2</v>
          </cell>
        </row>
        <row r="100">
          <cell r="J100">
            <v>15316.58</v>
          </cell>
          <cell r="K100">
            <v>31764.09</v>
          </cell>
          <cell r="M100">
            <v>-0.51780202108733497</v>
          </cell>
          <cell r="N100">
            <v>24105.79</v>
          </cell>
          <cell r="P100">
            <v>-0.36460991322001901</v>
          </cell>
          <cell r="S100">
            <v>15316.58</v>
          </cell>
          <cell r="T100">
            <v>31764.09</v>
          </cell>
          <cell r="V100">
            <v>-0.51780202108733497</v>
          </cell>
          <cell r="W100">
            <v>24105.79</v>
          </cell>
          <cell r="Y100">
            <v>-0.36460991322001901</v>
          </cell>
          <cell r="Z100">
            <v>372999.87</v>
          </cell>
          <cell r="AA100">
            <v>4.1063231469759001E-2</v>
          </cell>
        </row>
        <row r="101">
          <cell r="J101">
            <v>132997.87</v>
          </cell>
          <cell r="K101">
            <v>144300</v>
          </cell>
          <cell r="M101">
            <v>-7.8323839223839301E-2</v>
          </cell>
          <cell r="N101">
            <v>120892.18</v>
          </cell>
          <cell r="P101">
            <v>0.100136253643536</v>
          </cell>
          <cell r="S101">
            <v>132997.87</v>
          </cell>
          <cell r="T101">
            <v>144300</v>
          </cell>
          <cell r="V101">
            <v>-7.8323839223839301E-2</v>
          </cell>
          <cell r="W101">
            <v>120892.18</v>
          </cell>
          <cell r="Y101">
            <v>0.100136253643536</v>
          </cell>
          <cell r="Z101">
            <v>1486000</v>
          </cell>
          <cell r="AA101">
            <v>8.9500585464333801E-2</v>
          </cell>
        </row>
        <row r="102">
          <cell r="J102">
            <v>89374.7</v>
          </cell>
          <cell r="K102">
            <v>101464.2</v>
          </cell>
          <cell r="M102">
            <v>-0.119150399845463</v>
          </cell>
          <cell r="N102">
            <v>124311.31</v>
          </cell>
          <cell r="P102">
            <v>-0.28104128256712901</v>
          </cell>
          <cell r="S102">
            <v>89374.7</v>
          </cell>
          <cell r="T102">
            <v>101464.2</v>
          </cell>
          <cell r="V102">
            <v>-0.119150399845463</v>
          </cell>
          <cell r="W102">
            <v>124311.31</v>
          </cell>
          <cell r="Y102">
            <v>-0.28104128256712901</v>
          </cell>
          <cell r="Z102">
            <v>1241443.32</v>
          </cell>
          <cell r="AA102">
            <v>7.1992573934023807E-2</v>
          </cell>
        </row>
        <row r="103">
          <cell r="J103">
            <v>45573.919999999998</v>
          </cell>
          <cell r="K103">
            <v>49599.98</v>
          </cell>
          <cell r="M103">
            <v>-8.1170597246208495E-2</v>
          </cell>
          <cell r="N103">
            <v>60885.15</v>
          </cell>
          <cell r="P103">
            <v>-0.25147724855732501</v>
          </cell>
          <cell r="S103">
            <v>45573.919999999998</v>
          </cell>
          <cell r="T103">
            <v>49599.98</v>
          </cell>
          <cell r="V103">
            <v>-8.1170597246208495E-2</v>
          </cell>
          <cell r="W103">
            <v>60885.15</v>
          </cell>
          <cell r="Y103">
            <v>-0.25147724855732501</v>
          </cell>
          <cell r="Z103">
            <v>595199.76</v>
          </cell>
          <cell r="AA103">
            <v>7.65691168961493E-2</v>
          </cell>
        </row>
        <row r="104">
          <cell r="J104">
            <v>21113.33</v>
          </cell>
          <cell r="K104">
            <v>20403.63</v>
          </cell>
          <cell r="M104">
            <v>3.4783026353643803E-2</v>
          </cell>
          <cell r="N104">
            <v>27764.77</v>
          </cell>
          <cell r="P104">
            <v>-0.23956402304070901</v>
          </cell>
          <cell r="S104">
            <v>21113.33</v>
          </cell>
          <cell r="T104">
            <v>20403.63</v>
          </cell>
          <cell r="V104">
            <v>3.4783026353643803E-2</v>
          </cell>
          <cell r="W104">
            <v>27764.77</v>
          </cell>
          <cell r="Y104">
            <v>-0.23956402304070901</v>
          </cell>
          <cell r="Z104">
            <v>246843.56</v>
          </cell>
          <cell r="AA104">
            <v>8.5533242187886105E-2</v>
          </cell>
        </row>
        <row r="105">
          <cell r="J105">
            <v>22687.45</v>
          </cell>
          <cell r="K105">
            <v>31460.59</v>
          </cell>
          <cell r="M105">
            <v>-0.27886126738246197</v>
          </cell>
          <cell r="N105">
            <v>35661.39</v>
          </cell>
          <cell r="P105">
            <v>-0.36380915045655798</v>
          </cell>
          <cell r="S105">
            <v>22687.45</v>
          </cell>
          <cell r="T105">
            <v>31460.59</v>
          </cell>
          <cell r="V105">
            <v>-0.27886126738246197</v>
          </cell>
          <cell r="W105">
            <v>35661.39</v>
          </cell>
          <cell r="Y105">
            <v>-0.36380915045655798</v>
          </cell>
          <cell r="Z105">
            <v>399400</v>
          </cell>
          <cell r="AA105">
            <v>5.6803830746119201E-2</v>
          </cell>
        </row>
        <row r="106">
          <cell r="J106">
            <v>445590.2</v>
          </cell>
          <cell r="K106">
            <v>545095.5</v>
          </cell>
          <cell r="M106">
            <v>-0.182546544596314</v>
          </cell>
          <cell r="N106">
            <v>550657.59</v>
          </cell>
          <cell r="P106">
            <v>-0.19080349005994801</v>
          </cell>
          <cell r="S106">
            <v>445590.2</v>
          </cell>
          <cell r="T106">
            <v>545095.5</v>
          </cell>
          <cell r="V106">
            <v>-0.182546544596314</v>
          </cell>
          <cell r="W106">
            <v>550657.59</v>
          </cell>
          <cell r="Y106">
            <v>-0.19080349005994801</v>
          </cell>
          <cell r="Z106">
            <v>6208649.6699999999</v>
          </cell>
          <cell r="AA106">
            <v>7.1769261221659497E-2</v>
          </cell>
        </row>
        <row r="107">
          <cell r="J107">
            <v>0.39204858363043399</v>
          </cell>
          <cell r="K107">
            <v>0.46957443928873099</v>
          </cell>
          <cell r="M107">
            <v>-0.165098116873069</v>
          </cell>
          <cell r="N107">
            <v>0.43989640428690402</v>
          </cell>
          <cell r="P107">
            <v>-0.108770656432242</v>
          </cell>
          <cell r="S107">
            <v>0.39204858363043399</v>
          </cell>
          <cell r="T107">
            <v>0.46957443928873099</v>
          </cell>
          <cell r="V107">
            <v>-0.165098116873069</v>
          </cell>
          <cell r="W107">
            <v>0.43989640428690402</v>
          </cell>
          <cell r="Y107">
            <v>-0.108770656432242</v>
          </cell>
          <cell r="Z107">
            <v>0.34847479235066797</v>
          </cell>
          <cell r="AA107">
            <v>1.1250414441338401</v>
          </cell>
        </row>
        <row r="108">
          <cell r="J108">
            <v>58022.27</v>
          </cell>
          <cell r="K108">
            <v>-89792.809999999896</v>
          </cell>
          <cell r="M108">
            <v>1.64617946581692</v>
          </cell>
          <cell r="N108">
            <v>-179449.02</v>
          </cell>
          <cell r="P108">
            <v>1.3233356749454499</v>
          </cell>
          <cell r="S108">
            <v>58022.27</v>
          </cell>
          <cell r="T108">
            <v>-89792.809999999896</v>
          </cell>
          <cell r="V108">
            <v>1.64617946581692</v>
          </cell>
          <cell r="W108">
            <v>-179449.02</v>
          </cell>
          <cell r="Y108">
            <v>1.3233356749454499</v>
          </cell>
          <cell r="Z108">
            <v>1967250.38</v>
          </cell>
          <cell r="AA108">
            <v>2.94940952051055E-2</v>
          </cell>
        </row>
        <row r="109">
          <cell r="J109">
            <v>5.1050379412569298E-2</v>
          </cell>
          <cell r="K109">
            <v>-7.7352332587426506E-2</v>
          </cell>
          <cell r="M109">
            <v>1.65997207459607</v>
          </cell>
          <cell r="N109">
            <v>-0.143354019057121</v>
          </cell>
          <cell r="P109">
            <v>1.3561140437382999</v>
          </cell>
          <cell r="S109">
            <v>5.1050379412569298E-2</v>
          </cell>
          <cell r="T109">
            <v>-7.7352332587426506E-2</v>
          </cell>
          <cell r="V109">
            <v>1.65997207459607</v>
          </cell>
          <cell r="W109">
            <v>-0.143354019057121</v>
          </cell>
          <cell r="Y109">
            <v>1.3561140437382999</v>
          </cell>
          <cell r="Z109">
            <v>0.110416468009907</v>
          </cell>
          <cell r="AA109">
            <v>0.46234389065939901</v>
          </cell>
        </row>
        <row r="110">
          <cell r="J110">
            <v>28531.81</v>
          </cell>
          <cell r="K110">
            <v>17412.43</v>
          </cell>
          <cell r="M110">
            <v>0.63858864041377295</v>
          </cell>
          <cell r="N110">
            <v>28984.99</v>
          </cell>
          <cell r="P110">
            <v>-1.5634989006378799E-2</v>
          </cell>
          <cell r="S110">
            <v>28531.81</v>
          </cell>
          <cell r="T110">
            <v>17412.43</v>
          </cell>
          <cell r="V110">
            <v>0.63858864041377295</v>
          </cell>
          <cell r="W110">
            <v>28984.99</v>
          </cell>
          <cell r="Y110">
            <v>-1.5634989006378799E-2</v>
          </cell>
          <cell r="Z110">
            <v>267249.61</v>
          </cell>
          <cell r="AA110">
            <v>0.106760904159972</v>
          </cell>
        </row>
        <row r="111">
          <cell r="J111">
            <v>29490.46</v>
          </cell>
          <cell r="K111">
            <v>-107205.24</v>
          </cell>
          <cell r="M111">
            <v>1.2750841283504399</v>
          </cell>
          <cell r="N111">
            <v>-208434.01</v>
          </cell>
          <cell r="P111">
            <v>1.1414858352530901</v>
          </cell>
          <cell r="S111">
            <v>29490.46</v>
          </cell>
          <cell r="T111">
            <v>-107205.24</v>
          </cell>
          <cell r="V111">
            <v>1.2750841283504399</v>
          </cell>
          <cell r="W111">
            <v>-208434.01</v>
          </cell>
          <cell r="Y111">
            <v>1.1414858352530901</v>
          </cell>
          <cell r="Z111">
            <v>1700000.77</v>
          </cell>
          <cell r="AA111">
            <v>1.7347321554448399E-2</v>
          </cell>
        </row>
        <row r="112">
          <cell r="J112">
            <v>0</v>
          </cell>
          <cell r="K112">
            <v>0</v>
          </cell>
          <cell r="M112" t="str">
            <v/>
          </cell>
          <cell r="N112">
            <v>0</v>
          </cell>
          <cell r="P112" t="str">
            <v/>
          </cell>
          <cell r="S112">
            <v>0</v>
          </cell>
          <cell r="T112">
            <v>0</v>
          </cell>
          <cell r="V112" t="str">
            <v/>
          </cell>
          <cell r="W112">
            <v>0</v>
          </cell>
          <cell r="Y112" t="str">
            <v/>
          </cell>
          <cell r="Z112">
            <v>0</v>
          </cell>
          <cell r="AA112" t="str">
            <v/>
          </cell>
        </row>
        <row r="113">
          <cell r="J113">
            <v>29490.46</v>
          </cell>
          <cell r="K113">
            <v>-107205.24</v>
          </cell>
          <cell r="M113">
            <v>1.2750841283504399</v>
          </cell>
          <cell r="N113">
            <v>-208434.01</v>
          </cell>
          <cell r="P113">
            <v>1.1414858352530901</v>
          </cell>
          <cell r="S113">
            <v>29490.46</v>
          </cell>
          <cell r="T113">
            <v>-107205.24</v>
          </cell>
          <cell r="V113">
            <v>1.2750841283504399</v>
          </cell>
          <cell r="W113">
            <v>-208434.01</v>
          </cell>
          <cell r="Y113">
            <v>1.1414858352530901</v>
          </cell>
          <cell r="Z113">
            <v>1700000.77</v>
          </cell>
          <cell r="AA113">
            <v>1.7347321554448399E-2</v>
          </cell>
        </row>
        <row r="114">
          <cell r="J114">
            <v>-138945.96</v>
          </cell>
          <cell r="K114">
            <v>-141666</v>
          </cell>
          <cell r="M114">
            <v>1.9200372707636301E-2</v>
          </cell>
          <cell r="N114">
            <v>-143525.92000000001</v>
          </cell>
          <cell r="P114">
            <v>3.19103336874621E-2</v>
          </cell>
          <cell r="S114">
            <v>-138945.96</v>
          </cell>
          <cell r="T114">
            <v>-141666</v>
          </cell>
          <cell r="V114">
            <v>1.9200372707636301E-2</v>
          </cell>
          <cell r="W114">
            <v>-143525.92000000001</v>
          </cell>
          <cell r="Y114">
            <v>3.19103336874621E-2</v>
          </cell>
          <cell r="Z114">
            <v>-1700000</v>
          </cell>
          <cell r="AA114">
            <v>1.91826708235294</v>
          </cell>
        </row>
        <row r="115">
          <cell r="J115">
            <v>201.07</v>
          </cell>
          <cell r="K115">
            <v>0</v>
          </cell>
          <cell r="M115" t="str">
            <v/>
          </cell>
          <cell r="N115">
            <v>650</v>
          </cell>
          <cell r="P115">
            <v>-0.69066153846153799</v>
          </cell>
          <cell r="S115">
            <v>201.07</v>
          </cell>
          <cell r="T115">
            <v>0</v>
          </cell>
          <cell r="V115" t="str">
            <v/>
          </cell>
          <cell r="W115">
            <v>650</v>
          </cell>
          <cell r="Y115">
            <v>-0.69066153846153799</v>
          </cell>
          <cell r="Z115">
            <v>0</v>
          </cell>
          <cell r="AA115" t="str">
            <v/>
          </cell>
        </row>
        <row r="116">
          <cell r="J116">
            <v>0</v>
          </cell>
          <cell r="K116">
            <v>0</v>
          </cell>
          <cell r="M116" t="str">
            <v/>
          </cell>
          <cell r="N116">
            <v>0</v>
          </cell>
          <cell r="P116" t="str">
            <v/>
          </cell>
          <cell r="S116">
            <v>0</v>
          </cell>
          <cell r="T116">
            <v>0</v>
          </cell>
          <cell r="V116" t="str">
            <v/>
          </cell>
          <cell r="W116">
            <v>0</v>
          </cell>
          <cell r="Y116" t="str">
            <v/>
          </cell>
          <cell r="Z116">
            <v>0</v>
          </cell>
          <cell r="AA116" t="str">
            <v/>
          </cell>
        </row>
        <row r="117">
          <cell r="J117">
            <v>139147.03</v>
          </cell>
          <cell r="K117">
            <v>141666</v>
          </cell>
          <cell r="M117">
            <v>-1.7781048381404201E-2</v>
          </cell>
          <cell r="N117">
            <v>143750.92000000001</v>
          </cell>
          <cell r="P117">
            <v>-3.2026855897687397E-2</v>
          </cell>
          <cell r="S117">
            <v>139147.03</v>
          </cell>
          <cell r="T117">
            <v>141666</v>
          </cell>
          <cell r="V117">
            <v>-1.7781048381404201E-2</v>
          </cell>
          <cell r="W117">
            <v>143750.92000000001</v>
          </cell>
          <cell r="Y117">
            <v>-3.2026855897687397E-2</v>
          </cell>
          <cell r="Z117">
            <v>1700000</v>
          </cell>
          <cell r="AA117">
            <v>8.1851194117647103E-2</v>
          </cell>
        </row>
        <row r="118">
          <cell r="J118">
            <v>0</v>
          </cell>
          <cell r="K118">
            <v>0</v>
          </cell>
          <cell r="M118" t="str">
            <v/>
          </cell>
          <cell r="N118">
            <v>0</v>
          </cell>
          <cell r="P118" t="str">
            <v/>
          </cell>
          <cell r="S118">
            <v>0</v>
          </cell>
          <cell r="T118">
            <v>0</v>
          </cell>
          <cell r="V118" t="str">
            <v/>
          </cell>
          <cell r="W118">
            <v>0</v>
          </cell>
          <cell r="Y118" t="str">
            <v/>
          </cell>
          <cell r="Z118">
            <v>0</v>
          </cell>
          <cell r="AA118" t="str">
            <v/>
          </cell>
        </row>
        <row r="119">
          <cell r="J119">
            <v>0</v>
          </cell>
          <cell r="K119">
            <v>0</v>
          </cell>
          <cell r="M119" t="str">
            <v/>
          </cell>
          <cell r="N119">
            <v>0</v>
          </cell>
          <cell r="P119" t="str">
            <v/>
          </cell>
          <cell r="S119">
            <v>0</v>
          </cell>
          <cell r="T119">
            <v>0</v>
          </cell>
          <cell r="V119" t="str">
            <v/>
          </cell>
          <cell r="W119">
            <v>0</v>
          </cell>
          <cell r="Y119" t="str">
            <v/>
          </cell>
          <cell r="Z119">
            <v>0</v>
          </cell>
          <cell r="AA119" t="str">
            <v/>
          </cell>
        </row>
        <row r="120">
          <cell r="J120">
            <v>0</v>
          </cell>
          <cell r="K120">
            <v>0</v>
          </cell>
          <cell r="M120" t="str">
            <v/>
          </cell>
          <cell r="N120">
            <v>425</v>
          </cell>
          <cell r="P120">
            <v>-1</v>
          </cell>
          <cell r="S120">
            <v>0</v>
          </cell>
          <cell r="T120">
            <v>0</v>
          </cell>
          <cell r="V120" t="str">
            <v/>
          </cell>
          <cell r="W120">
            <v>425</v>
          </cell>
          <cell r="Y120">
            <v>-1</v>
          </cell>
          <cell r="Z120">
            <v>0</v>
          </cell>
          <cell r="AA120" t="str">
            <v/>
          </cell>
        </row>
        <row r="121">
          <cell r="J121">
            <v>-109455.5</v>
          </cell>
          <cell r="K121">
            <v>-248871.24</v>
          </cell>
          <cell r="M121">
            <v>0.56019225041832799</v>
          </cell>
          <cell r="N121">
            <v>-351959.93</v>
          </cell>
          <cell r="P121">
            <v>0.68901147355041203</v>
          </cell>
          <cell r="S121">
            <v>-109455.5</v>
          </cell>
          <cell r="T121">
            <v>-248871.24</v>
          </cell>
          <cell r="V121">
            <v>0.56019225041832799</v>
          </cell>
          <cell r="W121">
            <v>-351959.93</v>
          </cell>
          <cell r="Y121">
            <v>0.68901147355041203</v>
          </cell>
          <cell r="Z121">
            <v>0.77000000001862601</v>
          </cell>
          <cell r="AA121">
            <v>-142149.999996561</v>
          </cell>
        </row>
        <row r="122">
          <cell r="J122">
            <v>-9.6303450447431299E-2</v>
          </cell>
          <cell r="K122">
            <v>-0.21439100667330999</v>
          </cell>
          <cell r="M122">
            <v>0.55080461656594104</v>
          </cell>
          <cell r="N122">
            <v>-0.281165483726594</v>
          </cell>
          <cell r="P122">
            <v>0.65748480513676</v>
          </cell>
          <cell r="S122">
            <v>-9.6303450447431299E-2</v>
          </cell>
          <cell r="T122">
            <v>-0.21439100667330999</v>
          </cell>
          <cell r="V122">
            <v>0.55080461656594104</v>
          </cell>
          <cell r="W122">
            <v>-0.281165483726594</v>
          </cell>
          <cell r="Y122">
            <v>0.65748480513676</v>
          </cell>
          <cell r="Z122">
            <v>4.3218027168298097E-8</v>
          </cell>
          <cell r="AA122">
            <v>-2228316.67147623</v>
          </cell>
        </row>
        <row r="123">
          <cell r="J123">
            <v>0</v>
          </cell>
          <cell r="K123">
            <v>0</v>
          </cell>
          <cell r="M123" t="str">
            <v/>
          </cell>
          <cell r="N123">
            <v>45500.583100000003</v>
          </cell>
          <cell r="P123">
            <v>-1</v>
          </cell>
          <cell r="S123">
            <v>0</v>
          </cell>
          <cell r="T123">
            <v>0</v>
          </cell>
          <cell r="V123" t="str">
            <v/>
          </cell>
          <cell r="W123">
            <v>45500.583100000003</v>
          </cell>
          <cell r="Y123">
            <v>-1</v>
          </cell>
          <cell r="Z123">
            <v>0</v>
          </cell>
          <cell r="AA123" t="str">
            <v/>
          </cell>
        </row>
        <row r="124">
          <cell r="J124">
            <v>-109455.5</v>
          </cell>
          <cell r="K124">
            <v>-248871.24</v>
          </cell>
          <cell r="M124">
            <v>0.56019225041832799</v>
          </cell>
          <cell r="N124">
            <v>-397460.51309999998</v>
          </cell>
          <cell r="P124">
            <v>0.72461289513692795</v>
          </cell>
          <cell r="S124">
            <v>-109455.5</v>
          </cell>
          <cell r="T124">
            <v>-248871.24</v>
          </cell>
          <cell r="V124">
            <v>0.56019225041832799</v>
          </cell>
          <cell r="W124">
            <v>-397460.51309999998</v>
          </cell>
          <cell r="Y124">
            <v>0.72461289513692795</v>
          </cell>
          <cell r="Z124">
            <v>0.77000000001862601</v>
          </cell>
          <cell r="AA124">
            <v>-142149.999996561</v>
          </cell>
        </row>
        <row r="125">
          <cell r="J125">
            <v>624953.99</v>
          </cell>
          <cell r="K125">
            <v>620425.76</v>
          </cell>
          <cell r="M125">
            <v>7.2985847654036496E-3</v>
          </cell>
          <cell r="N125">
            <v>616149.55000000005</v>
          </cell>
          <cell r="P125">
            <v>1.42894529420661E-2</v>
          </cell>
          <cell r="S125">
            <v>624953.99</v>
          </cell>
          <cell r="T125">
            <v>620425.76</v>
          </cell>
          <cell r="V125">
            <v>7.2985847654036496E-3</v>
          </cell>
          <cell r="W125">
            <v>616149.55000000005</v>
          </cell>
          <cell r="Y125">
            <v>1.42894529420661E-2</v>
          </cell>
          <cell r="Z125">
            <v>7427572.1200000001</v>
          </cell>
          <cell r="AA125">
            <v>8.4139740402816798E-2</v>
          </cell>
        </row>
        <row r="126">
          <cell r="J126">
            <v>0</v>
          </cell>
          <cell r="K126">
            <v>0</v>
          </cell>
          <cell r="M126" t="str">
            <v/>
          </cell>
          <cell r="N126">
            <v>0</v>
          </cell>
          <cell r="P126" t="str">
            <v/>
          </cell>
          <cell r="S126">
            <v>0</v>
          </cell>
          <cell r="T126">
            <v>0</v>
          </cell>
          <cell r="V126" t="str">
            <v/>
          </cell>
          <cell r="W126">
            <v>0</v>
          </cell>
          <cell r="Y126" t="str">
            <v/>
          </cell>
          <cell r="Z126">
            <v>0</v>
          </cell>
          <cell r="AA126" t="str">
            <v/>
          </cell>
        </row>
        <row r="127">
          <cell r="J127">
            <v>15403.29</v>
          </cell>
          <cell r="K127">
            <v>15403.29</v>
          </cell>
          <cell r="M127">
            <v>0</v>
          </cell>
          <cell r="N127">
            <v>0</v>
          </cell>
          <cell r="P127" t="str">
            <v/>
          </cell>
          <cell r="S127">
            <v>15403.29</v>
          </cell>
          <cell r="T127">
            <v>15403.29</v>
          </cell>
          <cell r="V127">
            <v>0</v>
          </cell>
          <cell r="W127">
            <v>0</v>
          </cell>
          <cell r="Y127" t="str">
            <v/>
          </cell>
          <cell r="Z127">
            <v>184839.48</v>
          </cell>
          <cell r="AA127">
            <v>8.3333333333333301E-2</v>
          </cell>
        </row>
        <row r="128">
          <cell r="J128">
            <v>550478.72</v>
          </cell>
          <cell r="K128">
            <v>547586.47</v>
          </cell>
          <cell r="M128">
            <v>5.2818142128310801E-3</v>
          </cell>
          <cell r="N128">
            <v>554893.18000000005</v>
          </cell>
          <cell r="P128">
            <v>-7.9555131674169197E-3</v>
          </cell>
          <cell r="S128">
            <v>550478.72</v>
          </cell>
          <cell r="T128">
            <v>547586.47</v>
          </cell>
          <cell r="V128">
            <v>5.2818142128310801E-3</v>
          </cell>
          <cell r="W128">
            <v>554893.18000000005</v>
          </cell>
          <cell r="Y128">
            <v>-7.9555131674169197E-3</v>
          </cell>
          <cell r="Z128">
            <v>6525872.0899999999</v>
          </cell>
          <cell r="AA128">
            <v>8.4353280666277994E-2</v>
          </cell>
        </row>
        <row r="129">
          <cell r="J129">
            <v>59071.98</v>
          </cell>
          <cell r="K129">
            <v>57436</v>
          </cell>
          <cell r="M129">
            <v>2.8483529493697101E-2</v>
          </cell>
          <cell r="N129">
            <v>61256.37</v>
          </cell>
          <cell r="P129">
            <v>-3.5659801584717203E-2</v>
          </cell>
          <cell r="S129">
            <v>59071.98</v>
          </cell>
          <cell r="T129">
            <v>57436</v>
          </cell>
          <cell r="V129">
            <v>2.8483529493697101E-2</v>
          </cell>
          <cell r="W129">
            <v>61256.37</v>
          </cell>
          <cell r="Y129">
            <v>-3.5659801584717203E-2</v>
          </cell>
          <cell r="Z129">
            <v>716860.55</v>
          </cell>
          <cell r="AA129">
            <v>8.24037255223488E-2</v>
          </cell>
        </row>
        <row r="130">
          <cell r="J130">
            <v>-734409.49</v>
          </cell>
          <cell r="K130">
            <v>-869297</v>
          </cell>
          <cell r="M130">
            <v>0.155168498223277</v>
          </cell>
          <cell r="N130">
            <v>-968109.48</v>
          </cell>
          <cell r="P130">
            <v>0.24139830755505001</v>
          </cell>
          <cell r="S130">
            <v>-734409.49</v>
          </cell>
          <cell r="T130">
            <v>-869297</v>
          </cell>
          <cell r="V130">
            <v>0.155168498223277</v>
          </cell>
          <cell r="W130">
            <v>-968109.48</v>
          </cell>
          <cell r="Y130">
            <v>0.24139830755505001</v>
          </cell>
          <cell r="Z130">
            <v>-7427571.3499999996</v>
          </cell>
          <cell r="AA130">
            <v>1.9011238727447599</v>
          </cell>
        </row>
        <row r="131">
          <cell r="J131">
            <v>0</v>
          </cell>
          <cell r="K131">
            <v>0</v>
          </cell>
          <cell r="M131" t="str">
            <v/>
          </cell>
          <cell r="N131">
            <v>0</v>
          </cell>
          <cell r="P131" t="str">
            <v/>
          </cell>
          <cell r="S131">
            <v>0</v>
          </cell>
          <cell r="T131">
            <v>0</v>
          </cell>
          <cell r="V131" t="str">
            <v/>
          </cell>
          <cell r="W131">
            <v>0</v>
          </cell>
          <cell r="Y131" t="str">
            <v/>
          </cell>
          <cell r="Z131">
            <v>0</v>
          </cell>
          <cell r="AA131" t="str">
            <v/>
          </cell>
        </row>
        <row r="132">
          <cell r="J132">
            <v>-734409.49</v>
          </cell>
          <cell r="K132">
            <v>-869297</v>
          </cell>
          <cell r="M132">
            <v>0.155168498223277</v>
          </cell>
          <cell r="N132">
            <v>-968109.48</v>
          </cell>
          <cell r="P132">
            <v>0.24139830755505001</v>
          </cell>
          <cell r="S132">
            <v>-734409.49</v>
          </cell>
          <cell r="T132">
            <v>-869297</v>
          </cell>
          <cell r="V132">
            <v>0.155168498223277</v>
          </cell>
          <cell r="W132">
            <v>-968109.48</v>
          </cell>
          <cell r="Y132">
            <v>0.24139830755505001</v>
          </cell>
          <cell r="Z132">
            <v>-7427571.3499999996</v>
          </cell>
          <cell r="AA132">
            <v>1.9011238727447599</v>
          </cell>
        </row>
        <row r="133">
          <cell r="J133">
            <v>-91.87</v>
          </cell>
          <cell r="K133">
            <v>0</v>
          </cell>
          <cell r="M133" t="str">
            <v/>
          </cell>
          <cell r="N133">
            <v>0</v>
          </cell>
          <cell r="P133" t="str">
            <v/>
          </cell>
          <cell r="S133">
            <v>-91.87</v>
          </cell>
          <cell r="T133">
            <v>0</v>
          </cell>
          <cell r="V133" t="str">
            <v/>
          </cell>
          <cell r="W133">
            <v>0</v>
          </cell>
          <cell r="Y133" t="str">
            <v/>
          </cell>
        </row>
        <row r="134">
          <cell r="J134">
            <v>-731505.44</v>
          </cell>
          <cell r="K134">
            <v>0</v>
          </cell>
          <cell r="M134" t="str">
            <v/>
          </cell>
          <cell r="N134">
            <v>0</v>
          </cell>
          <cell r="P134" t="str">
            <v/>
          </cell>
          <cell r="S134">
            <v>-731505.44</v>
          </cell>
          <cell r="T134">
            <v>0</v>
          </cell>
          <cell r="V134" t="str">
            <v/>
          </cell>
          <cell r="W134">
            <v>0</v>
          </cell>
          <cell r="Y134" t="str">
            <v/>
          </cell>
          <cell r="Z134">
            <v>0</v>
          </cell>
        </row>
        <row r="135">
          <cell r="J135">
            <v>0</v>
          </cell>
          <cell r="K135">
            <v>0</v>
          </cell>
          <cell r="M135" t="str">
            <v/>
          </cell>
          <cell r="N135">
            <v>0</v>
          </cell>
          <cell r="P135" t="str">
            <v/>
          </cell>
          <cell r="S135">
            <v>0</v>
          </cell>
          <cell r="T135">
            <v>0</v>
          </cell>
          <cell r="V135" t="str">
            <v/>
          </cell>
          <cell r="W135">
            <v>0</v>
          </cell>
          <cell r="Y135" t="str">
            <v/>
          </cell>
        </row>
        <row r="140">
          <cell r="J140">
            <v>-109455.5</v>
          </cell>
          <cell r="K140">
            <v>-248871.24</v>
          </cell>
          <cell r="M140">
            <v>0.56019225041832799</v>
          </cell>
          <cell r="N140">
            <v>-397460.51309999998</v>
          </cell>
          <cell r="P140">
            <v>0.72461289513692795</v>
          </cell>
          <cell r="S140">
            <v>-109455.5</v>
          </cell>
          <cell r="T140">
            <v>-248871.24</v>
          </cell>
          <cell r="V140">
            <v>0.56019225041832799</v>
          </cell>
          <cell r="W140">
            <v>-397460.51309999998</v>
          </cell>
          <cell r="Y140">
            <v>0.72461289513692795</v>
          </cell>
          <cell r="Z140">
            <v>0.77000000001862601</v>
          </cell>
          <cell r="AA140">
            <v>-142149.999996561</v>
          </cell>
        </row>
        <row r="141">
          <cell r="J141">
            <v>139147.03</v>
          </cell>
          <cell r="K141">
            <v>141666</v>
          </cell>
          <cell r="M141">
            <v>-1.7781048381404201E-2</v>
          </cell>
          <cell r="N141">
            <v>143750.92000000001</v>
          </cell>
          <cell r="P141">
            <v>-3.2026855897687397E-2</v>
          </cell>
          <cell r="S141">
            <v>139147.03</v>
          </cell>
          <cell r="T141">
            <v>141666</v>
          </cell>
          <cell r="V141">
            <v>-1.7781048381404201E-2</v>
          </cell>
          <cell r="W141">
            <v>143750.92000000001</v>
          </cell>
          <cell r="Y141">
            <v>-3.2026855897687397E-2</v>
          </cell>
          <cell r="Z141">
            <v>1700000</v>
          </cell>
          <cell r="AA141">
            <v>8.1851194117647103E-2</v>
          </cell>
        </row>
        <row r="142">
          <cell r="J142">
            <v>0</v>
          </cell>
          <cell r="K142">
            <v>0</v>
          </cell>
          <cell r="M142" t="str">
            <v/>
          </cell>
          <cell r="N142">
            <v>0</v>
          </cell>
          <cell r="P142" t="str">
            <v/>
          </cell>
          <cell r="S142">
            <v>0</v>
          </cell>
          <cell r="T142">
            <v>0</v>
          </cell>
          <cell r="V142" t="str">
            <v/>
          </cell>
          <cell r="W142">
            <v>0</v>
          </cell>
          <cell r="Y142" t="str">
            <v/>
          </cell>
          <cell r="Z142">
            <v>0</v>
          </cell>
          <cell r="AA142" t="str">
            <v/>
          </cell>
        </row>
        <row r="143">
          <cell r="J143">
            <v>0</v>
          </cell>
          <cell r="K143">
            <v>0</v>
          </cell>
          <cell r="M143" t="str">
            <v/>
          </cell>
          <cell r="N143">
            <v>45500.583100000003</v>
          </cell>
          <cell r="P143">
            <v>-1</v>
          </cell>
          <cell r="S143">
            <v>0</v>
          </cell>
          <cell r="T143">
            <v>0</v>
          </cell>
          <cell r="V143" t="str">
            <v/>
          </cell>
          <cell r="W143">
            <v>45500.583100000003</v>
          </cell>
          <cell r="Y143">
            <v>-1</v>
          </cell>
          <cell r="Z143">
            <v>0</v>
          </cell>
          <cell r="AA143" t="str">
            <v/>
          </cell>
        </row>
        <row r="144">
          <cell r="J144">
            <v>0</v>
          </cell>
          <cell r="K144">
            <v>0</v>
          </cell>
          <cell r="M144" t="str">
            <v/>
          </cell>
          <cell r="N144">
            <v>425</v>
          </cell>
          <cell r="P144">
            <v>-1</v>
          </cell>
          <cell r="S144">
            <v>0</v>
          </cell>
          <cell r="T144">
            <v>0</v>
          </cell>
          <cell r="V144" t="str">
            <v/>
          </cell>
          <cell r="W144">
            <v>425</v>
          </cell>
          <cell r="Y144">
            <v>-1</v>
          </cell>
          <cell r="Z144">
            <v>0</v>
          </cell>
          <cell r="AA144" t="str">
            <v/>
          </cell>
        </row>
        <row r="145">
          <cell r="J145">
            <v>201.07</v>
          </cell>
          <cell r="K145">
            <v>0</v>
          </cell>
          <cell r="M145" t="str">
            <v/>
          </cell>
          <cell r="N145">
            <v>0</v>
          </cell>
          <cell r="P145" t="str">
            <v/>
          </cell>
          <cell r="S145">
            <v>201.07</v>
          </cell>
          <cell r="T145">
            <v>0</v>
          </cell>
          <cell r="V145" t="str">
            <v/>
          </cell>
          <cell r="W145">
            <v>0</v>
          </cell>
          <cell r="Y145" t="str">
            <v/>
          </cell>
          <cell r="Z145">
            <v>0</v>
          </cell>
          <cell r="AA145" t="str">
            <v/>
          </cell>
        </row>
        <row r="146">
          <cell r="J146">
            <v>59071.98</v>
          </cell>
          <cell r="K146">
            <v>57436</v>
          </cell>
          <cell r="M146">
            <v>2.8483529493697101E-2</v>
          </cell>
          <cell r="N146">
            <v>61256.37</v>
          </cell>
          <cell r="P146">
            <v>-3.5659801584717203E-2</v>
          </cell>
          <cell r="S146">
            <v>59071.98</v>
          </cell>
          <cell r="T146">
            <v>57436</v>
          </cell>
          <cell r="V146">
            <v>2.8483529493697101E-2</v>
          </cell>
          <cell r="W146">
            <v>61256.37</v>
          </cell>
          <cell r="Y146">
            <v>-3.5659801584717203E-2</v>
          </cell>
          <cell r="Z146">
            <v>716860.55</v>
          </cell>
          <cell r="AA146">
            <v>8.24037255223488E-2</v>
          </cell>
        </row>
        <row r="147">
          <cell r="J147">
            <v>0</v>
          </cell>
          <cell r="K147">
            <v>0</v>
          </cell>
          <cell r="M147" t="str">
            <v/>
          </cell>
          <cell r="N147">
            <v>0</v>
          </cell>
          <cell r="P147" t="str">
            <v/>
          </cell>
          <cell r="S147">
            <v>0</v>
          </cell>
          <cell r="T147">
            <v>0</v>
          </cell>
          <cell r="V147" t="str">
            <v/>
          </cell>
          <cell r="W147">
            <v>0</v>
          </cell>
          <cell r="Y147" t="str">
            <v/>
          </cell>
          <cell r="Z147">
            <v>0</v>
          </cell>
          <cell r="AA147" t="str">
            <v/>
          </cell>
        </row>
        <row r="148">
          <cell r="J148">
            <v>-29581.52</v>
          </cell>
          <cell r="K148">
            <v>-164641.24</v>
          </cell>
          <cell r="M148">
            <v>0.82032739792290199</v>
          </cell>
          <cell r="N148">
            <v>-269040.38</v>
          </cell>
          <cell r="P148">
            <v>0.89004802922148696</v>
          </cell>
          <cell r="S148">
            <v>-29581.52</v>
          </cell>
          <cell r="T148">
            <v>-164641.24</v>
          </cell>
          <cell r="V148">
            <v>0.82032739792290199</v>
          </cell>
          <cell r="W148">
            <v>-269040.38</v>
          </cell>
          <cell r="Y148">
            <v>0.89004802922148696</v>
          </cell>
          <cell r="Z148">
            <v>983140.22</v>
          </cell>
          <cell r="AA148">
            <v>-3.0088810729358598E-2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8">
          <cell r="H158">
            <v>1136568.83</v>
          </cell>
          <cell r="I158">
            <v>1160828.73</v>
          </cell>
          <cell r="J158">
            <v>0.97910122365768804</v>
          </cell>
          <cell r="K158">
            <v>1251789.25</v>
          </cell>
          <cell r="L158">
            <v>-9.2044583383344994E-2</v>
          </cell>
          <cell r="M158">
            <v>58022.27</v>
          </cell>
          <cell r="N158">
            <v>-89792.8100000001</v>
          </cell>
          <cell r="O158">
            <v>2.6461794658169202</v>
          </cell>
          <cell r="P158">
            <v>-179449.02</v>
          </cell>
          <cell r="Q158">
            <v>1.3233356749454499</v>
          </cell>
          <cell r="R158">
            <v>-29581.52</v>
          </cell>
          <cell r="S158">
            <v>-164641.24</v>
          </cell>
          <cell r="T158">
            <v>1.8203273979229</v>
          </cell>
          <cell r="U158">
            <v>-269040.38</v>
          </cell>
          <cell r="V158">
            <v>0.89004802922148696</v>
          </cell>
          <cell r="W158">
            <v>2.1067654643068798</v>
          </cell>
          <cell r="X158">
            <v>5.1050379412569298E-2</v>
          </cell>
          <cell r="Y158">
            <v>0.224880615924374</v>
          </cell>
          <cell r="Z158">
            <v>221.87889924160299</v>
          </cell>
          <cell r="AA158">
            <v>49.896263522073902</v>
          </cell>
          <cell r="AB158">
            <v>4.7829934735342503</v>
          </cell>
          <cell r="AC158">
            <v>0.60995124635776399</v>
          </cell>
          <cell r="AD158">
            <v>0.59600743105589704</v>
          </cell>
          <cell r="AE158">
            <v>3.2034786446502199</v>
          </cell>
          <cell r="AF158">
            <v>0.260946142147227</v>
          </cell>
          <cell r="AG158">
            <v>0.117016995794263</v>
          </cell>
          <cell r="AH158">
            <v>4.5567032442403796</v>
          </cell>
          <cell r="AI158">
            <v>4.0234237287679303E-2</v>
          </cell>
          <cell r="AJ158">
            <v>0.39204858363043399</v>
          </cell>
          <cell r="AK158">
            <v>0</v>
          </cell>
        </row>
        <row r="159">
          <cell r="H159">
            <v>1136568.83</v>
          </cell>
          <cell r="I159">
            <v>1160828.73</v>
          </cell>
          <cell r="J159">
            <v>0.97910122365768804</v>
          </cell>
          <cell r="K159">
            <v>1251789.25</v>
          </cell>
          <cell r="L159">
            <v>-9.2044583383344994E-2</v>
          </cell>
          <cell r="M159">
            <v>58022.27</v>
          </cell>
          <cell r="N159">
            <v>-89792.8100000001</v>
          </cell>
          <cell r="O159">
            <v>2.6461794658169202</v>
          </cell>
          <cell r="P159">
            <v>-179449.02</v>
          </cell>
          <cell r="Q159">
            <v>1.3233356749454499</v>
          </cell>
          <cell r="R159">
            <v>-29581.52</v>
          </cell>
          <cell r="S159">
            <v>-164641.24</v>
          </cell>
          <cell r="T159">
            <v>1.8203273979229</v>
          </cell>
          <cell r="U159">
            <v>-269040.38</v>
          </cell>
          <cell r="V159">
            <v>0.89004802922148696</v>
          </cell>
          <cell r="W159">
            <v>2.1067654643068798</v>
          </cell>
          <cell r="X159">
            <v>5.1050379412569298E-2</v>
          </cell>
          <cell r="Y159">
            <v>0.224880615924374</v>
          </cell>
          <cell r="Z159">
            <v>221.87889924160299</v>
          </cell>
          <cell r="AA159">
            <v>49.896263522073902</v>
          </cell>
          <cell r="AB159">
            <v>4.7829934735342503</v>
          </cell>
          <cell r="AC159">
            <v>0.60995124635776399</v>
          </cell>
          <cell r="AD159">
            <v>0.59600743105589704</v>
          </cell>
          <cell r="AE159">
            <v>3.2034786446502199</v>
          </cell>
          <cell r="AF159">
            <v>0.260946142147227</v>
          </cell>
          <cell r="AG159">
            <v>0.117016995794263</v>
          </cell>
          <cell r="AH159">
            <v>4.5567032442403796</v>
          </cell>
          <cell r="AI159">
            <v>4.0234237287679303E-2</v>
          </cell>
          <cell r="AJ159">
            <v>0.39204858363043399</v>
          </cell>
          <cell r="AK15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opLeftCell="B1" zoomScale="90" zoomScaleNormal="90" workbookViewId="0">
      <pane xSplit="1" ySplit="4" topLeftCell="C5" activePane="bottomRight" state="frozen"/>
      <selection activeCell="H21" sqref="H21"/>
      <selection pane="topRight" activeCell="H21" sqref="H21"/>
      <selection pane="bottomLeft" activeCell="H21" sqref="H21"/>
      <selection pane="bottomRight" activeCell="E28" sqref="E28"/>
    </sheetView>
  </sheetViews>
  <sheetFormatPr defaultColWidth="9.140625" defaultRowHeight="16.399999999999999" customHeight="1"/>
  <cols>
    <col min="1" max="1" width="27.35546875" style="780" hidden="1" customWidth="1"/>
    <col min="2" max="2" width="13.640625" style="780" customWidth="1"/>
    <col min="3" max="3" width="6.85546875" style="836" customWidth="1"/>
    <col min="4" max="4" width="7.85546875" style="836" customWidth="1"/>
    <col min="5" max="5" width="7.85546875" style="780" customWidth="1"/>
    <col min="6" max="6" width="6.85546875" style="836" customWidth="1"/>
    <col min="7" max="7" width="7.2109375" style="780" customWidth="1"/>
    <col min="8" max="8" width="7" style="836" customWidth="1"/>
    <col min="9" max="9" width="6.640625" style="836" customWidth="1"/>
    <col min="10" max="10" width="8" style="780" customWidth="1"/>
    <col min="11" max="11" width="8.140625" style="836" customWidth="1"/>
    <col min="12" max="12" width="7.85546875" style="780" customWidth="1"/>
    <col min="13" max="13" width="6.35546875" style="836" customWidth="1"/>
    <col min="14" max="14" width="7.2109375" style="836" customWidth="1"/>
    <col min="15" max="15" width="8.35546875" style="780" customWidth="1"/>
    <col min="16" max="16" width="6.85546875" style="836" customWidth="1"/>
    <col min="17" max="17" width="7.640625" style="780" customWidth="1"/>
    <col min="18" max="18" width="10.640625" style="838" customWidth="1"/>
    <col min="19" max="19" width="7.140625" style="780" customWidth="1"/>
    <col min="20" max="20" width="6.35546875" style="780" customWidth="1"/>
    <col min="21" max="21" width="7.35546875" style="836" customWidth="1"/>
    <col min="22" max="22" width="10.640625" style="836" customWidth="1"/>
    <col min="23" max="23" width="10.640625" style="838" customWidth="1"/>
    <col min="24" max="24" width="9.35546875" style="780" customWidth="1"/>
    <col min="25" max="25" width="7" style="780" customWidth="1"/>
    <col min="26" max="26" width="10.640625" style="838" customWidth="1"/>
    <col min="27" max="27" width="10.35546875" style="780" customWidth="1"/>
    <col min="28" max="28" width="8.640625" style="780" customWidth="1"/>
    <col min="29" max="29" width="10.640625" style="838" customWidth="1"/>
    <col min="30" max="30" width="10.140625" style="780" customWidth="1"/>
    <col min="31" max="31" width="13.35546875" style="780" customWidth="1"/>
    <col min="32" max="16384" width="9.140625" style="780"/>
  </cols>
  <sheetData>
    <row r="1" spans="1:31" ht="16.399999999999999" customHeight="1">
      <c r="A1" s="897" t="s">
        <v>0</v>
      </c>
      <c r="B1" s="882" t="s">
        <v>1</v>
      </c>
      <c r="C1" s="894" t="s">
        <v>2</v>
      </c>
      <c r="D1" s="895"/>
      <c r="E1" s="895"/>
      <c r="F1" s="895"/>
      <c r="G1" s="896"/>
      <c r="H1" s="901" t="s">
        <v>3</v>
      </c>
      <c r="I1" s="892"/>
      <c r="J1" s="892"/>
      <c r="K1" s="892"/>
      <c r="L1" s="893"/>
      <c r="M1" s="894" t="s">
        <v>4</v>
      </c>
      <c r="N1" s="895"/>
      <c r="O1" s="895"/>
      <c r="P1" s="895"/>
      <c r="Q1" s="896"/>
      <c r="R1" s="901" t="s">
        <v>5</v>
      </c>
      <c r="S1" s="902"/>
      <c r="T1" s="903" t="s">
        <v>6</v>
      </c>
      <c r="U1" s="904"/>
      <c r="V1" s="904"/>
      <c r="W1" s="904"/>
      <c r="X1" s="905"/>
      <c r="Y1" s="891" t="s">
        <v>7</v>
      </c>
      <c r="Z1" s="892"/>
      <c r="AA1" s="893"/>
      <c r="AB1" s="894" t="s">
        <v>8</v>
      </c>
      <c r="AC1" s="895"/>
      <c r="AD1" s="895"/>
      <c r="AE1" s="896"/>
    </row>
    <row r="2" spans="1:31" ht="16.399999999999999" customHeight="1">
      <c r="A2" s="898"/>
      <c r="B2" s="900"/>
      <c r="C2" s="839" t="s">
        <v>9</v>
      </c>
      <c r="D2" s="839" t="s">
        <v>10</v>
      </c>
      <c r="E2" s="866" t="s">
        <v>11</v>
      </c>
      <c r="F2" s="839" t="s">
        <v>12</v>
      </c>
      <c r="G2" s="840" t="s">
        <v>13</v>
      </c>
      <c r="H2" s="842" t="s">
        <v>9</v>
      </c>
      <c r="I2" s="842" t="s">
        <v>10</v>
      </c>
      <c r="J2" s="867" t="s">
        <v>11</v>
      </c>
      <c r="K2" s="842" t="s">
        <v>12</v>
      </c>
      <c r="L2" s="843" t="s">
        <v>13</v>
      </c>
      <c r="M2" s="839" t="s">
        <v>9</v>
      </c>
      <c r="N2" s="839" t="s">
        <v>10</v>
      </c>
      <c r="O2" s="866" t="s">
        <v>11</v>
      </c>
      <c r="P2" s="839" t="s">
        <v>12</v>
      </c>
      <c r="Q2" s="840" t="s">
        <v>13</v>
      </c>
      <c r="R2" s="844" t="s">
        <v>14</v>
      </c>
      <c r="S2" s="868" t="s">
        <v>15</v>
      </c>
      <c r="T2" s="869" t="s">
        <v>16</v>
      </c>
      <c r="U2" s="839" t="s">
        <v>17</v>
      </c>
      <c r="V2" s="839" t="s">
        <v>18</v>
      </c>
      <c r="W2" s="847" t="s">
        <v>14</v>
      </c>
      <c r="X2" s="869" t="s">
        <v>19</v>
      </c>
      <c r="Y2" s="868" t="s">
        <v>20</v>
      </c>
      <c r="Z2" s="844" t="s">
        <v>14</v>
      </c>
      <c r="AA2" s="868" t="s">
        <v>21</v>
      </c>
      <c r="AB2" s="869" t="s">
        <v>22</v>
      </c>
      <c r="AC2" s="847" t="s">
        <v>14</v>
      </c>
      <c r="AD2" s="869" t="s">
        <v>23</v>
      </c>
      <c r="AE2" s="869" t="s">
        <v>24</v>
      </c>
    </row>
    <row r="3" spans="1:31" s="865" customFormat="1" ht="16.399999999999999" customHeight="1">
      <c r="A3" s="898"/>
      <c r="B3" s="870" t="s">
        <v>480</v>
      </c>
      <c r="C3" s="871">
        <f ca="1">SUM(C5:C7)</f>
        <v>409.74156100000005</v>
      </c>
      <c r="D3" s="871">
        <f ca="1">SUM(D5:D7)</f>
        <v>448.34058700000003</v>
      </c>
      <c r="E3" s="851">
        <f ca="1">C3/D3</f>
        <v>0.91390691113138067</v>
      </c>
      <c r="F3" s="871">
        <f ca="1">SUM(F5:F7)</f>
        <v>500.19512900000001</v>
      </c>
      <c r="G3" s="851">
        <f ca="1">C3/F3-1</f>
        <v>-0.18083656308456364</v>
      </c>
      <c r="H3" s="871">
        <f ca="1">SUM(H5:H7)</f>
        <v>-64.698090999999991</v>
      </c>
      <c r="I3" s="871">
        <f ca="1">SUM(I5:I7)</f>
        <v>-46.84309300000001</v>
      </c>
      <c r="J3" s="851">
        <f ca="1">H3/I3</f>
        <v>1.3811660771418313</v>
      </c>
      <c r="K3" s="871">
        <f ca="1">SUM(K5:K7)</f>
        <v>-71.212732999999986</v>
      </c>
      <c r="L3" s="851">
        <f ca="1">IF(K3&gt;0,H3/K3-1,IF(K3&lt;0,1-H3/K3,""))</f>
        <v>9.1481420885784481E-2</v>
      </c>
      <c r="M3" s="871">
        <f ca="1">SUM(M5:M7)</f>
        <v>-102.339544</v>
      </c>
      <c r="N3" s="871">
        <f ca="1">SUM(N5:N7)</f>
        <v>-85.370055000000008</v>
      </c>
      <c r="O3" s="851">
        <f ca="1">IF(N3&lt;0,2-M3/N3,M3/N3)</f>
        <v>0.80122434031464551</v>
      </c>
      <c r="P3" s="871">
        <f ca="1">SUM(P5:P7)</f>
        <v>-116.628547</v>
      </c>
      <c r="Q3" s="851">
        <f ca="1">IF(P3&gt;0,M3/P3-1,IF(P3&lt;0,1-M3/P3,""))</f>
        <v>0.12251719984130471</v>
      </c>
      <c r="R3" s="872">
        <f ca="1">'汇总明细-1月'!R3</f>
        <v>2.1563776834758666</v>
      </c>
      <c r="S3" s="851">
        <f ca="1">'汇总明细-1月'!S3</f>
        <v>-0.15789975232705278</v>
      </c>
      <c r="T3" s="851">
        <f ca="1">'汇总明细-1月'!T3</f>
        <v>0.21552662967380595</v>
      </c>
      <c r="U3" s="872"/>
      <c r="V3" s="873"/>
      <c r="W3" s="872">
        <f ca="1">'汇总明细-1月'!W3</f>
        <v>3.6946796631592345</v>
      </c>
      <c r="X3" s="851">
        <f ca="1">'汇总明细-1月'!X3</f>
        <v>0.54364998132708486</v>
      </c>
      <c r="Y3" s="851">
        <f ca="1">'汇总明细-1月'!Y3</f>
        <v>0.55209861393617865</v>
      </c>
      <c r="Z3" s="872">
        <f ca="1">'汇总明细-1月'!Z3</f>
        <v>3.9033234121976275</v>
      </c>
      <c r="AA3" s="851">
        <f ca="1">'汇总明细-1月'!AA3</f>
        <v>0.26807803203142405</v>
      </c>
      <c r="AB3" s="851">
        <f ca="1">'汇总明细-1月'!AB3</f>
        <v>0.29535062224259007</v>
      </c>
      <c r="AC3" s="872">
        <f ca="1">'汇总明细-1月'!AC3</f>
        <v>4.7004373498582295</v>
      </c>
      <c r="AD3" s="851">
        <f ca="1">'汇总明细-1月'!AD3</f>
        <v>2.7139482684794117E-2</v>
      </c>
      <c r="AE3" s="851">
        <f ca="1">'汇总明细-1月'!AE3</f>
        <v>0.56572204790326308</v>
      </c>
    </row>
    <row r="4" spans="1:31" s="865" customFormat="1" ht="16.399999999999999" hidden="1" customHeight="1">
      <c r="A4" s="899"/>
      <c r="B4" s="870" t="s">
        <v>26</v>
      </c>
      <c r="C4" s="871">
        <f ca="1">SUM(C5:C7)</f>
        <v>409.74156100000005</v>
      </c>
      <c r="D4" s="871">
        <f ca="1">SUM(D5:D7)</f>
        <v>448.34058700000003</v>
      </c>
      <c r="E4" s="851">
        <f ca="1">C4/D4</f>
        <v>0.91390691113138067</v>
      </c>
      <c r="F4" s="871">
        <f ca="1">SUM(F5:F7)</f>
        <v>500.19512900000001</v>
      </c>
      <c r="G4" s="874">
        <f ca="1">C4/F4-1</f>
        <v>-0.18083656308456364</v>
      </c>
      <c r="H4" s="871">
        <f ca="1">SUM(H5:H7)</f>
        <v>-64.698090999999991</v>
      </c>
      <c r="I4" s="871">
        <f ca="1">SUM(I5:I7)</f>
        <v>-46.84309300000001</v>
      </c>
      <c r="J4" s="851">
        <f ca="1">H4/I4</f>
        <v>1.3811660771418313</v>
      </c>
      <c r="K4" s="871">
        <f ca="1">SUM(K5:K7)</f>
        <v>-71.212732999999986</v>
      </c>
      <c r="L4" s="874">
        <f ca="1">IF(K4&gt;0,H4/K4-1,IF(K4&lt;0,1-H4/K4,""))</f>
        <v>9.1481420885784481E-2</v>
      </c>
      <c r="M4" s="871">
        <f ca="1">SUM(M5:M7)</f>
        <v>-102.339544</v>
      </c>
      <c r="N4" s="871">
        <f ca="1">SUM(N5:N7)</f>
        <v>-85.370055000000008</v>
      </c>
      <c r="O4" s="851">
        <f ca="1">IF(N4&lt;0,2-M4/N4,M4/N4)</f>
        <v>0.80122434031464551</v>
      </c>
      <c r="P4" s="871">
        <f ca="1">SUM(P5:P7)</f>
        <v>-116.628547</v>
      </c>
      <c r="Q4" s="851">
        <f ca="1">IF(P4&gt;0,M4/P4-1,IF(P4&lt;0,1-M4/P4,""))</f>
        <v>0.12251719984130471</v>
      </c>
      <c r="R4" s="872">
        <f ca="1">'汇总明细-1月'!R4</f>
        <v>2.1563776834758666</v>
      </c>
      <c r="S4" s="851">
        <f ca="1">'汇总明细-1月'!S4</f>
        <v>-0.15789975232705278</v>
      </c>
      <c r="T4" s="851">
        <f ca="1">'汇总明细-1月'!T4</f>
        <v>0.21552662967380595</v>
      </c>
      <c r="U4" s="872"/>
      <c r="V4" s="873"/>
      <c r="W4" s="872">
        <f ca="1">'汇总明细-1月'!W4</f>
        <v>3.6946796631592345</v>
      </c>
      <c r="X4" s="851">
        <f ca="1">'汇总明细-1月'!X4</f>
        <v>0.54364998132708486</v>
      </c>
      <c r="Y4" s="851">
        <f ca="1">'汇总明细-1月'!Y4</f>
        <v>0.55209861393617865</v>
      </c>
      <c r="Z4" s="872">
        <f ca="1">'汇总明细-1月'!Z4</f>
        <v>3.9033234121976275</v>
      </c>
      <c r="AA4" s="851">
        <f ca="1">'汇总明细-1月'!AA4</f>
        <v>0.26807803203142405</v>
      </c>
      <c r="AB4" s="851">
        <f ca="1">'汇总明细-1月'!AB4</f>
        <v>0.29535062224259007</v>
      </c>
      <c r="AC4" s="872">
        <f ca="1">'汇总明细-1月'!AC4</f>
        <v>4.7004373498582295</v>
      </c>
      <c r="AD4" s="851">
        <f ca="1">'汇总明细-1月'!AD4</f>
        <v>2.7139482684794117E-2</v>
      </c>
      <c r="AE4" s="851">
        <f ca="1">'汇总明细-1月'!AE4</f>
        <v>0.56572204790326308</v>
      </c>
    </row>
    <row r="5" spans="1:31" ht="16.399999999999999" customHeight="1">
      <c r="A5" s="855" t="s">
        <v>27</v>
      </c>
      <c r="B5" s="856" t="s">
        <v>28</v>
      </c>
      <c r="C5" s="875">
        <f ca="1">VLOOKUP($B5,'汇总明细-1月'!$A$5:$AE$7,3,0)/10000</f>
        <v>283.18159100000003</v>
      </c>
      <c r="D5" s="875">
        <f ca="1">VLOOKUP($B5,'汇总明细-1月'!$A$5:$AE$7,4,0)/10000</f>
        <v>269.12814300000002</v>
      </c>
      <c r="E5" s="858">
        <f ca="1">VLOOKUP($B5,'汇总明细-1月'!$A$5:$AE$7,5,0)</f>
        <v>1.0522184259265699</v>
      </c>
      <c r="F5" s="857">
        <f ca="1">VLOOKUP($B5,'汇总明细-1月'!$A$5:$AE$7,6,0)/10000</f>
        <v>294.17345</v>
      </c>
      <c r="G5" s="858">
        <f ca="1">VLOOKUP($B5,'汇总明细-1月'!$A$5:$AE$7,7,0)</f>
        <v>-3.7365231294666297E-2</v>
      </c>
      <c r="H5" s="859">
        <f ca="1">VLOOKUP($B5,'汇总明细-1月'!$A$5:$AE$7,8,0)/10000</f>
        <v>-34.304774000000002</v>
      </c>
      <c r="I5" s="859">
        <f ca="1">VLOOKUP($B5,'汇总明细-1月'!$A$5:$AE$7,9,0)/10000</f>
        <v>-25.191020000000002</v>
      </c>
      <c r="J5" s="860">
        <f ca="1">VLOOKUP($B5,'汇总明细-1月'!$A$5:$AE$7,10,0)</f>
        <v>0.63821417314582496</v>
      </c>
      <c r="K5" s="859">
        <f ca="1">VLOOKUP($B5,'汇总明细-1月'!$A$5:$AE$7,11,0)/10000</f>
        <v>-55.666637999999999</v>
      </c>
      <c r="L5" s="860">
        <f ca="1">VLOOKUP($B5,'汇总明细-1月'!$A$5:$AE$7,12,0)</f>
        <v>0.38374625749807301</v>
      </c>
      <c r="M5" s="857">
        <f ca="1">VLOOKUP($B5,'汇总明细-1月'!$A$5:$AE$7,13,0)/10000</f>
        <v>-58.735146999999998</v>
      </c>
      <c r="N5" s="857">
        <f ca="1">VLOOKUP($B5,'汇总明细-1月'!$A$5:$AE$7,14,0)/10000</f>
        <v>-51.220325000000003</v>
      </c>
      <c r="O5" s="858">
        <f ca="1">VLOOKUP($B5,'汇总明细-1月'!$A$5:$AE$7,15,0)</f>
        <v>0.85328437490390796</v>
      </c>
      <c r="P5" s="857">
        <f ca="1">VLOOKUP($B5,'汇总明细-1月'!$A$5:$AE$7,16,0)/10000</f>
        <v>-84.799468000000005</v>
      </c>
      <c r="Q5" s="858">
        <f ca="1">VLOOKUP($B5,'汇总明细-1月'!$A$5:$AE$7,17,0)</f>
        <v>0.30736420421882799</v>
      </c>
      <c r="R5" s="861">
        <f ca="1">VLOOKUP($B5,'汇总明细-1月'!$A$5:$AE$7,18,0)</f>
        <v>2.5475391726702998</v>
      </c>
      <c r="S5" s="860">
        <f ca="1">VLOOKUP($B5,'汇总明细-1月'!$A$5:$AE$7,19,0)</f>
        <v>-0.121140551117251</v>
      </c>
      <c r="T5" s="858">
        <f ca="1">VLOOKUP($B5,'汇总明细-1月'!$A$5:$AE$7,20,0)</f>
        <v>0.31282051282051299</v>
      </c>
      <c r="U5" s="862">
        <f ca="1">VLOOKUP($B5,'汇总明细-1月'!$A$5:$AE$7,21,0)</f>
        <v>199.24168341265599</v>
      </c>
      <c r="V5" s="862">
        <f ca="1">VLOOKUP($B5,'汇总明细-1月'!$A$5:$AE$7,22,0)</f>
        <v>62.326885580369499</v>
      </c>
      <c r="W5" s="863">
        <f ca="1">VLOOKUP($B5,'汇总明细-1月'!$A$5:$AE$7,23,0)</f>
        <v>3.9706352792525901</v>
      </c>
      <c r="X5" s="858">
        <f ca="1">VLOOKUP($B5,'汇总明细-1月'!$A$5:$AE$7,24,0)</f>
        <v>0.56916344729471902</v>
      </c>
      <c r="Y5" s="860">
        <f ca="1">VLOOKUP($B5,'汇总明细-1月'!$A$5:$AE$7,25,0)</f>
        <v>0.53898494290128796</v>
      </c>
      <c r="Z5" s="864">
        <f ca="1">VLOOKUP($B5,'汇总明细-1月'!$A$5:$AE$7,26,0)</f>
        <v>5.0071107421836096</v>
      </c>
      <c r="AA5" s="860">
        <f ca="1">VLOOKUP($B5,'汇总明细-1月'!$A$5:$AE$7,27,0)</f>
        <v>0.31116500040032002</v>
      </c>
      <c r="AB5" s="858">
        <f ca="1">VLOOKUP($B5,'汇总明细-1月'!$A$5:$AE$7,28,0)</f>
        <v>0.33181394549054599</v>
      </c>
      <c r="AC5" s="863">
        <f ca="1">VLOOKUP($B5,'汇总明细-1月'!$A$5:$AE$7,29,0)</f>
        <v>5.5028083927558402</v>
      </c>
      <c r="AD5" s="858">
        <f ca="1">VLOOKUP($B5,'汇总明细-1月'!$A$5:$AE$7,30,0)</f>
        <v>2.3047179645233399E-2</v>
      </c>
      <c r="AE5" s="858">
        <f ca="1">VLOOKUP($B5,'汇总明细-1月'!$A$5:$AE$7,31,0)</f>
        <v>0.55986208157153805</v>
      </c>
    </row>
    <row r="6" spans="1:31" ht="16.399999999999999" customHeight="1">
      <c r="A6" s="855" t="s">
        <v>29</v>
      </c>
      <c r="B6" s="856" t="s">
        <v>30</v>
      </c>
      <c r="C6" s="875">
        <f ca="1">VLOOKUP($B6,'汇总明细-1月'!$A$5:$AE$7,3,0)/10000</f>
        <v>12.903086999999999</v>
      </c>
      <c r="D6" s="875">
        <f ca="1">VLOOKUP($B6,'汇总明细-1月'!$A$5:$AE$7,4,0)/10000</f>
        <v>63.129570999999999</v>
      </c>
      <c r="E6" s="858">
        <f ca="1">VLOOKUP($B6,'汇总明细-1月'!$A$5:$AE$7,5,0)</f>
        <v>0.20439053831048501</v>
      </c>
      <c r="F6" s="857">
        <f ca="1">VLOOKUP($B6,'汇总明细-1月'!$A$5:$AE$7,6,0)/10000</f>
        <v>80.842753999999999</v>
      </c>
      <c r="G6" s="858">
        <f ca="1">VLOOKUP($B6,'汇总明细-1月'!$A$5:$AE$7,7,0)</f>
        <v>-0.84039278275947904</v>
      </c>
      <c r="H6" s="859">
        <f ca="1">VLOOKUP($B6,'汇总明细-1月'!$A$5:$AE$7,8,0)/10000</f>
        <v>-36.195543999999998</v>
      </c>
      <c r="I6" s="859">
        <f ca="1">VLOOKUP($B6,'汇总明细-1月'!$A$5:$AE$7,9,0)/10000</f>
        <v>-12.672791999999999</v>
      </c>
      <c r="J6" s="860">
        <f ca="1">VLOOKUP($B6,'汇总明细-1月'!$A$5:$AE$7,10,0)</f>
        <v>-0.85616176766730001</v>
      </c>
      <c r="K6" s="859">
        <f ca="1">VLOOKUP($B6,'汇总明细-1月'!$A$5:$AE$7,11,0)/10000</f>
        <v>2.3988070000000103</v>
      </c>
      <c r="L6" s="860">
        <f ca="1">VLOOKUP($B6,'汇总明细-1月'!$A$5:$AE$7,12,0)</f>
        <v>-16.088977145722801</v>
      </c>
      <c r="M6" s="857">
        <f ca="1">VLOOKUP($B6,'汇总明细-1月'!$A$5:$AE$7,13,0)/10000</f>
        <v>-40.646245</v>
      </c>
      <c r="N6" s="857">
        <f ca="1">VLOOKUP($B6,'汇总明细-1月'!$A$5:$AE$7,14,0)/10000</f>
        <v>-17.685606</v>
      </c>
      <c r="O6" s="858">
        <f ca="1">VLOOKUP($B6,'汇总明细-1月'!$A$5:$AE$7,15,0)</f>
        <v>-0.29826702008401601</v>
      </c>
      <c r="P6" s="857">
        <f ca="1">VLOOKUP($B6,'汇总明细-1月'!$A$5:$AE$7,16,0)/10000</f>
        <v>-4.9250409999999905</v>
      </c>
      <c r="Q6" s="858">
        <f ca="1">VLOOKUP($B6,'汇总明细-1月'!$A$5:$AE$7,17,0)</f>
        <v>-7.2529759650732002</v>
      </c>
      <c r="R6" s="861">
        <f ca="1">VLOOKUP($B6,'汇总明细-1月'!$A$5:$AE$7,18,0)</f>
        <v>0.51806265066897195</v>
      </c>
      <c r="S6" s="860">
        <f ca="1">VLOOKUP($B6,'汇总明细-1月'!$A$5:$AE$7,19,0)</f>
        <v>-2.8051848367758798</v>
      </c>
      <c r="T6" s="858">
        <f ca="1">VLOOKUP($B6,'汇总明细-1月'!$A$5:$AE$7,20,0)</f>
        <v>3.2112757919209499E-2</v>
      </c>
      <c r="U6" s="862">
        <f ca="1">VLOOKUP($B6,'汇总明细-1月'!$A$5:$AE$7,21,0)</f>
        <v>165.84337858220201</v>
      </c>
      <c r="V6" s="862">
        <f ca="1">VLOOKUP($B6,'汇总明细-1月'!$A$5:$AE$7,22,0)</f>
        <v>5.3256882689140799</v>
      </c>
      <c r="W6" s="863">
        <f ca="1">VLOOKUP($B6,'汇总明细-1月'!$A$5:$AE$7,23,0)</f>
        <v>0.81298808872838801</v>
      </c>
      <c r="X6" s="858">
        <f ca="1">VLOOKUP($B6,'汇总明细-1月'!$A$5:$AE$7,24,0)</f>
        <v>-0.59771863062783703</v>
      </c>
      <c r="Y6" s="860">
        <f ca="1">VLOOKUP($B6,'汇总明细-1月'!$A$5:$AE$7,25,0)</f>
        <v>0.47804757233193801</v>
      </c>
      <c r="Z6" s="864">
        <f ca="1">VLOOKUP($B6,'汇总明细-1月'!$A$5:$AE$7,26,0)</f>
        <v>0.98638897028471095</v>
      </c>
      <c r="AA6" s="860">
        <f ca="1">VLOOKUP($B6,'汇总明细-1月'!$A$5:$AE$7,27,0)</f>
        <v>-0.59752879962580197</v>
      </c>
      <c r="AB6" s="858">
        <f ca="1">VLOOKUP($B6,'汇总明细-1月'!$A$5:$AE$7,28,0)</f>
        <v>1.06594933444997</v>
      </c>
      <c r="AC6" s="863">
        <f ca="1">VLOOKUP($B6,'汇总明细-1月'!$A$5:$AE$7,29,0)</f>
        <v>1.1984063893771899</v>
      </c>
      <c r="AD6" s="858">
        <f ca="1">VLOOKUP($B6,'汇总明细-1月'!$A$5:$AE$7,30,0)</f>
        <v>1.6072897904199201E-3</v>
      </c>
      <c r="AE6" s="858">
        <f ca="1">VLOOKUP($B6,'汇总明细-1月'!$A$5:$AE$7,31,0)</f>
        <v>2.2241328761094099</v>
      </c>
    </row>
    <row r="7" spans="1:31" ht="16.399999999999999" customHeight="1">
      <c r="A7" s="855" t="s">
        <v>31</v>
      </c>
      <c r="B7" s="856" t="s">
        <v>32</v>
      </c>
      <c r="C7" s="875">
        <f ca="1">VLOOKUP($B7,'汇总明细-1月'!$A$5:$AE$7,3,0)/10000</f>
        <v>113.65688300000001</v>
      </c>
      <c r="D7" s="875">
        <f ca="1">VLOOKUP($B7,'汇总明细-1月'!$A$5:$AE$7,4,0)/10000</f>
        <v>116.08287299999999</v>
      </c>
      <c r="E7" s="858">
        <f ca="1">VLOOKUP($B7,'汇总明细-1月'!$A$5:$AE$7,5,0)</f>
        <v>0.97910122365768804</v>
      </c>
      <c r="F7" s="857">
        <f ca="1">VLOOKUP($B7,'汇总明细-1月'!$A$5:$AE$7,6,0)/10000</f>
        <v>125.17892500000001</v>
      </c>
      <c r="G7" s="858">
        <f ca="1">VLOOKUP($B7,'汇总明细-1月'!$A$5:$AE$7,7,0)</f>
        <v>-9.2044583383344994E-2</v>
      </c>
      <c r="H7" s="859">
        <f ca="1">VLOOKUP($B7,'汇总明细-1月'!$A$5:$AE$7,8,0)/10000</f>
        <v>5.8022269999999994</v>
      </c>
      <c r="I7" s="859">
        <f ca="1">VLOOKUP($B7,'汇总明细-1月'!$A$5:$AE$7,9,0)/10000</f>
        <v>-8.9792810000000092</v>
      </c>
      <c r="J7" s="860">
        <f ca="1">VLOOKUP($B7,'汇总明细-1月'!$A$5:$AE$7,10,0)</f>
        <v>2.6461794658169202</v>
      </c>
      <c r="K7" s="859">
        <f ca="1">VLOOKUP($B7,'汇总明细-1月'!$A$5:$AE$7,11,0)/10000</f>
        <v>-17.944901999999999</v>
      </c>
      <c r="L7" s="860">
        <f ca="1">VLOOKUP($B7,'汇总明细-1月'!$A$5:$AE$7,12,0)</f>
        <v>1.3233356749454499</v>
      </c>
      <c r="M7" s="857">
        <f ca="1">VLOOKUP($B7,'汇总明细-1月'!$A$5:$AE$7,13,0)/10000</f>
        <v>-2.9581520000000001</v>
      </c>
      <c r="N7" s="857">
        <f ca="1">VLOOKUP($B7,'汇总明细-1月'!$A$5:$AE$7,14,0)/10000</f>
        <v>-16.464123999999998</v>
      </c>
      <c r="O7" s="858">
        <f ca="1">VLOOKUP($B7,'汇总明细-1月'!$A$5:$AE$7,15,0)</f>
        <v>1.8203273979229</v>
      </c>
      <c r="P7" s="857">
        <f ca="1">VLOOKUP($B7,'汇总明细-1月'!$A$5:$AE$7,16,0)/10000</f>
        <v>-26.904038</v>
      </c>
      <c r="Q7" s="858">
        <f ca="1">VLOOKUP($B7,'汇总明细-1月'!$A$5:$AE$7,17,0)</f>
        <v>0.89004802922148696</v>
      </c>
      <c r="R7" s="861">
        <f ca="1">VLOOKUP($B7,'汇总明细-1月'!$A$5:$AE$7,18,0)</f>
        <v>2.1067654643068798</v>
      </c>
      <c r="S7" s="860">
        <f ca="1">VLOOKUP($B7,'汇总明细-1月'!$A$5:$AE$7,19,0)</f>
        <v>5.1050379412569298E-2</v>
      </c>
      <c r="T7" s="858">
        <f ca="1">VLOOKUP($B7,'汇总明细-1月'!$A$5:$AE$7,20,0)</f>
        <v>0.224880615924374</v>
      </c>
      <c r="U7" s="862">
        <f ca="1">VLOOKUP($B7,'汇总明细-1月'!$A$5:$AE$7,21,0)</f>
        <v>221.87889924160299</v>
      </c>
      <c r="V7" s="862">
        <f ca="1">VLOOKUP($B7,'汇总明细-1月'!$A$5:$AE$7,22,0)</f>
        <v>49.896263522073902</v>
      </c>
      <c r="W7" s="863">
        <f ca="1">VLOOKUP($B7,'汇总明细-1月'!$A$5:$AE$7,23,0)</f>
        <v>4.7829934735342503</v>
      </c>
      <c r="X7" s="858">
        <f ca="1">VLOOKUP($B7,'汇总明细-1月'!$A$5:$AE$7,24,0)</f>
        <v>0.60995124635776399</v>
      </c>
      <c r="Y7" s="860">
        <f ca="1">VLOOKUP($B7,'汇总明细-1月'!$A$5:$AE$7,25,0)</f>
        <v>0.59600743105589704</v>
      </c>
      <c r="Z7" s="864">
        <f ca="1">VLOOKUP($B7,'汇总明细-1月'!$A$5:$AE$7,26,0)</f>
        <v>3.2034786446502199</v>
      </c>
      <c r="AA7" s="860">
        <f ca="1">VLOOKUP($B7,'汇总明细-1月'!$A$5:$AE$7,27,0)</f>
        <v>0.260946142147227</v>
      </c>
      <c r="AB7" s="858">
        <f ca="1">VLOOKUP($B7,'汇总明细-1月'!$A$5:$AE$7,28,0)</f>
        <v>0.117016995794263</v>
      </c>
      <c r="AC7" s="863">
        <f ca="1">VLOOKUP($B7,'汇总明细-1月'!$A$5:$AE$7,29,0)</f>
        <v>4.5567032442403796</v>
      </c>
      <c r="AD7" s="858">
        <f ca="1">VLOOKUP($B7,'汇总明细-1月'!$A$5:$AE$7,30,0)</f>
        <v>4.0234237287679303E-2</v>
      </c>
      <c r="AE7" s="858">
        <f ca="1">VLOOKUP($B7,'汇总明细-1月'!$A$5:$AE$7,31,0)</f>
        <v>0.39204858363043399</v>
      </c>
    </row>
    <row r="11" spans="1:31" ht="16.399999999999999" customHeight="1">
      <c r="E11" s="836"/>
      <c r="G11" s="836"/>
      <c r="J11" s="836"/>
      <c r="L11" s="836"/>
      <c r="O11" s="836"/>
      <c r="Q11" s="836"/>
    </row>
    <row r="12" spans="1:31" ht="16.399999999999999" customHeight="1">
      <c r="E12" s="836"/>
      <c r="G12" s="836"/>
      <c r="J12" s="836"/>
      <c r="L12" s="836"/>
      <c r="O12" s="836"/>
      <c r="Q12" s="836"/>
      <c r="R12" s="836"/>
      <c r="S12" s="836"/>
      <c r="T12" s="836"/>
      <c r="W12" s="836"/>
      <c r="X12" s="836"/>
      <c r="Y12" s="836"/>
      <c r="Z12" s="836"/>
      <c r="AA12" s="836"/>
      <c r="AB12" s="836"/>
      <c r="AC12" s="836"/>
      <c r="AD12" s="836"/>
      <c r="AE12" s="836"/>
    </row>
    <row r="13" spans="1:31" ht="16.399999999999999" customHeight="1">
      <c r="E13" s="836"/>
      <c r="G13" s="836"/>
      <c r="J13" s="836"/>
      <c r="L13" s="836"/>
      <c r="O13" s="836"/>
      <c r="Q13" s="836"/>
      <c r="R13" s="836"/>
      <c r="S13" s="836"/>
      <c r="T13" s="836"/>
      <c r="W13" s="836"/>
      <c r="X13" s="836"/>
      <c r="Y13" s="836"/>
      <c r="Z13" s="836"/>
      <c r="AA13" s="836"/>
      <c r="AB13" s="836"/>
      <c r="AC13" s="836"/>
      <c r="AD13" s="836"/>
      <c r="AE13" s="836"/>
    </row>
  </sheetData>
  <mergeCells count="9">
    <mergeCell ref="Y1:AA1"/>
    <mergeCell ref="AB1:AE1"/>
    <mergeCell ref="A1:A4"/>
    <mergeCell ref="B1:B2"/>
    <mergeCell ref="C1:G1"/>
    <mergeCell ref="H1:L1"/>
    <mergeCell ref="M1:Q1"/>
    <mergeCell ref="R1:S1"/>
    <mergeCell ref="T1:X1"/>
  </mergeCells>
  <phoneticPr fontId="54" type="noConversion"/>
  <hyperlinks>
    <hyperlink ref="B5" location="于洪!A1" display="于洪酒店" xr:uid="{00000000-0004-0000-0000-000000000000}"/>
    <hyperlink ref="B6" location="滁州!A1" display="滁州酒店" xr:uid="{00000000-0004-0000-0000-000001000000}"/>
    <hyperlink ref="B7" location="武汉!A1" display="武汉酒店" xr:uid="{00000000-0004-0000-0000-000002000000}"/>
  </hyperlink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3"/>
  <sheetViews>
    <sheetView topLeftCell="B1" zoomScale="90" zoomScaleNormal="90" workbookViewId="0">
      <pane xSplit="1" ySplit="4" topLeftCell="C5" activePane="bottomRight" state="frozen"/>
      <selection activeCell="H21" sqref="H21"/>
      <selection pane="topRight" activeCell="H21" sqref="H21"/>
      <selection pane="bottomLeft" activeCell="H21" sqref="H21"/>
      <selection pane="bottomRight" activeCell="E15" sqref="E15"/>
    </sheetView>
  </sheetViews>
  <sheetFormatPr defaultColWidth="9.140625" defaultRowHeight="16.399999999999999" customHeight="1"/>
  <cols>
    <col min="1" max="1" width="27.35546875" style="780" hidden="1" customWidth="1"/>
    <col min="2" max="2" width="13.640625" style="780" customWidth="1"/>
    <col min="3" max="3" width="9.7109375" style="836" customWidth="1"/>
    <col min="4" max="4" width="10.2109375" style="836" customWidth="1"/>
    <col min="5" max="5" width="7.85546875" style="837" customWidth="1"/>
    <col min="6" max="6" width="9.640625" style="836" customWidth="1"/>
    <col min="7" max="7" width="7.2109375" style="837" customWidth="1"/>
    <col min="8" max="8" width="9.5" style="837" customWidth="1"/>
    <col min="9" max="9" width="8.640625" style="836" customWidth="1"/>
    <col min="10" max="10" width="8.85546875" style="836" customWidth="1"/>
    <col min="11" max="11" width="6.85546875" style="837" customWidth="1"/>
    <col min="12" max="12" width="9" style="836" customWidth="1"/>
    <col min="13" max="13" width="6.85546875" style="837" customWidth="1"/>
    <col min="14" max="14" width="9.5" style="837" customWidth="1"/>
    <col min="15" max="16" width="8.7109375" style="836" customWidth="1"/>
    <col min="17" max="17" width="8.35546875" style="837" customWidth="1"/>
    <col min="18" max="18" width="8" style="836" customWidth="1"/>
    <col min="19" max="19" width="8.640625" style="837" customWidth="1"/>
    <col min="20" max="20" width="9.85546875" style="837" customWidth="1"/>
    <col min="21" max="21" width="7.35546875" style="838" customWidth="1"/>
    <col min="22" max="23" width="10.640625" style="837" customWidth="1"/>
    <col min="24" max="24" width="9.35546875" style="836" customWidth="1"/>
    <col min="25" max="25" width="7" style="836" customWidth="1"/>
    <col min="26" max="26" width="10.640625" style="838" customWidth="1"/>
    <col min="27" max="27" width="10.85546875" style="837" customWidth="1"/>
    <col min="28" max="28" width="8.640625" style="837" customWidth="1"/>
    <col min="29" max="29" width="10.640625" style="838" customWidth="1"/>
    <col min="30" max="30" width="10.35546875" style="837" customWidth="1"/>
    <col min="31" max="31" width="13.35546875" style="837" customWidth="1"/>
    <col min="32" max="32" width="11.640625" style="838" customWidth="1"/>
    <col min="33" max="33" width="10.140625" style="837" customWidth="1"/>
    <col min="34" max="34" width="14" style="837" customWidth="1"/>
    <col min="35" max="16384" width="9.140625" style="780"/>
  </cols>
  <sheetData>
    <row r="1" spans="1:34" ht="16.399999999999999" customHeight="1">
      <c r="A1" s="897" t="s">
        <v>0</v>
      </c>
      <c r="B1" s="882" t="s">
        <v>1</v>
      </c>
      <c r="C1" s="894" t="s">
        <v>2</v>
      </c>
      <c r="D1" s="906"/>
      <c r="E1" s="906"/>
      <c r="F1" s="906"/>
      <c r="G1" s="906"/>
      <c r="H1" s="907"/>
      <c r="I1" s="901" t="s">
        <v>3</v>
      </c>
      <c r="J1" s="908"/>
      <c r="K1" s="908"/>
      <c r="L1" s="908"/>
      <c r="M1" s="908"/>
      <c r="N1" s="902"/>
      <c r="O1" s="894" t="s">
        <v>4</v>
      </c>
      <c r="P1" s="906"/>
      <c r="Q1" s="906"/>
      <c r="R1" s="906"/>
      <c r="S1" s="906"/>
      <c r="T1" s="907"/>
      <c r="U1" s="901" t="s">
        <v>5</v>
      </c>
      <c r="V1" s="902"/>
      <c r="W1" s="903" t="s">
        <v>6</v>
      </c>
      <c r="X1" s="904"/>
      <c r="Y1" s="904"/>
      <c r="Z1" s="904"/>
      <c r="AA1" s="905"/>
      <c r="AB1" s="891" t="s">
        <v>7</v>
      </c>
      <c r="AC1" s="892"/>
      <c r="AD1" s="893"/>
      <c r="AE1" s="894" t="s">
        <v>8</v>
      </c>
      <c r="AF1" s="895"/>
      <c r="AG1" s="895"/>
      <c r="AH1" s="896"/>
    </row>
    <row r="2" spans="1:34" ht="16.399999999999999" customHeight="1">
      <c r="A2" s="898"/>
      <c r="B2" s="900"/>
      <c r="C2" s="839" t="s">
        <v>9</v>
      </c>
      <c r="D2" s="839" t="s">
        <v>10</v>
      </c>
      <c r="E2" s="840" t="s">
        <v>11</v>
      </c>
      <c r="F2" s="839" t="s">
        <v>12</v>
      </c>
      <c r="G2" s="840" t="s">
        <v>13</v>
      </c>
      <c r="H2" s="841" t="s">
        <v>66</v>
      </c>
      <c r="I2" s="842" t="s">
        <v>9</v>
      </c>
      <c r="J2" s="842" t="s">
        <v>10</v>
      </c>
      <c r="K2" s="843" t="s">
        <v>11</v>
      </c>
      <c r="L2" s="842" t="s">
        <v>12</v>
      </c>
      <c r="M2" s="843" t="s">
        <v>13</v>
      </c>
      <c r="N2" s="841" t="s">
        <v>66</v>
      </c>
      <c r="O2" s="839" t="s">
        <v>9</v>
      </c>
      <c r="P2" s="839" t="s">
        <v>10</v>
      </c>
      <c r="Q2" s="840" t="s">
        <v>11</v>
      </c>
      <c r="R2" s="839" t="s">
        <v>12</v>
      </c>
      <c r="S2" s="840" t="s">
        <v>13</v>
      </c>
      <c r="T2" s="841" t="s">
        <v>66</v>
      </c>
      <c r="U2" s="844" t="s">
        <v>14</v>
      </c>
      <c r="V2" s="845" t="s">
        <v>15</v>
      </c>
      <c r="W2" s="846" t="s">
        <v>16</v>
      </c>
      <c r="X2" s="839" t="s">
        <v>17</v>
      </c>
      <c r="Y2" s="839" t="s">
        <v>18</v>
      </c>
      <c r="Z2" s="847" t="s">
        <v>14</v>
      </c>
      <c r="AA2" s="846" t="s">
        <v>19</v>
      </c>
      <c r="AB2" s="845" t="s">
        <v>20</v>
      </c>
      <c r="AC2" s="844" t="s">
        <v>14</v>
      </c>
      <c r="AD2" s="845" t="s">
        <v>21</v>
      </c>
      <c r="AE2" s="846" t="s">
        <v>22</v>
      </c>
      <c r="AF2" s="847" t="s">
        <v>14</v>
      </c>
      <c r="AG2" s="846" t="s">
        <v>23</v>
      </c>
      <c r="AH2" s="846" t="s">
        <v>24</v>
      </c>
    </row>
    <row r="3" spans="1:34" ht="16.399999999999999" customHeight="1">
      <c r="A3" s="898"/>
      <c r="B3" s="870" t="s">
        <v>479</v>
      </c>
      <c r="C3" s="849">
        <f ca="1">SUM(C5:C7)</f>
        <v>409.74156100000005</v>
      </c>
      <c r="D3" s="850">
        <f ca="1">SUM(D5:D7)</f>
        <v>448.34058700000003</v>
      </c>
      <c r="E3" s="851">
        <f ca="1">C3/D3</f>
        <v>0.91390691113138067</v>
      </c>
      <c r="F3" s="850">
        <f ca="1">SUM(F5:F7)</f>
        <v>500.19512900000001</v>
      </c>
      <c r="G3" s="851">
        <f ca="1">C3/F3-1</f>
        <v>-0.18083656308456364</v>
      </c>
      <c r="H3" s="852">
        <f ca="1">'汇总明细-累计'!I3</f>
        <v>6.2357271604716477E-2</v>
      </c>
      <c r="I3" s="850">
        <f ca="1">SUM(I5:I7)</f>
        <v>-64.698090999999991</v>
      </c>
      <c r="J3" s="850">
        <f ca="1">SUM(J5:J7)</f>
        <v>-46.84309300000001</v>
      </c>
      <c r="K3" s="851">
        <f ca="1">I3/J3</f>
        <v>1.3811660771418313</v>
      </c>
      <c r="L3" s="850">
        <f ca="1">SUM(L5:L7)</f>
        <v>-71.212732999999986</v>
      </c>
      <c r="M3" s="851">
        <f ca="1">IF(L3&gt;0,I3/L3-1,IF(L3&lt;0,1-I3/L3,""))</f>
        <v>9.1481420885784481E-2</v>
      </c>
      <c r="N3" s="852">
        <f ca="1">'汇总明细-累计'!P3</f>
        <v>-0.10734262507893565</v>
      </c>
      <c r="O3" s="850">
        <f ca="1">SUM(O5:O7)</f>
        <v>-102.339544</v>
      </c>
      <c r="P3" s="850">
        <f ca="1">SUM(P5:P7)</f>
        <v>-85.370055000000008</v>
      </c>
      <c r="Q3" s="851">
        <f ca="1">IF(P3&lt;0,2-O3/P3,O3/P3)</f>
        <v>0.80122434031464551</v>
      </c>
      <c r="R3" s="850">
        <f ca="1">SUM(R5:R7)</f>
        <v>-116.628547</v>
      </c>
      <c r="S3" s="851">
        <f ca="1">IF(R3&gt;0,O3/R3-1,IF(R3&lt;0,1-O3/R3,""))</f>
        <v>0.12251719984130471</v>
      </c>
      <c r="T3" s="852">
        <f ca="1">'汇总明细-累计'!W3</f>
        <v>-0.76813957799316157</v>
      </c>
      <c r="U3" s="853">
        <f ca="1">'汇总明细-累计'!X3</f>
        <v>2.1563776834758666</v>
      </c>
      <c r="V3" s="852">
        <f ca="1">'汇总明细-累计'!Y3</f>
        <v>-0.15789975232705278</v>
      </c>
      <c r="W3" s="852">
        <f ca="1">'汇总明细-累计'!Z3</f>
        <v>0.21552662967380595</v>
      </c>
      <c r="X3" s="854"/>
      <c r="Y3" s="854"/>
      <c r="Z3" s="853">
        <f ca="1">'汇总明细-累计'!AC3</f>
        <v>3.6946796631592345</v>
      </c>
      <c r="AA3" s="852">
        <f ca="1">'汇总明细-累计'!AD3</f>
        <v>0.54364998132708486</v>
      </c>
      <c r="AB3" s="852">
        <f ca="1">'汇总明细-累计'!AE3</f>
        <v>0.55209861393617865</v>
      </c>
      <c r="AC3" s="853">
        <f ca="1">'汇总明细-累计'!AF3</f>
        <v>3.9033234121976275</v>
      </c>
      <c r="AD3" s="852">
        <f ca="1">'汇总明细-累计'!AG3</f>
        <v>0.26807803203142405</v>
      </c>
      <c r="AE3" s="852">
        <f ca="1">'汇总明细-累计'!AH3</f>
        <v>0.29535062224259007</v>
      </c>
      <c r="AF3" s="853">
        <f ca="1">'汇总明细-累计'!AI3</f>
        <v>4.7004373498582295</v>
      </c>
      <c r="AG3" s="852">
        <f ca="1">'汇总明细-累计'!AJ3</f>
        <v>2.7139482684794117E-2</v>
      </c>
      <c r="AH3" s="852">
        <f ca="1">'汇总明细-累计'!AK3</f>
        <v>0.56572204790326308</v>
      </c>
    </row>
    <row r="4" spans="1:34" ht="16.399999999999999" hidden="1" customHeight="1">
      <c r="A4" s="899"/>
      <c r="B4" s="848" t="s">
        <v>26</v>
      </c>
      <c r="C4" s="850">
        <f ca="1">SUM(C5:C7)</f>
        <v>409.74156100000005</v>
      </c>
      <c r="D4" s="850">
        <f ca="1">SUM(D5:D7)</f>
        <v>448.34058700000003</v>
      </c>
      <c r="E4" s="851">
        <f t="shared" ref="E4" ca="1" si="0">C4/D4</f>
        <v>0.91390691113138067</v>
      </c>
      <c r="F4" s="850">
        <f ca="1">SUM(F5:F7)</f>
        <v>500.19512900000001</v>
      </c>
      <c r="G4" s="851">
        <f ca="1">C4/F4-1</f>
        <v>-0.18083656308456364</v>
      </c>
      <c r="H4" s="852">
        <f ca="1">'汇总明细-累计'!I4</f>
        <v>6.2357271604716477E-2</v>
      </c>
      <c r="I4" s="850">
        <f ca="1">SUM(I5:I7)</f>
        <v>-64.698090999999991</v>
      </c>
      <c r="J4" s="850">
        <f ca="1">SUM(J5:J7)</f>
        <v>-46.84309300000001</v>
      </c>
      <c r="K4" s="851">
        <f ca="1">I4/J4</f>
        <v>1.3811660771418313</v>
      </c>
      <c r="L4" s="850">
        <f ca="1">SUM(L5:L7)</f>
        <v>-71.212732999999986</v>
      </c>
      <c r="M4" s="851">
        <f ca="1">IF(L4&gt;0,I4/L4-1,IF(L4&lt;0,1-I4/L4,""))</f>
        <v>9.1481420885784481E-2</v>
      </c>
      <c r="N4" s="852">
        <f ca="1">'汇总明细-累计'!P4</f>
        <v>-0.10734262507893565</v>
      </c>
      <c r="O4" s="850">
        <f ca="1">SUM(O5:O7)</f>
        <v>-102.339544</v>
      </c>
      <c r="P4" s="850">
        <f ca="1">SUM(P5:P7)</f>
        <v>-85.370055000000008</v>
      </c>
      <c r="Q4" s="851">
        <f ca="1">IF(P4&lt;0,2-O4/P4,O4/P4)</f>
        <v>0.80122434031464551</v>
      </c>
      <c r="R4" s="850">
        <f ca="1">SUM(R5:R7)</f>
        <v>-116.628547</v>
      </c>
      <c r="S4" s="851">
        <f ca="1">IF(R4&gt;0,O4/R4-1,IF(R4&lt;0,1-O4/R4,""))</f>
        <v>0.12251719984130471</v>
      </c>
      <c r="T4" s="852">
        <f ca="1">'汇总明细-累计'!W4</f>
        <v>-0.76813957799316157</v>
      </c>
      <c r="U4" s="853">
        <f ca="1">'汇总明细-累计'!X4</f>
        <v>2.1563776834758666</v>
      </c>
      <c r="V4" s="852">
        <f ca="1">'汇总明细-累计'!Y4</f>
        <v>-0.15789975232705278</v>
      </c>
      <c r="W4" s="852">
        <f ca="1">'汇总明细-累计'!Z4</f>
        <v>0.21552662967380595</v>
      </c>
      <c r="X4" s="854"/>
      <c r="Y4" s="854"/>
      <c r="Z4" s="853">
        <f ca="1">'汇总明细-累计'!AC4</f>
        <v>3.6946796631592345</v>
      </c>
      <c r="AA4" s="852">
        <f ca="1">'汇总明细-累计'!AD4</f>
        <v>0.54364998132708486</v>
      </c>
      <c r="AB4" s="852">
        <f ca="1">'汇总明细-累计'!AE4</f>
        <v>0.55209861393617865</v>
      </c>
      <c r="AC4" s="853">
        <f ca="1">'汇总明细-累计'!AF4</f>
        <v>3.9033234121976275</v>
      </c>
      <c r="AD4" s="852">
        <f ca="1">'汇总明细-累计'!AG4</f>
        <v>0.26807803203142405</v>
      </c>
      <c r="AE4" s="852">
        <f ca="1">'汇总明细-累计'!AH4</f>
        <v>0.29535062224259007</v>
      </c>
      <c r="AF4" s="853">
        <f ca="1">'汇总明细-累计'!AI4</f>
        <v>4.7004373498582295</v>
      </c>
      <c r="AG4" s="852">
        <f ca="1">'汇总明细-累计'!AJ4</f>
        <v>2.7139482684794117E-2</v>
      </c>
      <c r="AH4" s="852">
        <f ca="1">'汇总明细-累计'!AK4</f>
        <v>0.56572204790326308</v>
      </c>
    </row>
    <row r="5" spans="1:34" ht="16.399999999999999" customHeight="1">
      <c r="A5" s="855" t="s">
        <v>27</v>
      </c>
      <c r="B5" s="856" t="s">
        <v>28</v>
      </c>
      <c r="C5" s="857">
        <f ca="1">VLOOKUP($B5,'汇总明细-累计'!$A$5:$AK$23,3,0)/10000</f>
        <v>283.18159100000003</v>
      </c>
      <c r="D5" s="857">
        <f ca="1">VLOOKUP($B5,'汇总明细-累计'!$A$5:$AK$23,4,0)/10000</f>
        <v>269.12814300000002</v>
      </c>
      <c r="E5" s="858">
        <f ca="1">VLOOKUP($B5,'汇总明细-累计'!$A$5:$AK$23,5,0)</f>
        <v>1.0522184259265699</v>
      </c>
      <c r="F5" s="857">
        <f ca="1">VLOOKUP($B5,'汇总明细-累计'!$A$5:$AK$23,6,0)/10000</f>
        <v>294.17345</v>
      </c>
      <c r="G5" s="858">
        <f ca="1">VLOOKUP($B5,'汇总明细-累计'!$A$5:$AK$23,7,0)</f>
        <v>-3.7365231294666297E-2</v>
      </c>
      <c r="H5" s="858">
        <f ca="1">VLOOKUP($B5,'汇总明细-累计'!$A$5:$AK$23,9,0)</f>
        <v>7.7214013093920661E-2</v>
      </c>
      <c r="I5" s="859">
        <f ca="1">VLOOKUP($B5,'汇总明细-累计'!$A$5:$AK$23,10,0)/10000</f>
        <v>-34.304774000000002</v>
      </c>
      <c r="J5" s="859">
        <f ca="1">VLOOKUP($B5,'汇总明细-累计'!$A$5:$AK$23,11,0)/10000</f>
        <v>-25.191020000000002</v>
      </c>
      <c r="K5" s="860">
        <f ca="1">VLOOKUP($B5,'汇总明细-累计'!$A$5:$AK$23,12,0)</f>
        <v>0.63821417314582496</v>
      </c>
      <c r="L5" s="859">
        <f ca="1">VLOOKUP($B5,'汇总明细-累计'!$A$5:$AK$23,13,0)/10000</f>
        <v>-55.666637999999999</v>
      </c>
      <c r="M5" s="860">
        <f ca="1">VLOOKUP($B5,'汇总明细-累计'!$A$5:$AK$23,14,0)</f>
        <v>0.38374625749807301</v>
      </c>
      <c r="N5" s="860">
        <f ca="1">VLOOKUP($B5,'汇总明细-累计'!$A$5:$AK$23,16,0)</f>
        <v>-0.1039538609210723</v>
      </c>
      <c r="O5" s="857">
        <f ca="1">VLOOKUP($B5,'汇总明细-累计'!$A$5:$AK$23,17,0)/10000</f>
        <v>-58.735146999999998</v>
      </c>
      <c r="P5" s="857">
        <f ca="1">VLOOKUP($B5,'汇总明细-累计'!$A$5:$AK$23,18,0)/10000</f>
        <v>-51.220325000000003</v>
      </c>
      <c r="Q5" s="858">
        <f ca="1">VLOOKUP($B5,'汇总明细-累计'!$A$5:$AK$23,19,0)</f>
        <v>0.85328437490390796</v>
      </c>
      <c r="R5" s="857">
        <f ca="1">VLOOKUP($B5,'汇总明细-累计'!$A$5:$AK$23,20,0)/10000</f>
        <v>-84.799468000000005</v>
      </c>
      <c r="S5" s="858">
        <f ca="1">VLOOKUP($B5,'汇总明细-累计'!$A$5:$AK$23,21,0)</f>
        <v>0.30736420421882799</v>
      </c>
      <c r="T5" s="858">
        <f ca="1">VLOOKUP($B5,'汇总明细-累计'!$A$5:$AK$23,23,0)</f>
        <v>-2.3941699631004463</v>
      </c>
      <c r="U5" s="861">
        <f ca="1">VLOOKUP($B5,'汇总明细-累计'!$A$5:$AK$23,24,0)</f>
        <v>2.5475391726702998</v>
      </c>
      <c r="V5" s="860">
        <f ca="1">VLOOKUP($B5,'汇总明细-累计'!$A$5:$AK$23,25,0)</f>
        <v>-0.121140551117251</v>
      </c>
      <c r="W5" s="858">
        <f ca="1">VLOOKUP($B5,'汇总明细-累计'!$A$5:$AK$23,26,0)</f>
        <v>0.31282051282051299</v>
      </c>
      <c r="X5" s="862">
        <f ca="1">VLOOKUP($B5,'汇总明细-累计'!$A$5:$AK$23,27,0)</f>
        <v>199.24168341265599</v>
      </c>
      <c r="Y5" s="862">
        <f ca="1">VLOOKUP($B5,'汇总明细-累计'!$A$5:$AK$23,28,0)</f>
        <v>62.326885580369499</v>
      </c>
      <c r="Z5" s="863">
        <f ca="1">VLOOKUP($B5,'汇总明细-累计'!$A$5:$AK$23,29,0)</f>
        <v>3.9706352792525901</v>
      </c>
      <c r="AA5" s="858">
        <f ca="1">VLOOKUP($B5,'汇总明细-累计'!$A$5:$AK$23,30,0)</f>
        <v>0.56916344729471902</v>
      </c>
      <c r="AB5" s="860">
        <f ca="1">VLOOKUP($B5,'汇总明细-累计'!$A$5:$AK$23,31,0)</f>
        <v>0.53898494290128796</v>
      </c>
      <c r="AC5" s="864">
        <f ca="1">VLOOKUP($B5,'汇总明细-累计'!$A$5:$AK$23,32,0)</f>
        <v>5.0071107421836096</v>
      </c>
      <c r="AD5" s="860">
        <f ca="1">VLOOKUP($B5,'汇总明细-累计'!$A$5:$AK$23,33,0)</f>
        <v>0.31116500040032002</v>
      </c>
      <c r="AE5" s="858">
        <f ca="1">VLOOKUP($B5,'汇总明细-累计'!$A$5:$AK$23,34,0)</f>
        <v>0.33181394549054599</v>
      </c>
      <c r="AF5" s="863">
        <f ca="1">VLOOKUP($B5,'汇总明细-累计'!$A$5:$AK$23,35,0)</f>
        <v>5.5028083927558402</v>
      </c>
      <c r="AG5" s="858">
        <f ca="1">VLOOKUP($B5,'汇总明细-累计'!$A$5:$AK$23,36,0)</f>
        <v>2.3047179645233399E-2</v>
      </c>
      <c r="AH5" s="858">
        <f ca="1">VLOOKUP($B5,'汇总明细-累计'!$A$5:$AK$23,37,0)</f>
        <v>0.55986208157153805</v>
      </c>
    </row>
    <row r="6" spans="1:34" ht="16.399999999999999" customHeight="1">
      <c r="A6" s="855" t="s">
        <v>29</v>
      </c>
      <c r="B6" s="856" t="s">
        <v>30</v>
      </c>
      <c r="C6" s="857">
        <f ca="1">VLOOKUP($B6,'汇总明细-累计'!$A$5:$AK$23,3,0)/10000</f>
        <v>12.903086999999999</v>
      </c>
      <c r="D6" s="857">
        <f ca="1">VLOOKUP($B6,'汇总明细-累计'!$A$5:$AK$23,4,0)/10000</f>
        <v>63.129570999999999</v>
      </c>
      <c r="E6" s="858">
        <f ca="1">VLOOKUP($B6,'汇总明细-累计'!$A$5:$AK$23,5,0)</f>
        <v>0.20439053831048501</v>
      </c>
      <c r="F6" s="857">
        <f ca="1">VLOOKUP($B6,'汇总明细-累计'!$A$5:$AK$23,6,0)/10000</f>
        <v>80.842753999999999</v>
      </c>
      <c r="G6" s="858">
        <f ca="1">VLOOKUP($B6,'汇总明细-累计'!$A$5:$AK$23,7,0)</f>
        <v>-0.84039278275947904</v>
      </c>
      <c r="H6" s="858">
        <f ca="1">VLOOKUP($B6,'汇总明细-累计'!$A$5:$AK$23,9,0)</f>
        <v>1.1502978576950965E-2</v>
      </c>
      <c r="I6" s="859">
        <f ca="1">VLOOKUP($B6,'汇总明细-累计'!$A$5:$AK$23,10,0)/10000</f>
        <v>-36.195543999999998</v>
      </c>
      <c r="J6" s="859">
        <f ca="1">VLOOKUP($B6,'汇总明细-累计'!$A$5:$AK$23,11,0)/10000</f>
        <v>-12.672791999999999</v>
      </c>
      <c r="K6" s="860">
        <f ca="1">VLOOKUP($B6,'汇总明细-累计'!$A$5:$AK$23,12,0)</f>
        <v>-0.85616176766730001</v>
      </c>
      <c r="L6" s="859">
        <f ca="1">VLOOKUP($B6,'汇总明细-累计'!$A$5:$AK$23,13,0)/10000</f>
        <v>2.3988070000000103</v>
      </c>
      <c r="M6" s="860">
        <f ca="1">VLOOKUP($B6,'汇总明细-累计'!$A$5:$AK$23,14,0)</f>
        <v>-16.088977145722801</v>
      </c>
      <c r="N6" s="860">
        <f ca="1">VLOOKUP($B6,'汇总明细-累计'!$A$5:$AK$23,16,0)</f>
        <v>-0.47625696363202863</v>
      </c>
      <c r="O6" s="857">
        <f ca="1">VLOOKUP($B6,'汇总明细-累计'!$A$5:$AK$23,17,0)/10000</f>
        <v>-40.646245</v>
      </c>
      <c r="P6" s="857">
        <f ca="1">VLOOKUP($B6,'汇总明细-累计'!$A$5:$AK$23,18,0)/10000</f>
        <v>-17.685606</v>
      </c>
      <c r="Q6" s="858">
        <f ca="1">VLOOKUP($B6,'汇总明细-累计'!$A$5:$AK$23,19,0)</f>
        <v>-0.29826702008401601</v>
      </c>
      <c r="R6" s="857">
        <f ca="1">VLOOKUP($B6,'汇总明细-累计'!$A$5:$AK$23,20,0)/10000</f>
        <v>-4.9250409999999905</v>
      </c>
      <c r="S6" s="858">
        <f ca="1">VLOOKUP($B6,'汇总明细-累计'!$A$5:$AK$23,21,0)</f>
        <v>-7.2529759650732002</v>
      </c>
      <c r="T6" s="858">
        <f ca="1">VLOOKUP($B6,'汇总明细-累计'!$A$5:$AK$23,23,0)</f>
        <v>-3.9143875651772033</v>
      </c>
      <c r="U6" s="861">
        <f ca="1">VLOOKUP($B6,'汇总明细-累计'!$A$5:$AK$23,24,0)</f>
        <v>0.51806265066897195</v>
      </c>
      <c r="V6" s="860">
        <f ca="1">VLOOKUP($B6,'汇总明细-累计'!$A$5:$AK$23,25,0)</f>
        <v>-2.8051848367758798</v>
      </c>
      <c r="W6" s="858">
        <f ca="1">VLOOKUP($B6,'汇总明细-累计'!$A$5:$AK$23,26,0)</f>
        <v>3.2112757919209499E-2</v>
      </c>
      <c r="X6" s="862">
        <f ca="1">VLOOKUP($B6,'汇总明细-累计'!$A$5:$AK$23,27,0)</f>
        <v>165.84337858220201</v>
      </c>
      <c r="Y6" s="862">
        <f ca="1">VLOOKUP($B6,'汇总明细-累计'!$A$5:$AK$23,28,0)</f>
        <v>5.3256882689140799</v>
      </c>
      <c r="Z6" s="863">
        <f ca="1">VLOOKUP($B6,'汇总明细-累计'!$A$5:$AK$23,29,0)</f>
        <v>0.81298808872838801</v>
      </c>
      <c r="AA6" s="858">
        <f ca="1">VLOOKUP($B6,'汇总明细-累计'!$A$5:$AK$23,30,0)</f>
        <v>-0.59771863062783703</v>
      </c>
      <c r="AB6" s="860">
        <f ca="1">VLOOKUP($B6,'汇总明细-累计'!$A$5:$AK$23,31,0)</f>
        <v>0.47804757233193801</v>
      </c>
      <c r="AC6" s="864">
        <f ca="1">VLOOKUP($B6,'汇总明细-累计'!$A$5:$AK$23,32,0)</f>
        <v>0.98638897028471095</v>
      </c>
      <c r="AD6" s="860">
        <f ca="1">VLOOKUP($B6,'汇总明细-累计'!$A$5:$AK$23,33,0)</f>
        <v>-0.59752879962580197</v>
      </c>
      <c r="AE6" s="858">
        <f ca="1">VLOOKUP($B6,'汇总明细-累计'!$A$5:$AK$23,34,0)</f>
        <v>1.06594933444997</v>
      </c>
      <c r="AF6" s="863">
        <f ca="1">VLOOKUP($B6,'汇总明细-累计'!$A$5:$AK$23,35,0)</f>
        <v>1.1984063893771899</v>
      </c>
      <c r="AG6" s="858">
        <f ca="1">VLOOKUP($B6,'汇总明细-累计'!$A$5:$AK$23,36,0)</f>
        <v>1.6072897904199201E-3</v>
      </c>
      <c r="AH6" s="858">
        <f ca="1">VLOOKUP($B6,'汇总明细-累计'!$A$5:$AK$23,37,0)</f>
        <v>2.2241328761094099</v>
      </c>
    </row>
    <row r="7" spans="1:34" ht="16.399999999999999" customHeight="1">
      <c r="A7" s="855" t="s">
        <v>31</v>
      </c>
      <c r="B7" s="856" t="s">
        <v>32</v>
      </c>
      <c r="C7" s="857">
        <f ca="1">VLOOKUP($B7,'汇总明细-累计'!$A$5:$AK$23,3,0)/10000</f>
        <v>113.65688300000001</v>
      </c>
      <c r="D7" s="857">
        <f ca="1">VLOOKUP($B7,'汇总明细-累计'!$A$5:$AK$23,4,0)/10000</f>
        <v>116.08287299999999</v>
      </c>
      <c r="E7" s="858">
        <f ca="1">VLOOKUP($B7,'汇总明细-累计'!$A$5:$AK$23,5,0)</f>
        <v>0.97910122365768804</v>
      </c>
      <c r="F7" s="857">
        <f ca="1">VLOOKUP($B7,'汇总明细-累计'!$A$5:$AK$23,6,0)/10000</f>
        <v>125.17892500000001</v>
      </c>
      <c r="G7" s="858">
        <f ca="1">VLOOKUP($B7,'汇总明细-累计'!$A$5:$AK$23,7,0)</f>
        <v>-9.2044583383344994E-2</v>
      </c>
      <c r="H7" s="858">
        <f ca="1">VLOOKUP($B7,'汇总明细-累计'!$A$5:$AK$23,9,0)</f>
        <v>6.3792548795314985E-2</v>
      </c>
      <c r="I7" s="859">
        <f ca="1">VLOOKUP($B7,'汇总明细-累计'!$A$5:$AK$23,10,0)/10000</f>
        <v>5.8022269999999994</v>
      </c>
      <c r="J7" s="859">
        <f ca="1">VLOOKUP($B7,'汇总明细-累计'!$A$5:$AK$23,11,0)/10000</f>
        <v>-8.9792810000000092</v>
      </c>
      <c r="K7" s="860">
        <f ca="1">VLOOKUP($B7,'汇总明细-累计'!$A$5:$AK$23,12,0)</f>
        <v>2.6461794658169202</v>
      </c>
      <c r="L7" s="859">
        <f ca="1">VLOOKUP($B7,'汇总明细-累计'!$A$5:$AK$23,13,0)/10000</f>
        <v>-17.944901999999999</v>
      </c>
      <c r="M7" s="860">
        <f ca="1">VLOOKUP($B7,'汇总明细-累计'!$A$5:$AK$23,14,0)</f>
        <v>1.3233356749454499</v>
      </c>
      <c r="N7" s="860">
        <f ca="1">VLOOKUP($B7,'汇总明细-累计'!$A$5:$AK$23,16,0)</f>
        <v>2.9494095205105514E-2</v>
      </c>
      <c r="O7" s="857">
        <f ca="1">VLOOKUP($B7,'汇总明细-累计'!$A$5:$AK$23,17,0)/10000</f>
        <v>-2.9581520000000001</v>
      </c>
      <c r="P7" s="857">
        <f ca="1">VLOOKUP($B7,'汇总明细-累计'!$A$5:$AK$23,18,0)/10000</f>
        <v>-16.464123999999998</v>
      </c>
      <c r="Q7" s="858">
        <f ca="1">VLOOKUP($B7,'汇总明细-累计'!$A$5:$AK$23,19,0)</f>
        <v>1.8203273979229</v>
      </c>
      <c r="R7" s="857">
        <f ca="1">VLOOKUP($B7,'汇总明细-累计'!$A$5:$AK$23,20,0)/10000</f>
        <v>-26.904038</v>
      </c>
      <c r="S7" s="858">
        <f ca="1">VLOOKUP($B7,'汇总明细-累计'!$A$5:$AK$23,21,0)</f>
        <v>0.89004802922148696</v>
      </c>
      <c r="T7" s="858">
        <f ca="1">VLOOKUP($B7,'汇总明细-累计'!$A$5:$AK$23,23,0)</f>
        <v>-3.0088810729358626E-2</v>
      </c>
      <c r="U7" s="861">
        <f ca="1">VLOOKUP($B7,'汇总明细-累计'!$A$5:$AK$23,24,0)</f>
        <v>2.1067654643068798</v>
      </c>
      <c r="V7" s="860">
        <f ca="1">VLOOKUP($B7,'汇总明细-累计'!$A$5:$AK$23,25,0)</f>
        <v>5.1050379412569298E-2</v>
      </c>
      <c r="W7" s="858">
        <f ca="1">VLOOKUP($B7,'汇总明细-累计'!$A$5:$AK$23,26,0)</f>
        <v>0.224880615924374</v>
      </c>
      <c r="X7" s="862">
        <f ca="1">VLOOKUP($B7,'汇总明细-累计'!$A$5:$AK$23,27,0)</f>
        <v>221.87889924160299</v>
      </c>
      <c r="Y7" s="862">
        <f ca="1">VLOOKUP($B7,'汇总明细-累计'!$A$5:$AK$23,28,0)</f>
        <v>49.896263522073902</v>
      </c>
      <c r="Z7" s="863">
        <f ca="1">VLOOKUP($B7,'汇总明细-累计'!$A$5:$AK$23,29,0)</f>
        <v>4.7829934735342503</v>
      </c>
      <c r="AA7" s="858">
        <f ca="1">VLOOKUP($B7,'汇总明细-累计'!$A$5:$AK$23,30,0)</f>
        <v>0.60995124635776399</v>
      </c>
      <c r="AB7" s="860">
        <f ca="1">VLOOKUP($B7,'汇总明细-累计'!$A$5:$AK$23,31,0)</f>
        <v>0.59600743105589704</v>
      </c>
      <c r="AC7" s="864">
        <f ca="1">VLOOKUP($B7,'汇总明细-累计'!$A$5:$AK$23,32,0)</f>
        <v>3.2034786446502199</v>
      </c>
      <c r="AD7" s="860">
        <f ca="1">VLOOKUP($B7,'汇总明细-累计'!$A$5:$AK$23,33,0)</f>
        <v>0.260946142147227</v>
      </c>
      <c r="AE7" s="858">
        <f ca="1">VLOOKUP($B7,'汇总明细-累计'!$A$5:$AK$23,34,0)</f>
        <v>0.117016995794263</v>
      </c>
      <c r="AF7" s="863">
        <f ca="1">VLOOKUP($B7,'汇总明细-累计'!$A$5:$AK$23,35,0)</f>
        <v>4.5567032442403796</v>
      </c>
      <c r="AG7" s="858">
        <f ca="1">VLOOKUP($B7,'汇总明细-累计'!$A$5:$AK$23,36,0)</f>
        <v>4.0234237287679303E-2</v>
      </c>
      <c r="AH7" s="858">
        <f ca="1">VLOOKUP($B7,'汇总明细-累计'!$A$5:$AK$23,37,0)</f>
        <v>0.39204858363043399</v>
      </c>
    </row>
    <row r="11" spans="1:34" ht="16.399999999999999" customHeight="1">
      <c r="E11" s="836"/>
      <c r="G11" s="836"/>
      <c r="H11" s="836"/>
      <c r="K11" s="836"/>
      <c r="M11" s="836"/>
      <c r="N11" s="836"/>
      <c r="Q11" s="836"/>
      <c r="S11" s="836"/>
      <c r="T11" s="836"/>
    </row>
    <row r="12" spans="1:34" ht="16.399999999999999" customHeight="1">
      <c r="E12" s="836"/>
      <c r="G12" s="836"/>
      <c r="H12" s="836"/>
      <c r="K12" s="836"/>
      <c r="M12" s="836"/>
      <c r="N12" s="836"/>
      <c r="Q12" s="836"/>
      <c r="S12" s="836"/>
      <c r="T12" s="836"/>
      <c r="U12" s="836"/>
      <c r="V12" s="836"/>
      <c r="W12" s="836"/>
      <c r="Z12" s="836"/>
      <c r="AA12" s="836"/>
      <c r="AB12" s="836"/>
      <c r="AC12" s="836"/>
      <c r="AD12" s="836"/>
      <c r="AE12" s="836"/>
      <c r="AF12" s="836"/>
      <c r="AG12" s="836"/>
      <c r="AH12" s="836"/>
    </row>
    <row r="13" spans="1:34" ht="16.399999999999999" customHeight="1">
      <c r="E13" s="836"/>
      <c r="G13" s="836"/>
      <c r="H13" s="836"/>
      <c r="K13" s="836"/>
      <c r="M13" s="836"/>
      <c r="N13" s="836"/>
      <c r="Q13" s="836"/>
      <c r="S13" s="836"/>
      <c r="T13" s="836"/>
      <c r="U13" s="836"/>
      <c r="V13" s="836"/>
      <c r="W13" s="836"/>
      <c r="Z13" s="836"/>
      <c r="AA13" s="836"/>
      <c r="AB13" s="836"/>
      <c r="AC13" s="836"/>
      <c r="AD13" s="836"/>
      <c r="AE13" s="836"/>
      <c r="AF13" s="836"/>
      <c r="AG13" s="836"/>
      <c r="AH13" s="836"/>
    </row>
  </sheetData>
  <autoFilter ref="A2:AH7" xr:uid="{00000000-0009-0000-0000-000001000000}"/>
  <mergeCells count="9">
    <mergeCell ref="AB1:AD1"/>
    <mergeCell ref="AE1:AH1"/>
    <mergeCell ref="A1:A4"/>
    <mergeCell ref="B1:B2"/>
    <mergeCell ref="C1:H1"/>
    <mergeCell ref="I1:N1"/>
    <mergeCell ref="O1:T1"/>
    <mergeCell ref="U1:V1"/>
    <mergeCell ref="W1:AA1"/>
  </mergeCells>
  <phoneticPr fontId="53" type="noConversion"/>
  <hyperlinks>
    <hyperlink ref="B5" location="于洪!A1" display="于洪酒店" xr:uid="{00000000-0004-0000-0100-000000000000}"/>
    <hyperlink ref="B6" location="滁州!A1" display="滁州酒店" xr:uid="{00000000-0004-0000-0100-000001000000}"/>
    <hyperlink ref="B7" location="武汉!A1" display="武汉酒店" xr:uid="{00000000-0004-0000-0100-000002000000}"/>
  </hyperlink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38"/>
  <sheetViews>
    <sheetView topLeftCell="B1" workbookViewId="0">
      <selection activeCell="F24" sqref="F24"/>
    </sheetView>
  </sheetViews>
  <sheetFormatPr defaultColWidth="9.140625" defaultRowHeight="13.75"/>
  <cols>
    <col min="1" max="1" width="13.7109375" style="780" hidden="1" customWidth="1"/>
    <col min="2" max="2" width="7.2109375" style="780" customWidth="1"/>
    <col min="3" max="3" width="12.7109375" style="780" customWidth="1"/>
    <col min="4" max="4" width="31.85546875" style="770" customWidth="1"/>
    <col min="5" max="5" width="13.35546875" style="780" customWidth="1"/>
    <col min="6" max="6" width="16.85546875" style="813" customWidth="1"/>
    <col min="7" max="7" width="15.2109375" style="814" customWidth="1"/>
    <col min="8" max="9" width="14.7109375" style="814" customWidth="1"/>
    <col min="10" max="10" width="13.85546875" style="814" customWidth="1"/>
    <col min="11" max="13" width="14.7109375" style="814" customWidth="1"/>
    <col min="14" max="14" width="15.2109375" style="814" customWidth="1"/>
    <col min="15" max="15" width="17.2109375" style="814" customWidth="1"/>
    <col min="16" max="16" width="15.2109375" style="813" customWidth="1"/>
    <col min="17" max="17" width="9.7109375" style="815" customWidth="1"/>
    <col min="18" max="18" width="15.2109375" style="813" customWidth="1"/>
    <col min="19" max="19" width="10.140625" style="815" customWidth="1"/>
    <col min="20" max="20" width="14.2109375" style="813" customWidth="1"/>
    <col min="21" max="21" width="7.140625" style="780" customWidth="1"/>
    <col min="22" max="22" width="7.2109375" style="780" customWidth="1"/>
    <col min="23" max="23" width="14.2109375" style="813" customWidth="1"/>
    <col min="24" max="24" width="9.2109375" style="815" customWidth="1"/>
    <col min="25" max="25" width="13.140625" style="813" customWidth="1"/>
    <col min="26" max="26" width="14.5" style="813" customWidth="1"/>
    <col min="27" max="27" width="18.2109375" style="813" customWidth="1"/>
    <col min="28" max="28" width="16.35546875" style="813" customWidth="1"/>
    <col min="29" max="30" width="14.2109375" style="813" customWidth="1"/>
    <col min="31" max="31" width="10.85546875" style="780" customWidth="1"/>
    <col min="32" max="32" width="14.7109375" style="813" customWidth="1"/>
    <col min="33" max="33" width="14.2109375" style="813" customWidth="1"/>
    <col min="34" max="34" width="13.35546875" style="813" customWidth="1"/>
    <col min="35" max="35" width="14.640625" style="813" customWidth="1"/>
    <col min="36" max="36" width="10.85546875" style="813" customWidth="1"/>
    <col min="37" max="37" width="14.5" style="813" customWidth="1"/>
    <col min="38" max="38" width="10.85546875" style="813" customWidth="1"/>
    <col min="39" max="41" width="10.85546875" style="780" customWidth="1"/>
    <col min="42" max="42" width="14.140625" style="813" customWidth="1"/>
    <col min="43" max="43" width="13.85546875" style="813" customWidth="1"/>
    <col min="44" max="44" width="14.35546875" style="813" customWidth="1"/>
    <col min="45" max="45" width="10.85546875" style="780" customWidth="1"/>
    <col min="46" max="47" width="14.35546875" style="813" customWidth="1"/>
    <col min="48" max="48" width="15.640625" style="813" customWidth="1"/>
    <col min="49" max="49" width="13.7109375" style="813" customWidth="1"/>
    <col min="50" max="50" width="14.2109375" style="813" customWidth="1"/>
    <col min="51" max="53" width="12.7109375" style="813" customWidth="1"/>
    <col min="54" max="54" width="13.5" style="813" customWidth="1"/>
    <col min="55" max="55" width="6.5" style="815" customWidth="1"/>
    <col min="56" max="56" width="13.7109375" style="813" customWidth="1"/>
    <col min="57" max="57" width="10.85546875" style="780" customWidth="1"/>
    <col min="58" max="58" width="13" style="780" customWidth="1"/>
    <col min="59" max="59" width="13.85546875" style="813" customWidth="1"/>
    <col min="60" max="60" width="12" style="780" customWidth="1"/>
    <col min="61" max="61" width="14" style="813" customWidth="1"/>
    <col min="62" max="62" width="10.85546875" style="780" customWidth="1"/>
    <col min="63" max="63" width="14" style="813" customWidth="1"/>
    <col min="64" max="64" width="10.85546875" style="780" customWidth="1"/>
    <col min="65" max="65" width="13.640625" style="813" customWidth="1"/>
    <col min="66" max="66" width="14.640625" style="813" customWidth="1"/>
    <col min="67" max="67" width="10.85546875" style="780" customWidth="1"/>
    <col min="68" max="68" width="13.5" style="813" customWidth="1"/>
    <col min="69" max="16384" width="9.140625" style="780"/>
  </cols>
  <sheetData>
    <row r="1" spans="1:68" s="694" customFormat="1" ht="19.399999999999999" customHeight="1">
      <c r="B1" s="909"/>
      <c r="C1" s="816"/>
      <c r="D1" s="817"/>
      <c r="E1" s="816"/>
      <c r="F1" s="818"/>
      <c r="G1" s="819" t="s">
        <v>69</v>
      </c>
      <c r="H1" s="819" t="s">
        <v>69</v>
      </c>
      <c r="I1" s="819" t="s">
        <v>69</v>
      </c>
      <c r="J1" s="819" t="s">
        <v>69</v>
      </c>
      <c r="K1" s="819" t="s">
        <v>69</v>
      </c>
      <c r="L1" s="819" t="s">
        <v>69</v>
      </c>
      <c r="M1" s="819" t="s">
        <v>69</v>
      </c>
      <c r="N1" s="819" t="s">
        <v>69</v>
      </c>
      <c r="O1" s="819" t="s">
        <v>69</v>
      </c>
      <c r="P1" s="820" t="s">
        <v>70</v>
      </c>
      <c r="Q1" s="820" t="s">
        <v>70</v>
      </c>
      <c r="R1" s="820" t="s">
        <v>70</v>
      </c>
      <c r="S1" s="820" t="s">
        <v>70</v>
      </c>
      <c r="T1" s="820" t="s">
        <v>70</v>
      </c>
      <c r="U1" s="820" t="s">
        <v>70</v>
      </c>
      <c r="V1" s="820" t="s">
        <v>70</v>
      </c>
      <c r="W1" s="820" t="s">
        <v>70</v>
      </c>
      <c r="X1" s="820" t="s">
        <v>70</v>
      </c>
      <c r="Y1" s="820" t="s">
        <v>71</v>
      </c>
      <c r="Z1" s="820" t="s">
        <v>71</v>
      </c>
      <c r="AA1" s="820" t="s">
        <v>71</v>
      </c>
      <c r="AB1" s="820" t="s">
        <v>71</v>
      </c>
      <c r="AC1" s="820" t="s">
        <v>71</v>
      </c>
      <c r="AD1" s="820" t="s">
        <v>71</v>
      </c>
      <c r="AE1" s="820" t="s">
        <v>71</v>
      </c>
      <c r="AF1" s="820" t="s">
        <v>71</v>
      </c>
      <c r="AG1" s="820" t="s">
        <v>71</v>
      </c>
      <c r="AH1" s="820" t="s">
        <v>71</v>
      </c>
      <c r="AI1" s="820" t="s">
        <v>71</v>
      </c>
      <c r="AJ1" s="820" t="s">
        <v>71</v>
      </c>
      <c r="AK1" s="820" t="s">
        <v>71</v>
      </c>
      <c r="AL1" s="820" t="s">
        <v>71</v>
      </c>
      <c r="AM1" s="820" t="s">
        <v>71</v>
      </c>
      <c r="AN1" s="820" t="s">
        <v>71</v>
      </c>
      <c r="AO1" s="820"/>
      <c r="AP1" s="820" t="s">
        <v>72</v>
      </c>
      <c r="AQ1" s="820" t="s">
        <v>72</v>
      </c>
      <c r="AR1" s="820" t="s">
        <v>72</v>
      </c>
      <c r="AS1" s="820" t="s">
        <v>72</v>
      </c>
      <c r="AT1" s="820" t="s">
        <v>72</v>
      </c>
      <c r="AU1" s="820" t="s">
        <v>72</v>
      </c>
      <c r="AV1" s="820" t="s">
        <v>72</v>
      </c>
      <c r="AW1" s="820" t="s">
        <v>72</v>
      </c>
      <c r="AX1" s="820" t="s">
        <v>72</v>
      </c>
      <c r="AY1" s="820" t="s">
        <v>72</v>
      </c>
      <c r="AZ1" s="820" t="s">
        <v>72</v>
      </c>
      <c r="BA1" s="820" t="s">
        <v>72</v>
      </c>
      <c r="BB1" s="820" t="s">
        <v>72</v>
      </c>
      <c r="BC1" s="820" t="s">
        <v>72</v>
      </c>
      <c r="BD1" s="820" t="s">
        <v>72</v>
      </c>
      <c r="BE1" s="820" t="s">
        <v>72</v>
      </c>
      <c r="BF1" s="820" t="s">
        <v>72</v>
      </c>
      <c r="BG1" s="820" t="s">
        <v>73</v>
      </c>
      <c r="BH1" s="820" t="s">
        <v>73</v>
      </c>
      <c r="BI1" s="820" t="s">
        <v>73</v>
      </c>
      <c r="BJ1" s="820" t="s">
        <v>73</v>
      </c>
      <c r="BK1" s="820" t="s">
        <v>73</v>
      </c>
      <c r="BL1" s="820" t="s">
        <v>73</v>
      </c>
      <c r="BM1" s="820" t="s">
        <v>73</v>
      </c>
      <c r="BN1" s="820" t="s">
        <v>73</v>
      </c>
      <c r="BO1" s="820" t="s">
        <v>73</v>
      </c>
      <c r="BP1" s="820" t="s">
        <v>73</v>
      </c>
    </row>
    <row r="2" spans="1:68" s="694" customFormat="1" ht="19.399999999999999" customHeight="1">
      <c r="B2" s="909"/>
      <c r="C2" s="816"/>
      <c r="D2" s="817"/>
      <c r="E2" s="816"/>
      <c r="F2" s="818"/>
      <c r="G2" s="818" t="s">
        <v>6</v>
      </c>
      <c r="H2" s="819" t="s">
        <v>7</v>
      </c>
      <c r="I2" s="819" t="s">
        <v>7</v>
      </c>
      <c r="J2" s="819" t="s">
        <v>7</v>
      </c>
      <c r="K2" s="819" t="s">
        <v>74</v>
      </c>
      <c r="L2" s="819" t="s">
        <v>74</v>
      </c>
      <c r="M2" s="819" t="s">
        <v>74</v>
      </c>
      <c r="N2" s="911" t="s">
        <v>75</v>
      </c>
      <c r="O2" s="911" t="s">
        <v>76</v>
      </c>
      <c r="P2" s="820" t="s">
        <v>77</v>
      </c>
      <c r="Q2" s="820" t="s">
        <v>77</v>
      </c>
      <c r="R2" s="820" t="s">
        <v>78</v>
      </c>
      <c r="S2" s="820" t="s">
        <v>78</v>
      </c>
      <c r="T2" s="820" t="s">
        <v>79</v>
      </c>
      <c r="U2" s="820" t="s">
        <v>79</v>
      </c>
      <c r="V2" s="820" t="s">
        <v>79</v>
      </c>
      <c r="W2" s="820" t="s">
        <v>80</v>
      </c>
      <c r="X2" s="820" t="s">
        <v>80</v>
      </c>
      <c r="Y2" s="820" t="s">
        <v>6</v>
      </c>
      <c r="Z2" s="820" t="s">
        <v>6</v>
      </c>
      <c r="AA2" s="820" t="s">
        <v>6</v>
      </c>
      <c r="AB2" s="820" t="s">
        <v>6</v>
      </c>
      <c r="AC2" s="820" t="s">
        <v>6</v>
      </c>
      <c r="AD2" s="816" t="s">
        <v>6</v>
      </c>
      <c r="AE2" s="820" t="s">
        <v>7</v>
      </c>
      <c r="AF2" s="820" t="s">
        <v>7</v>
      </c>
      <c r="AG2" s="820" t="s">
        <v>7</v>
      </c>
      <c r="AH2" s="820" t="s">
        <v>7</v>
      </c>
      <c r="AI2" s="820" t="s">
        <v>7</v>
      </c>
      <c r="AJ2" s="818" t="s">
        <v>7</v>
      </c>
      <c r="AK2" s="818" t="s">
        <v>81</v>
      </c>
      <c r="AL2" s="818" t="s">
        <v>82</v>
      </c>
      <c r="AM2" s="820" t="s">
        <v>83</v>
      </c>
      <c r="AN2" s="820" t="s">
        <v>83</v>
      </c>
      <c r="AO2" s="909" t="s">
        <v>76</v>
      </c>
      <c r="AP2" s="820" t="s">
        <v>84</v>
      </c>
      <c r="AQ2" s="820" t="s">
        <v>84</v>
      </c>
      <c r="AR2" s="820" t="s">
        <v>85</v>
      </c>
      <c r="AS2" s="820" t="s">
        <v>85</v>
      </c>
      <c r="AT2" s="820" t="s">
        <v>85</v>
      </c>
      <c r="AU2" s="820" t="s">
        <v>86</v>
      </c>
      <c r="AV2" s="820" t="s">
        <v>86</v>
      </c>
      <c r="AW2" s="820" t="s">
        <v>86</v>
      </c>
      <c r="AX2" s="820" t="s">
        <v>78</v>
      </c>
      <c r="AY2" s="820" t="s">
        <v>78</v>
      </c>
      <c r="AZ2" s="820" t="s">
        <v>78</v>
      </c>
      <c r="BA2" s="820" t="s">
        <v>78</v>
      </c>
      <c r="BB2" s="820" t="s">
        <v>78</v>
      </c>
      <c r="BC2" s="820"/>
      <c r="BD2" s="818"/>
      <c r="BE2" s="909" t="s">
        <v>87</v>
      </c>
      <c r="BF2" s="909"/>
      <c r="BG2" s="820" t="s">
        <v>88</v>
      </c>
      <c r="BH2" s="820" t="s">
        <v>88</v>
      </c>
      <c r="BI2" s="820" t="s">
        <v>89</v>
      </c>
      <c r="BJ2" s="820" t="s">
        <v>89</v>
      </c>
      <c r="BK2" s="820" t="s">
        <v>90</v>
      </c>
      <c r="BL2" s="820" t="s">
        <v>90</v>
      </c>
      <c r="BM2" s="818" t="s">
        <v>91</v>
      </c>
      <c r="BN2" s="820" t="s">
        <v>92</v>
      </c>
      <c r="BO2" s="820" t="s">
        <v>92</v>
      </c>
      <c r="BP2" s="821"/>
    </row>
    <row r="3" spans="1:68" s="694" customFormat="1" ht="35.25" customHeight="1">
      <c r="B3" s="910" t="s">
        <v>1</v>
      </c>
      <c r="C3" s="910" t="s">
        <v>93</v>
      </c>
      <c r="D3" s="910" t="s">
        <v>94</v>
      </c>
      <c r="E3" s="816" t="s">
        <v>95</v>
      </c>
      <c r="F3" s="818" t="s">
        <v>96</v>
      </c>
      <c r="G3" s="818" t="s">
        <v>6</v>
      </c>
      <c r="H3" s="818" t="s">
        <v>7</v>
      </c>
      <c r="I3" s="818" t="s">
        <v>97</v>
      </c>
      <c r="J3" s="818" t="s">
        <v>98</v>
      </c>
      <c r="K3" s="818" t="s">
        <v>83</v>
      </c>
      <c r="L3" s="818" t="s">
        <v>99</v>
      </c>
      <c r="M3" s="818" t="s">
        <v>74</v>
      </c>
      <c r="N3" s="911"/>
      <c r="O3" s="911"/>
      <c r="P3" s="818" t="s">
        <v>100</v>
      </c>
      <c r="Q3" s="823" t="s">
        <v>101</v>
      </c>
      <c r="R3" s="818" t="s">
        <v>102</v>
      </c>
      <c r="S3" s="823" t="s">
        <v>103</v>
      </c>
      <c r="T3" s="818" t="s">
        <v>104</v>
      </c>
      <c r="U3" s="816" t="s">
        <v>105</v>
      </c>
      <c r="V3" s="824" t="s">
        <v>106</v>
      </c>
      <c r="W3" s="818" t="s">
        <v>107</v>
      </c>
      <c r="X3" s="823" t="s">
        <v>108</v>
      </c>
      <c r="Y3" s="825" t="s">
        <v>109</v>
      </c>
      <c r="Z3" s="825" t="s">
        <v>110</v>
      </c>
      <c r="AA3" s="818" t="s">
        <v>111</v>
      </c>
      <c r="AB3" s="825" t="s">
        <v>112</v>
      </c>
      <c r="AC3" s="818" t="s">
        <v>113</v>
      </c>
      <c r="AD3" s="818" t="s">
        <v>114</v>
      </c>
      <c r="AE3" s="826" t="s">
        <v>109</v>
      </c>
      <c r="AF3" s="818" t="s">
        <v>110</v>
      </c>
      <c r="AG3" s="818" t="s">
        <v>111</v>
      </c>
      <c r="AH3" s="825" t="s">
        <v>112</v>
      </c>
      <c r="AI3" s="818" t="s">
        <v>113</v>
      </c>
      <c r="AJ3" s="818" t="s">
        <v>115</v>
      </c>
      <c r="AK3" s="825" t="s">
        <v>116</v>
      </c>
      <c r="AL3" s="825" t="s">
        <v>117</v>
      </c>
      <c r="AM3" s="816" t="s">
        <v>118</v>
      </c>
      <c r="AN3" s="816" t="s">
        <v>119</v>
      </c>
      <c r="AO3" s="909"/>
      <c r="AP3" s="818" t="s">
        <v>77</v>
      </c>
      <c r="AQ3" s="818" t="s">
        <v>119</v>
      </c>
      <c r="AR3" s="818" t="s">
        <v>77</v>
      </c>
      <c r="AS3" s="816" t="s">
        <v>120</v>
      </c>
      <c r="AT3" s="818" t="s">
        <v>119</v>
      </c>
      <c r="AU3" s="818" t="s">
        <v>77</v>
      </c>
      <c r="AV3" s="818" t="s">
        <v>121</v>
      </c>
      <c r="AW3" s="818" t="s">
        <v>119</v>
      </c>
      <c r="AX3" s="825" t="s">
        <v>122</v>
      </c>
      <c r="AY3" s="825" t="s">
        <v>123</v>
      </c>
      <c r="AZ3" s="825" t="s">
        <v>124</v>
      </c>
      <c r="BA3" s="825" t="s">
        <v>125</v>
      </c>
      <c r="BB3" s="818" t="s">
        <v>76</v>
      </c>
      <c r="BC3" s="827" t="s">
        <v>126</v>
      </c>
      <c r="BD3" s="818" t="s">
        <v>127</v>
      </c>
      <c r="BE3" s="824" t="s">
        <v>128</v>
      </c>
      <c r="BF3" s="824" t="s">
        <v>129</v>
      </c>
      <c r="BG3" s="818" t="s">
        <v>130</v>
      </c>
      <c r="BH3" s="824" t="s">
        <v>131</v>
      </c>
      <c r="BI3" s="818" t="s">
        <v>132</v>
      </c>
      <c r="BJ3" s="824" t="s">
        <v>133</v>
      </c>
      <c r="BK3" s="818" t="s">
        <v>134</v>
      </c>
      <c r="BL3" s="824" t="s">
        <v>135</v>
      </c>
      <c r="BM3" s="828" t="s">
        <v>136</v>
      </c>
      <c r="BN3" s="818" t="s">
        <v>137</v>
      </c>
      <c r="BO3" s="824" t="s">
        <v>138</v>
      </c>
      <c r="BP3" s="828" t="s">
        <v>139</v>
      </c>
    </row>
    <row r="4" spans="1:68" ht="14.6">
      <c r="B4" s="910"/>
      <c r="C4" s="910"/>
      <c r="D4" s="910"/>
      <c r="E4" s="822"/>
      <c r="F4" s="829" t="e">
        <f ca="1">SUM(F5:F38)</f>
        <v>#REF!</v>
      </c>
      <c r="G4" s="829" t="e">
        <f ca="1">SUM(G5:G38)</f>
        <v>#REF!</v>
      </c>
      <c r="H4" s="829" t="e">
        <f t="shared" ref="H4:O4" ca="1" si="0">SUM(H5:H38)</f>
        <v>#REF!</v>
      </c>
      <c r="I4" s="829" t="e">
        <f t="shared" ca="1" si="0"/>
        <v>#REF!</v>
      </c>
      <c r="J4" s="829" t="e">
        <f t="shared" ca="1" si="0"/>
        <v>#REF!</v>
      </c>
      <c r="K4" s="829" t="e">
        <f t="shared" ca="1" si="0"/>
        <v>#REF!</v>
      </c>
      <c r="L4" s="829" t="e">
        <f t="shared" ca="1" si="0"/>
        <v>#REF!</v>
      </c>
      <c r="M4" s="829" t="e">
        <f t="shared" ca="1" si="0"/>
        <v>#REF!</v>
      </c>
      <c r="N4" s="829" t="e">
        <f t="shared" ca="1" si="0"/>
        <v>#REF!</v>
      </c>
      <c r="O4" s="829" t="e">
        <f t="shared" ca="1" si="0"/>
        <v>#REF!</v>
      </c>
      <c r="P4" s="829" t="e">
        <f ca="1">SUM(P5:P36)</f>
        <v>#REF!</v>
      </c>
      <c r="Q4" s="815" t="e">
        <f t="shared" ref="Q4:Q38" ca="1" si="1">P4/F4</f>
        <v>#REF!</v>
      </c>
      <c r="R4" s="829" t="e">
        <f ca="1">SUM(R5:R36)</f>
        <v>#REF!</v>
      </c>
      <c r="S4" s="815" t="e">
        <f t="shared" ref="S4:S38" ca="1" si="2">R4/F4</f>
        <v>#REF!</v>
      </c>
      <c r="T4" s="829" t="e">
        <f ca="1">SUM(T5:T36)</f>
        <v>#REF!</v>
      </c>
      <c r="U4" s="830"/>
      <c r="V4" s="815" t="e">
        <f t="shared" ref="V4:V38" ca="1" si="3">T4/F4</f>
        <v>#REF!</v>
      </c>
      <c r="W4" s="829" t="e">
        <f t="shared" ref="W4:BD4" ca="1" si="4">SUM(W5:W36)</f>
        <v>#REF!</v>
      </c>
      <c r="X4" s="815" t="e">
        <f t="shared" ref="X4:X38" ca="1" si="5">W4/F4</f>
        <v>#REF!</v>
      </c>
      <c r="Y4" s="829" t="e">
        <f>SUM(Y5:Y36)</f>
        <v>#VALUE!</v>
      </c>
      <c r="Z4" s="829" t="e">
        <f>SUM(Z5:Z36)</f>
        <v>#VALUE!</v>
      </c>
      <c r="AA4" s="829" t="e">
        <f t="shared" ca="1" si="4"/>
        <v>#REF!</v>
      </c>
      <c r="AB4" s="829" t="e">
        <f t="shared" si="4"/>
        <v>#VALUE!</v>
      </c>
      <c r="AC4" s="829" t="e">
        <f t="shared" ca="1" si="4"/>
        <v>#VALUE!</v>
      </c>
      <c r="AD4" s="829" t="e">
        <f t="shared" ca="1" si="4"/>
        <v>#VALUE!</v>
      </c>
      <c r="AE4" s="830">
        <f t="shared" si="4"/>
        <v>0</v>
      </c>
      <c r="AF4" s="829" t="e">
        <f t="shared" ca="1" si="4"/>
        <v>#REF!</v>
      </c>
      <c r="AG4" s="829" t="e">
        <f t="shared" ca="1" si="4"/>
        <v>#REF!</v>
      </c>
      <c r="AH4" s="829" t="e">
        <f t="shared" si="4"/>
        <v>#VALUE!</v>
      </c>
      <c r="AI4" s="829" t="e">
        <f t="shared" ca="1" si="4"/>
        <v>#VALUE!</v>
      </c>
      <c r="AJ4" s="829" t="e">
        <f t="shared" ca="1" si="4"/>
        <v>#VALUE!</v>
      </c>
      <c r="AK4" s="829" t="e">
        <f t="shared" si="4"/>
        <v>#VALUE!</v>
      </c>
      <c r="AL4" s="829" t="e">
        <f t="shared" si="4"/>
        <v>#VALUE!</v>
      </c>
      <c r="AM4" s="830">
        <f t="shared" si="4"/>
        <v>0</v>
      </c>
      <c r="AN4" s="830">
        <f t="shared" si="4"/>
        <v>0</v>
      </c>
      <c r="AO4" s="830">
        <f t="shared" si="4"/>
        <v>0</v>
      </c>
      <c r="AP4" s="829" t="e">
        <f t="shared" ca="1" si="4"/>
        <v>#REF!</v>
      </c>
      <c r="AQ4" s="829" t="e">
        <f t="shared" ca="1" si="4"/>
        <v>#REF!</v>
      </c>
      <c r="AR4" s="829" t="e">
        <f t="shared" ca="1" si="4"/>
        <v>#REF!</v>
      </c>
      <c r="AS4" s="830">
        <f t="shared" si="4"/>
        <v>0</v>
      </c>
      <c r="AT4" s="829" t="e">
        <f t="shared" ca="1" si="4"/>
        <v>#REF!</v>
      </c>
      <c r="AU4" s="829" t="e">
        <f t="shared" ca="1" si="4"/>
        <v>#REF!</v>
      </c>
      <c r="AV4" s="829" t="e">
        <f t="shared" ca="1" si="4"/>
        <v>#REF!</v>
      </c>
      <c r="AW4" s="829" t="e">
        <f t="shared" ca="1" si="4"/>
        <v>#REF!</v>
      </c>
      <c r="AX4" s="829" t="e">
        <f t="shared" si="4"/>
        <v>#VALUE!</v>
      </c>
      <c r="AY4" s="829" t="e">
        <f t="shared" si="4"/>
        <v>#VALUE!</v>
      </c>
      <c r="AZ4" s="829" t="e">
        <f t="shared" si="4"/>
        <v>#VALUE!</v>
      </c>
      <c r="BA4" s="829" t="e">
        <f t="shared" si="4"/>
        <v>#VALUE!</v>
      </c>
      <c r="BB4" s="829" t="e">
        <f>SUM(BB5:BB40)</f>
        <v>#VALUE!</v>
      </c>
      <c r="BC4" s="815" t="e">
        <f ca="1">BB4/F4</f>
        <v>#VALUE!</v>
      </c>
      <c r="BD4" s="829" t="e">
        <f t="shared" ca="1" si="4"/>
        <v>#VALUE!</v>
      </c>
      <c r="BE4" s="830"/>
      <c r="BF4" s="830"/>
      <c r="BG4" s="829" t="e">
        <f ca="1">SUM(BG5:BG39)</f>
        <v>#REF!</v>
      </c>
      <c r="BH4" s="759"/>
      <c r="BI4" s="829" t="e">
        <f t="shared" ref="BI4:BP4" ca="1" si="6">SUM(BI5:BI36)</f>
        <v>#REF!</v>
      </c>
      <c r="BJ4" s="759"/>
      <c r="BK4" s="829" t="e">
        <f t="shared" ca="1" si="6"/>
        <v>#REF!</v>
      </c>
      <c r="BL4" s="759"/>
      <c r="BM4" s="829" t="e">
        <f t="shared" ca="1" si="6"/>
        <v>#REF!</v>
      </c>
      <c r="BN4" s="829" t="e">
        <f t="shared" ca="1" si="6"/>
        <v>#REF!</v>
      </c>
      <c r="BO4" s="759"/>
      <c r="BP4" s="829" t="e">
        <f t="shared" ca="1" si="6"/>
        <v>#REF!</v>
      </c>
    </row>
    <row r="5" spans="1:68">
      <c r="A5" s="759" t="s">
        <v>28</v>
      </c>
      <c r="B5" s="759" t="s">
        <v>140</v>
      </c>
      <c r="C5" s="759" t="s">
        <v>28</v>
      </c>
      <c r="D5" s="770" t="s">
        <v>141</v>
      </c>
      <c r="E5" s="831">
        <f ca="1">SUM(G5:M5)-F5</f>
        <v>0</v>
      </c>
      <c r="F5" s="814" cm="1">
        <f t="array" aca="1" ref="F5" ca="1">INDIRECT($B5&amp;"!M16")</f>
        <v>2831815.91</v>
      </c>
      <c r="G5" s="814" cm="1">
        <f t="array" aca="1" ref="G5" ca="1">INDIRECT($B5&amp;"!M43")</f>
        <v>1138840.1399999999</v>
      </c>
      <c r="H5" s="814" cm="1">
        <f t="array" aca="1" ref="H5" ca="1">INDIRECT($B5&amp;"!M52")+INDIRECT($B5&amp;"!M53")</f>
        <v>1292584.04</v>
      </c>
      <c r="I5" s="814" cm="1">
        <f t="array" aca="1" ref="I5" ca="1">INDIRECT($B5&amp;"!M55")</f>
        <v>257360.45</v>
      </c>
      <c r="J5" s="814" cm="1">
        <f t="array" aca="1" ref="J5" ca="1">INDIRECT($B5&amp;"!M54")</f>
        <v>3062.53</v>
      </c>
      <c r="K5" s="814" cm="1">
        <f t="array" aca="1" ref="K5" ca="1">INDIRECT($B5&amp;"!M75")</f>
        <v>69952.73</v>
      </c>
      <c r="L5" s="814" cm="1">
        <f t="array" aca="1" ref="L5" ca="1">INDIRECT($B5&amp;"!M69")+INDIRECT($B5&amp;"!M70")</f>
        <v>0</v>
      </c>
      <c r="M5" s="814" cm="1">
        <f t="array" aca="1" ref="M5" ca="1">INDIRECT($B5&amp;"!M77")-INDIRECT($B5&amp;"!M75")-INDIRECT($B5&amp;"!M69")-INDIRECT($B5&amp;"!M70")</f>
        <v>70016.02</v>
      </c>
      <c r="N5" s="814" cm="1">
        <f t="array" aca="1" ref="N5" ca="1">INDIRECT($B5&amp;"!M115")</f>
        <v>1293.29</v>
      </c>
      <c r="O5" s="814">
        <f t="shared" ref="O5:O38" ca="1" si="7">SUM(G5:N5)</f>
        <v>2833109.1999999997</v>
      </c>
      <c r="P5" s="813" cm="1">
        <f t="array" aca="1" ref="P5" ca="1">INDIRECT($B5&amp;"!M31")</f>
        <v>1111588.76</v>
      </c>
      <c r="Q5" s="815">
        <f t="shared" ca="1" si="1"/>
        <v>0.39253567157195607</v>
      </c>
      <c r="R5" s="813" cm="1">
        <f t="array" aca="1" ref="R5" ca="1">INDIRECT($B5&amp;"!M34")</f>
        <v>939636.01</v>
      </c>
      <c r="S5" s="815">
        <f t="shared" ca="1" si="2"/>
        <v>0.33181394549054566</v>
      </c>
      <c r="T5" s="813" cm="1">
        <f t="array" aca="1" ref="T5" ca="1">INDIRECT($B5&amp;"!M38")</f>
        <v>61100.13</v>
      </c>
      <c r="V5" s="815">
        <f t="shared" ca="1" si="3"/>
        <v>2.1576307197172288E-2</v>
      </c>
      <c r="W5" s="813" cm="1">
        <f t="array" aca="1" ref="W5" ca="1">INDIRECT($B5&amp;"!M36")</f>
        <v>46717.47</v>
      </c>
      <c r="X5" s="815">
        <f t="shared" ca="1" si="5"/>
        <v>1.6497354165935171E-2</v>
      </c>
      <c r="Y5" s="813" t="e">
        <f>SUMIFS([1]客房!D:D,[1]客房!B:B,D5,[1]客房!C:C,"Reservation Fees 预订成本")</f>
        <v>#VALUE!</v>
      </c>
      <c r="Z5" s="813" t="e">
        <f>SUMIFS([1]客房!D:D,[1]客房!B:B,D5,[1]客房!C:C,"  Total Cost of Sales 总销售成本")</f>
        <v>#VALUE!</v>
      </c>
      <c r="AA5" s="813" cm="1">
        <f t="array" aca="1" ref="AA5" ca="1">INDIRECT($B5&amp;"!M44")+INDIRECT($B5&amp;"!M45")</f>
        <v>286815.59999999998</v>
      </c>
      <c r="AB5" s="813" t="e">
        <f>SUMIFS([1]客房!D:D,[1]客房!B:B,D5,[1]客房!C:C,"Laundry 洗涤费")</f>
        <v>#VALUE!</v>
      </c>
      <c r="AC5" s="813" t="e" cm="1">
        <f t="array" aca="1" ref="AC5" ca="1">INDIRECT($B5&amp;"!M46")-Y5-Z5-AB5</f>
        <v>#VALUE!</v>
      </c>
      <c r="AD5" s="813" t="e" cm="1">
        <f t="array" aca="1" ref="AD5" ca="1">INDIRECT($B5&amp;"!M47")-SUM(Y5:AC5)</f>
        <v>#VALUE!</v>
      </c>
      <c r="AF5" s="813" cm="1">
        <f t="array" aca="1" ref="AF5" ca="1">INDIRECT($B5&amp;"!M60")</f>
        <v>715959.62</v>
      </c>
      <c r="AG5" s="813" cm="1">
        <f t="array" aca="1" ref="AG5" ca="1">INDIRECT($B5&amp;"!M61")+INDIRECT($B5&amp;"!M62")</f>
        <v>310160.31</v>
      </c>
      <c r="AH5" s="813" t="e">
        <f>SUMIFS([1]餐饮!D:D,[1]餐饮!B:B,D5,[1]餐饮!C:C,"Laundry 洗涤费")</f>
        <v>#VALUE!</v>
      </c>
      <c r="AI5" s="813" t="e" cm="1">
        <f t="array" aca="1" ref="AI5" ca="1">INDIRECT($B5&amp;"!M63")-AH5</f>
        <v>#VALUE!</v>
      </c>
      <c r="AJ5" s="813" t="e" cm="1">
        <f t="array" aca="1" ref="AJ5" ca="1">INDIRECT($B5&amp;"!M64")-SUM(AE5:AI5)</f>
        <v>#VALUE!</v>
      </c>
      <c r="AK5" s="813" t="e">
        <f>SUMIFS([1]新零售!D:D,[1]新零售!B:B,D5,[1]新零售!C:C,"Total Cost of Sales 总销售成本")</f>
        <v>#VALUE!</v>
      </c>
      <c r="AL5" s="813" t="e">
        <f>SUMIFS([1]康乐温泉!C:C,[1]康乐温泉!A:A,D5,[1]康乐温泉!B:B,"Total Cost of Sales 总销售成本")+SUMIFS([1]康乐温泉!C:C,[1]康乐温泉!A:A,D5,[1]康乐温泉!B:B,"Total Other Expenses 其他费用合计")</f>
        <v>#VALUE!</v>
      </c>
      <c r="AP5" s="813" cm="1">
        <f t="array" aca="1" ref="AP5" ca="1">INDIRECT($B5&amp;"!M91")+INDIRECT($B5&amp;"!M92")</f>
        <v>230985.86</v>
      </c>
      <c r="AQ5" s="813" cm="1">
        <f t="array" aca="1" ref="AQ5" ca="1">INDIRECT($B5&amp;"!M93")+INDIRECT($B5&amp;"!M94")+INDIRECT($B5&amp;"!M95")+INDIRECT($B5&amp;"!M96")</f>
        <v>36049.659999999996</v>
      </c>
      <c r="AR5" s="813" cm="1">
        <f t="array" aca="1" ref="AR5" ca="1">INDIRECT($B5&amp;"!M98")+INDIRECT($B5&amp;"!M99")</f>
        <v>147121.97</v>
      </c>
      <c r="AT5" s="813" cm="1">
        <f t="array" aca="1" ref="AT5" ca="1">INDIRECT($B5&amp;"!M100")</f>
        <v>22962.37</v>
      </c>
      <c r="AU5" s="813" cm="1">
        <f t="array" aca="1" ref="AU5" ca="1">INDIRECT($B5&amp;"!M103")+INDIRECT($B5&amp;"!M104")</f>
        <v>136505.02000000002</v>
      </c>
      <c r="AV5" s="813" cm="1">
        <f t="array" aca="1" ref="AV5" ca="1">INDIRECT($B5&amp;"!M36")</f>
        <v>46717.47</v>
      </c>
      <c r="AW5" s="813" cm="1">
        <f t="array" aca="1" ref="AW5" ca="1">INDIRECT($B5&amp;"!M105")-AV5</f>
        <v>25447.990000000005</v>
      </c>
      <c r="AX5" s="813" t="e">
        <f>SUMIFS([1]能源!C:C,[1]能源!A:A,D5,[1]能源!B:B,"Electricity 电费")</f>
        <v>#VALUE!</v>
      </c>
      <c r="AY5" s="813" t="e">
        <f>SUMIFS([1]能源!C:C,[1]能源!A:A,D5,[1]能源!B:B,"Steam 蒸汽费")+SUMIFS([1]能源!C:C,[1]能源!A:A,D5,[1]能源!B:B,"Geothermal water 地热水")+SUMIFS([1]能源!C:C,[1]能源!A:A,D5,[1]能源!B:B,"Water 水费")</f>
        <v>#VALUE!</v>
      </c>
      <c r="AZ5" s="813" t="e">
        <f>SUMIFS([1]能源!C:C,[1]能源!A:A,D5,[1]能源!B:B,"Gas 煤气费")+SUMIFS([1]能源!C:C,[1]能源!A:A,D5,[1]能源!B:B,"Oil 燃油费")</f>
        <v>#VALUE!</v>
      </c>
      <c r="BA5" s="813" t="e">
        <f>SUMIFS([1]能源!C:C,[1]能源!A:A,D5,[1]能源!B:B,"Heating 暖气")</f>
        <v>#VALUE!</v>
      </c>
      <c r="BB5" s="813" t="e">
        <f>SUM(AX5:BA5)</f>
        <v>#VALUE!</v>
      </c>
      <c r="BC5" s="815" t="e">
        <f ca="1">BB5/F5</f>
        <v>#VALUE!</v>
      </c>
      <c r="BD5" s="813" t="e" cm="1">
        <f t="array" aca="1" ref="BD5" ca="1">INDIRECT($B5&amp;"!M101")-SUM(AX5:BA5)</f>
        <v>#VALUE!</v>
      </c>
      <c r="BG5" s="813" cm="1">
        <f t="array" aca="1" ref="BG5" ca="1">INDIRECT($B5&amp;"!M119")</f>
        <v>0</v>
      </c>
      <c r="BI5" s="813" cm="1">
        <f t="array" aca="1" ref="BI5" ca="1">INDIRECT($B5&amp;"!M116")</f>
        <v>418282.09</v>
      </c>
      <c r="BK5" s="813" cm="1">
        <f t="array" aca="1" ref="BK5" ca="1">INDIRECT($B5&amp;"!M123")</f>
        <v>103771.03694999999</v>
      </c>
      <c r="BM5" s="813" cm="1">
        <f t="array" aca="1" ref="BM5" ca="1">INDIRECT($B5&amp;"!M117")</f>
        <v>0</v>
      </c>
      <c r="BN5" s="813" cm="1">
        <f t="array" aca="1" ref="BN5" ca="1">INDIRECT($B5&amp;"!M118")+INDIRECT($B5&amp;"!M120")</f>
        <v>3.84</v>
      </c>
      <c r="BP5" s="813" cm="1">
        <f t="array" aca="1" ref="BP5" ca="1">-INDIRECT($B5&amp;"!M114")+INDIRECT($B5&amp;"!M115")-BG5-BI5-BM5-BN5</f>
        <v>-3.2596148002994596E-11</v>
      </c>
    </row>
    <row r="6" spans="1:68">
      <c r="A6" s="759" t="s">
        <v>30</v>
      </c>
      <c r="B6" s="759" t="s">
        <v>142</v>
      </c>
      <c r="C6" s="759" t="s">
        <v>30</v>
      </c>
      <c r="D6" s="770" t="s">
        <v>143</v>
      </c>
      <c r="E6" s="831">
        <f t="shared" ref="E6:E38" ca="1" si="8">SUM(G6:M6)-F6</f>
        <v>0</v>
      </c>
      <c r="F6" s="814" cm="1">
        <f t="array" aca="1" ref="F6" ca="1">INDIRECT($B6&amp;"!M16")</f>
        <v>129030.87</v>
      </c>
      <c r="G6" s="814" cm="1">
        <f t="array" aca="1" ref="G6" ca="1">INDIRECT($B6&amp;"!M43")</f>
        <v>55218.59</v>
      </c>
      <c r="H6" s="814" cm="1">
        <f t="array" aca="1" ref="H6" ca="1">INDIRECT($B6&amp;"!M52")+INDIRECT($B6&amp;"!M53")</f>
        <v>60025.47</v>
      </c>
      <c r="I6" s="814" cm="1">
        <f t="array" aca="1" ref="I6" ca="1">INDIRECT($B6&amp;"!M55")</f>
        <v>1226.42</v>
      </c>
      <c r="J6" s="814" cm="1">
        <f t="array" aca="1" ref="J6" ca="1">INDIRECT($B6&amp;"!M54")</f>
        <v>11223.01</v>
      </c>
      <c r="K6" s="814" cm="1">
        <f t="array" aca="1" ref="K6" ca="1">INDIRECT($B6&amp;"!M75")</f>
        <v>1070.3399999999999</v>
      </c>
      <c r="L6" s="814" cm="1">
        <f t="array" aca="1" ref="L6" ca="1">INDIRECT($B6&amp;"!M69")+INDIRECT($B6&amp;"!M70")</f>
        <v>0</v>
      </c>
      <c r="M6" s="814" cm="1">
        <f t="array" aca="1" ref="M6" ca="1">INDIRECT($B6&amp;"!M77")-INDIRECT($B6&amp;"!M75")-INDIRECT($B6&amp;"!M69")-INDIRECT($B6&amp;"!M70")</f>
        <v>267.04000000000019</v>
      </c>
      <c r="N6" s="814" cm="1">
        <f t="array" aca="1" ref="N6" ca="1">INDIRECT($B6&amp;"!M115")</f>
        <v>236.25</v>
      </c>
      <c r="O6" s="814">
        <f t="shared" ca="1" si="7"/>
        <v>129267.11999999998</v>
      </c>
      <c r="P6" s="813" cm="1">
        <f t="array" aca="1" ref="P6" ca="1">INDIRECT($B6&amp;"!M31")</f>
        <v>249064.22</v>
      </c>
      <c r="Q6" s="815">
        <f t="shared" ca="1" si="1"/>
        <v>1.9302684698630646</v>
      </c>
      <c r="R6" s="813" cm="1">
        <f t="array" aca="1" ref="R6" ca="1">INDIRECT($B6&amp;"!M34")</f>
        <v>137540.37</v>
      </c>
      <c r="S6" s="815">
        <f t="shared" ca="1" si="2"/>
        <v>1.0659493344499653</v>
      </c>
      <c r="T6" s="813" cm="1">
        <f t="array" aca="1" ref="T6" ca="1">INDIRECT($B6&amp;"!M38")</f>
        <v>5609.22</v>
      </c>
      <c r="V6" s="815">
        <f t="shared" ca="1" si="3"/>
        <v>4.3471922649207906E-2</v>
      </c>
      <c r="W6" s="813" cm="1">
        <f t="array" aca="1" ref="W6" ca="1">INDIRECT($B6&amp;"!M36")</f>
        <v>16743.95</v>
      </c>
      <c r="X6" s="815">
        <f t="shared" ca="1" si="5"/>
        <v>0.1297670084685936</v>
      </c>
      <c r="Y6" s="813" t="e">
        <f>SUMIFS([1]客房!D:D,[1]客房!B:B,D6,[1]客房!C:C,"Reservation Fees 预订成本")</f>
        <v>#VALUE!</v>
      </c>
      <c r="Z6" s="813" t="e">
        <f>SUMIFS([1]客房!D:D,[1]客房!B:B,D6,[1]客房!C:C,"  Total Cost of Sales 总销售成本")</f>
        <v>#VALUE!</v>
      </c>
      <c r="AA6" s="813" cm="1">
        <f t="array" aca="1" ref="AA6" ca="1">INDIRECT($B6&amp;"!M44")+INDIRECT($B6&amp;"!M45")</f>
        <v>67920.540000000008</v>
      </c>
      <c r="AB6" s="813" t="e">
        <f>SUMIFS([1]客房!D:D,[1]客房!B:B,D6,[1]客房!C:C,"Laundry 洗涤费")</f>
        <v>#VALUE!</v>
      </c>
      <c r="AC6" s="813" t="e" cm="1">
        <f t="array" aca="1" ref="AC6" ca="1">INDIRECT($B6&amp;"!M46")-Y6-Z6-AB6</f>
        <v>#VALUE!</v>
      </c>
      <c r="AD6" s="813" t="e" cm="1">
        <f t="array" aca="1" ref="AD6" ca="1">INDIRECT($B6&amp;"!M47")-SUM(Y6:AC6)</f>
        <v>#VALUE!</v>
      </c>
      <c r="AF6" s="813" cm="1">
        <f t="array" aca="1" ref="AF6" ca="1">INDIRECT($B6&amp;"!M60")</f>
        <v>37828.449999999997</v>
      </c>
      <c r="AG6" s="813" cm="1">
        <f t="array" aca="1" ref="AG6" ca="1">INDIRECT($B6&amp;"!M61")+INDIRECT($B6&amp;"!M62")</f>
        <v>73474.97</v>
      </c>
      <c r="AH6" s="813" t="e">
        <f>SUMIFS([1]餐饮!D:D,[1]餐饮!B:B,D6,[1]餐饮!C:C,"Laundry 洗涤费")</f>
        <v>#VALUE!</v>
      </c>
      <c r="AI6" s="813" t="e" cm="1">
        <f t="array" aca="1" ref="AI6" ca="1">INDIRECT($B6&amp;"!M63")-AH6</f>
        <v>#VALUE!</v>
      </c>
      <c r="AJ6" s="813" t="e" cm="1">
        <f t="array" aca="1" ref="AJ6" ca="1">INDIRECT($B6&amp;"!M64")-SUM(AE6:AI6)</f>
        <v>#VALUE!</v>
      </c>
      <c r="AK6" s="813" t="e">
        <f>SUMIFS([1]新零售!D:D,[1]新零售!B:B,D6,[1]新零售!C:C,"Total Cost of Sales 总销售成本")</f>
        <v>#VALUE!</v>
      </c>
      <c r="AL6" s="813" t="e">
        <f>SUMIFS([1]康乐温泉!C:C,[1]康乐温泉!A:A,D6,[1]康乐温泉!B:B,"Total Cost of Sales 总销售成本")+SUMIFS([1]康乐温泉!C:C,[1]康乐温泉!A:A,D6,[1]康乐温泉!B:B,"Total Other Expenses 其他费用合计")</f>
        <v>#VALUE!</v>
      </c>
      <c r="AP6" s="813" cm="1">
        <f t="array" aca="1" ref="AP6" ca="1">INDIRECT($B6&amp;"!M91")+INDIRECT($B6&amp;"!M92")</f>
        <v>40424.31</v>
      </c>
      <c r="AQ6" s="813" cm="1">
        <f t="array" aca="1" ref="AQ6" ca="1">INDIRECT($B6&amp;"!M93")+INDIRECT($B6&amp;"!M94")+INDIRECT($B6&amp;"!M95")+INDIRECT($B6&amp;"!M96")</f>
        <v>23036.61</v>
      </c>
      <c r="AR6" s="813" cm="1">
        <f t="array" aca="1" ref="AR6" ca="1">INDIRECT($B6&amp;"!M98")+INDIRECT($B6&amp;"!M99")</f>
        <v>28150.53</v>
      </c>
      <c r="AT6" s="813" cm="1">
        <f t="array" aca="1" ref="AT6" ca="1">INDIRECT($B6&amp;"!M100")</f>
        <v>2906.95</v>
      </c>
      <c r="AU6" s="813" cm="1">
        <f t="array" aca="1" ref="AU6" ca="1">INDIRECT($B6&amp;"!M103")+INDIRECT($B6&amp;"!M104")</f>
        <v>39093.870000000003</v>
      </c>
      <c r="AV6" s="813" cm="1">
        <f t="array" aca="1" ref="AV6" ca="1">INDIRECT($B6&amp;"!M36")</f>
        <v>16743.95</v>
      </c>
      <c r="AW6" s="813" cm="1">
        <f t="array" aca="1" ref="AW6" ca="1">INDIRECT($B6&amp;"!M105")-AV6</f>
        <v>-914.79000000000087</v>
      </c>
      <c r="AX6" s="813" t="e">
        <f>SUMIFS([1]能源!C:C,[1]能源!A:A,D6,[1]能源!B:B,"Electricity 电费")</f>
        <v>#VALUE!</v>
      </c>
      <c r="AY6" s="813" t="e">
        <f>SUMIFS([1]能源!C:C,[1]能源!A:A,D6,[1]能源!B:B,"Steam 蒸汽费")+SUMIFS([1]能源!C:C,[1]能源!A:A,D6,[1]能源!B:B,"Geothermal water 地热水")+SUMIFS([1]能源!C:C,[1]能源!A:A,D6,[1]能源!B:B,"Water 水费")</f>
        <v>#VALUE!</v>
      </c>
      <c r="AZ6" s="813" t="e">
        <f>SUMIFS([1]能源!C:C,[1]能源!A:A,D6,[1]能源!B:B,"Gas 煤气费")+SUMIFS([1]能源!C:C,[1]能源!A:A,D6,[1]能源!B:B,"Oil 燃油费")</f>
        <v>#VALUE!</v>
      </c>
      <c r="BA6" s="813" t="e">
        <f>SUMIFS([1]能源!C:C,[1]能源!A:A,D6,[1]能源!B:B,"Heating 暖气")</f>
        <v>#VALUE!</v>
      </c>
      <c r="BB6" s="813" t="e">
        <f t="shared" ref="BB6:BB38" si="9">SUM(AX6:BA6)</f>
        <v>#VALUE!</v>
      </c>
      <c r="BC6" s="815" t="e">
        <f t="shared" ref="BC6:BC38" ca="1" si="10">BB6/F6</f>
        <v>#VALUE!</v>
      </c>
      <c r="BD6" s="813" t="e" cm="1">
        <f t="array" aca="1" ref="BD6" ca="1">INDIRECT($B6&amp;"!M101")-SUM(AX6:BA6)</f>
        <v>#VALUE!</v>
      </c>
      <c r="BG6" s="813" cm="1">
        <f t="array" aca="1" ref="BG6" ca="1">INDIRECT($B6&amp;"!M119")</f>
        <v>0</v>
      </c>
      <c r="BI6" s="813" cm="1">
        <f t="array" aca="1" ref="BI6" ca="1">INDIRECT($B6&amp;"!M116")</f>
        <v>146702.15</v>
      </c>
      <c r="BK6" s="813" cm="1">
        <f t="array" aca="1" ref="BK6" ca="1">INDIRECT($B6&amp;"!M123")</f>
        <v>0</v>
      </c>
      <c r="BM6" s="813" cm="1">
        <f t="array" aca="1" ref="BM6" ca="1">INDIRECT($B6&amp;"!M117")</f>
        <v>0</v>
      </c>
      <c r="BN6" s="813" cm="1">
        <f t="array" aca="1" ref="BN6" ca="1">INDIRECT($B6&amp;"!M118")+INDIRECT($B6&amp;"!M120")</f>
        <v>0</v>
      </c>
      <c r="BP6" s="813" cm="1">
        <f t="array" aca="1" ref="BP6" ca="1">-INDIRECT($B6&amp;"!M114")+INDIRECT($B6&amp;"!M115")-BG6-BI6-BM6-BN6</f>
        <v>0</v>
      </c>
    </row>
    <row r="7" spans="1:68">
      <c r="A7" s="759" t="s">
        <v>32</v>
      </c>
      <c r="B7" s="759" t="s">
        <v>144</v>
      </c>
      <c r="C7" s="759" t="s">
        <v>32</v>
      </c>
      <c r="D7" s="770" t="s">
        <v>145</v>
      </c>
      <c r="E7" s="831">
        <f t="shared" ca="1" si="8"/>
        <v>0</v>
      </c>
      <c r="F7" s="814" cm="1">
        <f t="array" aca="1" ref="F7" ca="1">INDIRECT($B7&amp;"!M16")</f>
        <v>1136568.83</v>
      </c>
      <c r="G7" s="814" cm="1">
        <f t="array" aca="1" ref="G7" ca="1">INDIRECT($B7&amp;"!M43")</f>
        <v>512343.26</v>
      </c>
      <c r="H7" s="814" cm="1">
        <f t="array" aca="1" ref="H7" ca="1">INDIRECT($B7&amp;"!M52")+INDIRECT($B7&amp;"!M53")</f>
        <v>506449.08</v>
      </c>
      <c r="I7" s="814" cm="1">
        <f t="array" aca="1" ref="I7" ca="1">INDIRECT($B7&amp;"!M55")</f>
        <v>72357.850000000006</v>
      </c>
      <c r="J7" s="814" cm="1">
        <f t="array" aca="1" ref="J7" ca="1">INDIRECT($B7&amp;"!M54")</f>
        <v>7236.3</v>
      </c>
      <c r="K7" s="814" cm="1">
        <f t="array" aca="1" ref="K7" ca="1">INDIRECT($B7&amp;"!M75")</f>
        <v>36757.129999999997</v>
      </c>
      <c r="L7" s="814" cm="1">
        <f t="array" aca="1" ref="L7" ca="1">INDIRECT($B7&amp;"!M69")+INDIRECT($B7&amp;"!M70")</f>
        <v>0</v>
      </c>
      <c r="M7" s="814" cm="1">
        <f t="array" aca="1" ref="M7" ca="1">INDIRECT($B7&amp;"!M77")-INDIRECT($B7&amp;"!M75")-INDIRECT($B7&amp;"!M69")-INDIRECT($B7&amp;"!M70")</f>
        <v>1425.2099999999991</v>
      </c>
      <c r="N7" s="814" cm="1">
        <f t="array" aca="1" ref="N7" ca="1">INDIRECT($B7&amp;"!M115")</f>
        <v>201.07</v>
      </c>
      <c r="O7" s="814">
        <f t="shared" ca="1" si="7"/>
        <v>1136769.9000000001</v>
      </c>
      <c r="P7" s="813" cm="1">
        <f t="array" aca="1" ref="P7" ca="1">INDIRECT($B7&amp;"!M31")</f>
        <v>539485.22</v>
      </c>
      <c r="Q7" s="815">
        <f t="shared" ca="1" si="1"/>
        <v>0.4746612838221157</v>
      </c>
      <c r="R7" s="813" cm="1">
        <f t="array" aca="1" ref="R7" ca="1">INDIRECT($B7&amp;"!M34")</f>
        <v>132997.87</v>
      </c>
      <c r="S7" s="815">
        <f t="shared" ca="1" si="2"/>
        <v>0.11701699579426263</v>
      </c>
      <c r="T7" s="813" cm="1">
        <f t="array" aca="1" ref="T7" ca="1">INDIRECT($B7&amp;"!M38")</f>
        <v>16269.54</v>
      </c>
      <c r="V7" s="815">
        <f t="shared" ca="1" si="3"/>
        <v>1.4314610405073312E-2</v>
      </c>
      <c r="W7" s="813" cm="1">
        <f t="array" aca="1" ref="W7" ca="1">INDIRECT($B7&amp;"!M36")</f>
        <v>18239.38</v>
      </c>
      <c r="X7" s="815">
        <f t="shared" ca="1" si="5"/>
        <v>1.6047756650162576E-2</v>
      </c>
      <c r="Y7" s="813" t="e">
        <f>SUMIFS([1]客房!D:D,[1]客房!B:B,D7,[1]客房!C:C,"Reservation Fees 预订成本")</f>
        <v>#VALUE!</v>
      </c>
      <c r="Z7" s="813" t="e">
        <f>SUMIFS([1]客房!D:D,[1]客房!B:B,D7,[1]客房!C:C,"  Total Cost of Sales 总销售成本")</f>
        <v>#VALUE!</v>
      </c>
      <c r="AA7" s="813" cm="1">
        <f t="array" aca="1" ref="AA7" ca="1">INDIRECT($B7&amp;"!M44")+INDIRECT($B7&amp;"!M45")</f>
        <v>107117.70000000001</v>
      </c>
      <c r="AB7" s="813" t="e">
        <f>SUMIFS([1]客房!D:D,[1]客房!B:B,D7,[1]客房!C:C,"Laundry 洗涤费")</f>
        <v>#VALUE!</v>
      </c>
      <c r="AC7" s="813" t="e" cm="1">
        <f t="array" aca="1" ref="AC7" ca="1">INDIRECT($B7&amp;"!M46")-Y7-Z7-AB7</f>
        <v>#VALUE!</v>
      </c>
      <c r="AD7" s="813" t="e" cm="1">
        <f t="array" aca="1" ref="AD7" ca="1">INDIRECT($B7&amp;"!M47")-SUM(Y7:AC7)</f>
        <v>#VALUE!</v>
      </c>
      <c r="AF7" s="813" cm="1">
        <f t="array" aca="1" ref="AF7" ca="1">INDIRECT($B7&amp;"!M60")</f>
        <v>236757.11</v>
      </c>
      <c r="AG7" s="813" cm="1">
        <f t="array" aca="1" ref="AG7" ca="1">INDIRECT($B7&amp;"!M61")+INDIRECT($B7&amp;"!M62")</f>
        <v>182939.63999999998</v>
      </c>
      <c r="AH7" s="813" t="e">
        <f>SUMIFS([1]餐饮!D:D,[1]餐饮!B:B,D7,[1]餐饮!C:C,"Laundry 洗涤费")</f>
        <v>#VALUE!</v>
      </c>
      <c r="AI7" s="813" t="e" cm="1">
        <f t="array" aca="1" ref="AI7" ca="1">INDIRECT($B7&amp;"!M63")-AH7</f>
        <v>#VALUE!</v>
      </c>
      <c r="AJ7" s="813" t="e" cm="1">
        <f t="array" aca="1" ref="AJ7" ca="1">INDIRECT($B7&amp;"!M64")-SUM(AE7:AI7)</f>
        <v>#VALUE!</v>
      </c>
      <c r="AK7" s="813" t="e">
        <f>SUMIFS([1]新零售!D:D,[1]新零售!B:B,D7,[1]新零售!C:C,"Total Cost of Sales 总销售成本")</f>
        <v>#VALUE!</v>
      </c>
      <c r="AL7" s="813" t="e">
        <f>SUMIFS([1]康乐温泉!C:C,[1]康乐温泉!A:A,D7,[1]康乐温泉!B:B,"Total Cost of Sales 总销售成本")+SUMIFS([1]康乐温泉!C:C,[1]康乐温泉!A:A,D7,[1]康乐温泉!B:B,"Total Other Expenses 其他费用合计")</f>
        <v>#VALUE!</v>
      </c>
      <c r="AP7" s="813" cm="1">
        <f t="array" aca="1" ref="AP7" ca="1">INDIRECT($B7&amp;"!M91")+INDIRECT($B7&amp;"!M92")</f>
        <v>103554.28</v>
      </c>
      <c r="AQ7" s="813" cm="1">
        <f t="array" aca="1" ref="AQ7" ca="1">INDIRECT($B7&amp;"!M93")+INDIRECT($B7&amp;"!M94")+INDIRECT($B7&amp;"!M95")+INDIRECT($B7&amp;"!M96")</f>
        <v>25160.42</v>
      </c>
      <c r="AR7" s="813" cm="1">
        <f t="array" aca="1" ref="AR7" ca="1">INDIRECT($B7&amp;"!M98")+INDIRECT($B7&amp;"!M99")</f>
        <v>79186.350000000006</v>
      </c>
      <c r="AT7" s="813" cm="1">
        <f t="array" aca="1" ref="AT7" ca="1">INDIRECT($B7&amp;"!M100")</f>
        <v>15316.58</v>
      </c>
      <c r="AU7" s="813" cm="1">
        <f t="array" aca="1" ref="AU7" ca="1">INDIRECT($B7&amp;"!M103")+INDIRECT($B7&amp;"!M104")</f>
        <v>66687.25</v>
      </c>
      <c r="AV7" s="813" cm="1">
        <f t="array" aca="1" ref="AV7" ca="1">INDIRECT($B7&amp;"!M36")</f>
        <v>18239.38</v>
      </c>
      <c r="AW7" s="813" cm="1">
        <f t="array" aca="1" ref="AW7" ca="1">INDIRECT($B7&amp;"!M105")-AV7</f>
        <v>4448.07</v>
      </c>
      <c r="AX7" s="813" t="e">
        <f>SUMIFS([1]能源!C:C,[1]能源!A:A,D7,[1]能源!B:B,"Electricity 电费")</f>
        <v>#VALUE!</v>
      </c>
      <c r="AY7" s="813" t="e">
        <f>SUMIFS([1]能源!C:C,[1]能源!A:A,D7,[1]能源!B:B,"Steam 蒸汽费")+SUMIFS([1]能源!C:C,[1]能源!A:A,D7,[1]能源!B:B,"Geothermal water 地热水")+SUMIFS([1]能源!C:C,[1]能源!A:A,D7,[1]能源!B:B,"Water 水费")</f>
        <v>#VALUE!</v>
      </c>
      <c r="AZ7" s="813" t="e">
        <f>SUMIFS([1]能源!C:C,[1]能源!A:A,D7,[1]能源!B:B,"Gas 煤气费")+SUMIFS([1]能源!C:C,[1]能源!A:A,D7,[1]能源!B:B,"Oil 燃油费")</f>
        <v>#VALUE!</v>
      </c>
      <c r="BA7" s="813" t="e">
        <f>SUMIFS([1]能源!C:C,[1]能源!A:A,D7,[1]能源!B:B,"Heating 暖气")</f>
        <v>#VALUE!</v>
      </c>
      <c r="BB7" s="813" t="e">
        <f t="shared" si="9"/>
        <v>#VALUE!</v>
      </c>
      <c r="BC7" s="815" t="e">
        <f t="shared" ca="1" si="10"/>
        <v>#VALUE!</v>
      </c>
      <c r="BD7" s="813" t="e" cm="1">
        <f t="array" aca="1" ref="BD7" ca="1">INDIRECT($B7&amp;"!M101")-SUM(AX7:BA7)</f>
        <v>#VALUE!</v>
      </c>
      <c r="BG7" s="813" cm="1">
        <f t="array" aca="1" ref="BG7" ca="1">INDIRECT($B7&amp;"!M119")</f>
        <v>0</v>
      </c>
      <c r="BI7" s="813" cm="1">
        <f t="array" aca="1" ref="BI7" ca="1">INDIRECT($B7&amp;"!M116")</f>
        <v>0</v>
      </c>
      <c r="BK7" s="813" cm="1">
        <f t="array" aca="1" ref="BK7" ca="1">INDIRECT($B7&amp;"!M123")</f>
        <v>0</v>
      </c>
      <c r="BM7" s="813" cm="1">
        <f t="array" aca="1" ref="BM7" ca="1">INDIRECT($B7&amp;"!M117")</f>
        <v>139147.03</v>
      </c>
      <c r="BN7" s="813" cm="1">
        <f t="array" aca="1" ref="BN7" ca="1">INDIRECT($B7&amp;"!M118")+INDIRECT($B7&amp;"!M120")</f>
        <v>0</v>
      </c>
      <c r="BP7" s="813" cm="1">
        <f t="array" aca="1" ref="BP7" ca="1">-INDIRECT($B7&amp;"!M114")+INDIRECT($B7&amp;"!M115")-BG7-BI7-BM7-BN7</f>
        <v>0</v>
      </c>
    </row>
    <row r="8" spans="1:68">
      <c r="A8" s="759" t="s">
        <v>33</v>
      </c>
      <c r="B8" s="759" t="s">
        <v>146</v>
      </c>
      <c r="C8" s="759" t="s">
        <v>147</v>
      </c>
      <c r="D8" s="770" t="s">
        <v>148</v>
      </c>
      <c r="E8" s="831" t="e">
        <f t="shared" ca="1" si="8"/>
        <v>#REF!</v>
      </c>
      <c r="F8" s="814" t="e" cm="1">
        <f t="array" aca="1" ref="F8" ca="1">INDIRECT($B8&amp;"!M16")</f>
        <v>#REF!</v>
      </c>
      <c r="G8" s="814" t="e" cm="1">
        <f t="array" aca="1" ref="G8" ca="1">INDIRECT($B8&amp;"!M43")</f>
        <v>#REF!</v>
      </c>
      <c r="H8" s="814" t="e" cm="1">
        <f t="array" aca="1" ref="H8" ca="1">INDIRECT($B8&amp;"!M52")+INDIRECT($B8&amp;"!M53")</f>
        <v>#REF!</v>
      </c>
      <c r="I8" s="814" t="e" cm="1">
        <f t="array" aca="1" ref="I8" ca="1">INDIRECT($B8&amp;"!M55")</f>
        <v>#REF!</v>
      </c>
      <c r="J8" s="814" t="e" cm="1">
        <f t="array" aca="1" ref="J8" ca="1">INDIRECT($B8&amp;"!M54")</f>
        <v>#REF!</v>
      </c>
      <c r="K8" s="814" t="e" cm="1">
        <f t="array" aca="1" ref="K8" ca="1">INDIRECT($B8&amp;"!M75")</f>
        <v>#REF!</v>
      </c>
      <c r="L8" s="814" t="e" cm="1">
        <f t="array" aca="1" ref="L8" ca="1">INDIRECT($B8&amp;"!M69")+INDIRECT($B8&amp;"!M70")</f>
        <v>#REF!</v>
      </c>
      <c r="M8" s="814" t="e" cm="1">
        <f t="array" aca="1" ref="M8" ca="1">INDIRECT($B8&amp;"!M77")-INDIRECT($B8&amp;"!M75")-INDIRECT($B8&amp;"!M69")-INDIRECT($B8&amp;"!M70")</f>
        <v>#REF!</v>
      </c>
      <c r="N8" s="814" t="e" cm="1">
        <f t="array" aca="1" ref="N8" ca="1">INDIRECT($B8&amp;"!M115")</f>
        <v>#REF!</v>
      </c>
      <c r="O8" s="814" t="e">
        <f t="shared" ca="1" si="7"/>
        <v>#REF!</v>
      </c>
      <c r="P8" s="813" t="e" cm="1">
        <f t="array" aca="1" ref="P8" ca="1">INDIRECT($B8&amp;"!M31")</f>
        <v>#REF!</v>
      </c>
      <c r="Q8" s="815" t="e">
        <f t="shared" ca="1" si="1"/>
        <v>#REF!</v>
      </c>
      <c r="R8" s="813" t="e" cm="1">
        <f t="array" aca="1" ref="R8" ca="1">INDIRECT($B8&amp;"!M34")</f>
        <v>#REF!</v>
      </c>
      <c r="S8" s="815" t="e">
        <f t="shared" ca="1" si="2"/>
        <v>#REF!</v>
      </c>
      <c r="T8" s="813" t="e" cm="1">
        <f t="array" aca="1" ref="T8" ca="1">INDIRECT($B8&amp;"!M38")</f>
        <v>#REF!</v>
      </c>
      <c r="V8" s="815" t="e">
        <f t="shared" ca="1" si="3"/>
        <v>#REF!</v>
      </c>
      <c r="W8" s="813" t="e" cm="1">
        <f t="array" aca="1" ref="W8" ca="1">INDIRECT($B8&amp;"!M36")</f>
        <v>#REF!</v>
      </c>
      <c r="X8" s="815" t="e">
        <f t="shared" ca="1" si="5"/>
        <v>#REF!</v>
      </c>
      <c r="Y8" s="832" t="e">
        <f>SUMIFS([1]客房!D:D,[1]客房!B:B,D8,[1]客房!C:C,"Reservation Fees 预订成本")+SUMIFS([1]客房!D:D,[1]客房!B:B,"海南临高碧桂园房地产开发有限公司酒店分公司",[1]客房!C:C,"Reservation Fees 预订成本")</f>
        <v>#VALUE!</v>
      </c>
      <c r="Z8" s="832" t="e">
        <f>SUMIFS([1]客房!D:D,[1]客房!B:B,D8,[1]客房!C:C,"  Total Cost of Sales 总销售成本")+SUMIFS([1]客房!D:D,[1]客房!B:B,"海南临高碧桂园房地产开发有限公司酒店分公司",[1]客房!C:C,"  Total Cost of Sales 总销售成本")</f>
        <v>#VALUE!</v>
      </c>
      <c r="AA8" s="813" t="e" cm="1">
        <f t="array" aca="1" ref="AA8" ca="1">INDIRECT($B8&amp;"!M44")+INDIRECT($B8&amp;"!M45")</f>
        <v>#REF!</v>
      </c>
      <c r="AB8" s="832" t="e">
        <f>SUMIFS([1]客房!D:D,[1]客房!B:B,D8,[1]客房!C:C,"Laundry 洗涤费")+SUMIFS([1]客房!D:D,[1]客房!B:B,"海南临高碧桂园房地产开发有限公司酒店分公司",[1]客房!C:C,"Laundry 洗涤费")</f>
        <v>#VALUE!</v>
      </c>
      <c r="AC8" s="813" t="e" cm="1">
        <f t="array" aca="1" ref="AC8" ca="1">INDIRECT($B8&amp;"!M46")-Y8-Z8-AB8</f>
        <v>#REF!</v>
      </c>
      <c r="AD8" s="813" t="e" cm="1">
        <f t="array" aca="1" ref="AD8" ca="1">INDIRECT($B8&amp;"!M47")-SUM(Y8:AC8)</f>
        <v>#REF!</v>
      </c>
      <c r="AF8" s="813" t="e" cm="1">
        <f t="array" aca="1" ref="AF8" ca="1">INDIRECT($B8&amp;"!M60")</f>
        <v>#REF!</v>
      </c>
      <c r="AG8" s="813" t="e" cm="1">
        <f t="array" aca="1" ref="AG8" ca="1">INDIRECT($B8&amp;"!M61")+INDIRECT($B8&amp;"!M62")</f>
        <v>#REF!</v>
      </c>
      <c r="AH8" s="832" t="e">
        <f>SUMIFS([1]餐饮!D:D,[1]餐饮!B:B,D8,[1]餐饮!C:C,"Laundry 洗涤费")+SUMIFS([1]餐饮!D:D,[1]餐饮!B:B,"海南临高碧桂园房地产开发有限公司酒店分公司",[1]餐饮!C:C,"Laundry 洗涤费")</f>
        <v>#VALUE!</v>
      </c>
      <c r="AI8" s="813" t="e" cm="1">
        <f t="array" aca="1" ref="AI8" ca="1">INDIRECT($B8&amp;"!M63")-AH8</f>
        <v>#REF!</v>
      </c>
      <c r="AJ8" s="813" t="e" cm="1">
        <f t="array" aca="1" ref="AJ8" ca="1">INDIRECT($B8&amp;"!M64")-SUM(AE8:AI8)</f>
        <v>#REF!</v>
      </c>
      <c r="AK8" s="832" t="e">
        <f>SUMIFS([1]新零售!D:D,[1]新零售!B:B,D8,[1]新零售!C:C,"Total Cost of Sales 总销售成本")+SUMIFS([1]新零售!D:D,[1]新零售!B:B,"海南临高碧桂园房地产开发有限公司酒店分公司",[1]新零售!C:C,"Total Cost of Sales 总销售成本")</f>
        <v>#VALUE!</v>
      </c>
      <c r="AL8" s="832" t="e">
        <f>SUMIFS([1]康乐温泉!C:C,[1]康乐温泉!A:A,D8,[1]康乐温泉!B:B,"Total Cost of Sales 总销售成本")+SUMIFS([1]康乐温泉!C:C,[1]康乐温泉!A:A,D8,[1]康乐温泉!B:B,"Total Other Expenses 其他费用合计")+SUMIFS([1]康乐温泉!C:C,[1]康乐温泉!A:A,"海南临高碧桂园房地产开发有限公司酒店分公司",[1]康乐温泉!B:B,"Total Cost of Sales 总销售成本")+SUMIFS([1]康乐温泉!C:C,[1]康乐温泉!A:A,"海南临高碧桂园房地产开发有限公司酒店分公司",[1]康乐温泉!B:B,"Total Other Expenses 其他费用合计")</f>
        <v>#VALUE!</v>
      </c>
      <c r="AP8" s="813" t="e" cm="1">
        <f t="array" aca="1" ref="AP8" ca="1">INDIRECT($B8&amp;"!M91")+INDIRECT($B8&amp;"!M92")</f>
        <v>#REF!</v>
      </c>
      <c r="AQ8" s="813" t="e" cm="1">
        <f t="array" aca="1" ref="AQ8" ca="1">INDIRECT($B8&amp;"!M93")+INDIRECT($B8&amp;"!M94")+INDIRECT($B8&amp;"!M95")+INDIRECT($B8&amp;"!M96")</f>
        <v>#REF!</v>
      </c>
      <c r="AR8" s="813" t="e" cm="1">
        <f t="array" aca="1" ref="AR8" ca="1">INDIRECT($B8&amp;"!M98")+INDIRECT($B8&amp;"!M99")</f>
        <v>#REF!</v>
      </c>
      <c r="AT8" s="813" t="e" cm="1">
        <f t="array" aca="1" ref="AT8" ca="1">INDIRECT($B8&amp;"!M100")</f>
        <v>#REF!</v>
      </c>
      <c r="AU8" s="813" t="e" cm="1">
        <f t="array" aca="1" ref="AU8" ca="1">INDIRECT($B8&amp;"!M103")+INDIRECT($B8&amp;"!M104")</f>
        <v>#REF!</v>
      </c>
      <c r="AV8" s="813" t="e" cm="1">
        <f t="array" aca="1" ref="AV8" ca="1">INDIRECT($B8&amp;"!M36")</f>
        <v>#REF!</v>
      </c>
      <c r="AW8" s="813" t="e" cm="1">
        <f t="array" aca="1" ref="AW8" ca="1">INDIRECT($B8&amp;"!M105")-AV8</f>
        <v>#REF!</v>
      </c>
      <c r="AX8" s="832" t="e">
        <f>SUMIFS([1]能源!C:C,[1]能源!A:A,D8,[1]能源!B:B,"Electricity 电费")+SUMIFS([1]能源!C:C,[1]能源!A:A,"海南临高碧桂园房地产开发有限公司酒店分公司",[1]能源!B:B,"Electricity 电费")</f>
        <v>#VALUE!</v>
      </c>
      <c r="AY8" s="832" t="e">
        <f>SUMIFS([1]能源!C:C,[1]能源!A:A,D8,[1]能源!B:B,"Steam 蒸汽费")+SUMIFS([1]能源!C:C,[1]能源!A:A,D8,[1]能源!B:B,"Geothermal water 地热水")+SUMIFS([1]能源!C:C,[1]能源!A:A,D8,[1]能源!B:B,"Water 水费")+SUMIFS([1]能源!C:C,[1]能源!A:A,"海南临高碧桂园房地产开发有限公司酒店分公司",[1]能源!B:B,"Steam 蒸汽费")+SUMIFS([1]能源!C:C,[1]能源!A:A,"海南临高碧桂园房地产开发有限公司酒店分公司",[1]能源!B:B,"Geothermal water 地热水")+SUMIFS([1]能源!C:C,[1]能源!A:A,"海南临高碧桂园房地产开发有限公司酒店分公司",[1]能源!B:B,"Water 水费")</f>
        <v>#VALUE!</v>
      </c>
      <c r="AZ8" s="832" t="e">
        <f>SUMIFS([1]能源!C:C,[1]能源!A:A,D8,[1]能源!B:B,"Gas 煤气费")+SUMIFS([1]能源!C:C,[1]能源!A:A,D8,[1]能源!B:B,"Oil 燃油费")+SUMIFS([1]能源!C:C,[1]能源!A:A,"海南临高碧桂园房地产开发有限公司酒店分公司",[1]能源!B:B,"Gas 煤气费")+SUMIFS([1]能源!C:C,[1]能源!A:A,"海南临高碧桂园房地产开发有限公司酒店分公司",[1]能源!B:B,"Oil 燃油费")</f>
        <v>#VALUE!</v>
      </c>
      <c r="BA8" s="832" t="e">
        <f>SUMIFS([1]能源!C:C,[1]能源!A:A,D8,[1]能源!B:B,"Heating 暖气")+SUMIFS([1]能源!C:C,[1]能源!A:A,"海南临高碧桂园房地产开发有限公司酒店分公司",[1]能源!B:B,"Heating 暖气")</f>
        <v>#VALUE!</v>
      </c>
      <c r="BB8" s="813" t="e">
        <f t="shared" si="9"/>
        <v>#VALUE!</v>
      </c>
      <c r="BC8" s="815" t="e">
        <f t="shared" ca="1" si="10"/>
        <v>#VALUE!</v>
      </c>
      <c r="BD8" s="813" t="e" cm="1">
        <f t="array" aca="1" ref="BD8" ca="1">INDIRECT($B8&amp;"!M101")-SUM(AX8:BA8)</f>
        <v>#REF!</v>
      </c>
      <c r="BG8" s="813" t="e" cm="1">
        <f t="array" aca="1" ref="BG8" ca="1">INDIRECT($B8&amp;"!M119")</f>
        <v>#REF!</v>
      </c>
      <c r="BI8" s="813" t="e" cm="1">
        <f t="array" aca="1" ref="BI8" ca="1">INDIRECT($B8&amp;"!M116")</f>
        <v>#REF!</v>
      </c>
      <c r="BK8" s="813" t="e" cm="1">
        <f t="array" aca="1" ref="BK8" ca="1">INDIRECT($B8&amp;"!M123")</f>
        <v>#REF!</v>
      </c>
      <c r="BM8" s="813" t="e" cm="1">
        <f t="array" aca="1" ref="BM8" ca="1">INDIRECT($B8&amp;"!M117")</f>
        <v>#REF!</v>
      </c>
      <c r="BN8" s="813" t="e" cm="1">
        <f t="array" aca="1" ref="BN8" ca="1">INDIRECT($B8&amp;"!M118")+INDIRECT($B8&amp;"!M120")</f>
        <v>#REF!</v>
      </c>
      <c r="BP8" s="813" t="e" cm="1">
        <f t="array" aca="1" ref="BP8" ca="1">-INDIRECT($B8&amp;"!M114")+INDIRECT($B8&amp;"!M115")-BG8-BI8-BM8-BN8</f>
        <v>#REF!</v>
      </c>
    </row>
    <row r="9" spans="1:68">
      <c r="A9" s="759" t="s">
        <v>67</v>
      </c>
      <c r="B9" s="759" t="s">
        <v>149</v>
      </c>
      <c r="C9" s="759" t="s">
        <v>34</v>
      </c>
      <c r="D9" s="770" t="s">
        <v>150</v>
      </c>
      <c r="E9" s="831" t="e">
        <f t="shared" ca="1" si="8"/>
        <v>#REF!</v>
      </c>
      <c r="F9" s="814" t="e" cm="1">
        <f t="array" aca="1" ref="F9" ca="1">INDIRECT($B9&amp;"!M16")</f>
        <v>#REF!</v>
      </c>
      <c r="G9" s="814" t="e" cm="1">
        <f t="array" aca="1" ref="G9" ca="1">INDIRECT($B9&amp;"!M43")</f>
        <v>#REF!</v>
      </c>
      <c r="H9" s="814" t="e" cm="1">
        <f t="array" aca="1" ref="H9" ca="1">INDIRECT($B9&amp;"!M52")+INDIRECT($B9&amp;"!M53")</f>
        <v>#REF!</v>
      </c>
      <c r="I9" s="814" t="e" cm="1">
        <f t="array" aca="1" ref="I9" ca="1">INDIRECT($B9&amp;"!M55")</f>
        <v>#REF!</v>
      </c>
      <c r="J9" s="814" t="e" cm="1">
        <f t="array" aca="1" ref="J9" ca="1">INDIRECT($B9&amp;"!M54")</f>
        <v>#REF!</v>
      </c>
      <c r="K9" s="814" t="e" cm="1">
        <f t="array" aca="1" ref="K9" ca="1">INDIRECT($B9&amp;"!M75")</f>
        <v>#REF!</v>
      </c>
      <c r="L9" s="814" t="e" cm="1">
        <f t="array" aca="1" ref="L9" ca="1">INDIRECT($B9&amp;"!M69")+INDIRECT($B9&amp;"!M70")</f>
        <v>#REF!</v>
      </c>
      <c r="M9" s="814" t="e" cm="1">
        <f t="array" aca="1" ref="M9" ca="1">INDIRECT($B9&amp;"!M77")-INDIRECT($B9&amp;"!M75")-INDIRECT($B9&amp;"!M69")-INDIRECT($B9&amp;"!M70")</f>
        <v>#REF!</v>
      </c>
      <c r="N9" s="814" t="e" cm="1">
        <f t="array" aca="1" ref="N9" ca="1">INDIRECT($B9&amp;"!M115")</f>
        <v>#REF!</v>
      </c>
      <c r="O9" s="814" t="e">
        <f t="shared" ca="1" si="7"/>
        <v>#REF!</v>
      </c>
      <c r="P9" s="813" t="e" cm="1">
        <f t="array" aca="1" ref="P9" ca="1">INDIRECT($B9&amp;"!M31")</f>
        <v>#REF!</v>
      </c>
      <c r="Q9" s="815" t="e">
        <f t="shared" ca="1" si="1"/>
        <v>#REF!</v>
      </c>
      <c r="R9" s="813" t="e" cm="1">
        <f t="array" aca="1" ref="R9" ca="1">INDIRECT($B9&amp;"!M34")</f>
        <v>#REF!</v>
      </c>
      <c r="S9" s="815" t="e">
        <f t="shared" ca="1" si="2"/>
        <v>#REF!</v>
      </c>
      <c r="T9" s="813" t="e" cm="1">
        <f t="array" aca="1" ref="T9" ca="1">INDIRECT($B9&amp;"!M38")</f>
        <v>#REF!</v>
      </c>
      <c r="V9" s="815" t="e">
        <f t="shared" ca="1" si="3"/>
        <v>#REF!</v>
      </c>
      <c r="W9" s="813" t="e" cm="1">
        <f t="array" aca="1" ref="W9" ca="1">INDIRECT($B9&amp;"!M36")</f>
        <v>#REF!</v>
      </c>
      <c r="X9" s="815" t="e">
        <f t="shared" ca="1" si="5"/>
        <v>#REF!</v>
      </c>
      <c r="Y9" s="813" t="e">
        <f>SUMIFS([1]客房!D:D,[1]客房!B:B,D9,[1]客房!C:C,"Reservation Fees 预订成本")</f>
        <v>#VALUE!</v>
      </c>
      <c r="Z9" s="813" t="e">
        <f>SUMIFS([1]客房!D:D,[1]客房!B:B,D9,[1]客房!C:C,"  Total Cost of Sales 总销售成本")</f>
        <v>#VALUE!</v>
      </c>
      <c r="AA9" s="813" t="e" cm="1">
        <f t="array" aca="1" ref="AA9" ca="1">INDIRECT($B9&amp;"!M44")+INDIRECT($B9&amp;"!M45")</f>
        <v>#REF!</v>
      </c>
      <c r="AB9" s="813" t="e">
        <f>SUMIFS([1]客房!D:D,[1]客房!B:B,D9,[1]客房!C:C,"Laundry 洗涤费")</f>
        <v>#VALUE!</v>
      </c>
      <c r="AC9" s="813" t="e" cm="1">
        <f t="array" aca="1" ref="AC9" ca="1">INDIRECT($B9&amp;"!M46")-Y9-Z9-AB9</f>
        <v>#REF!</v>
      </c>
      <c r="AD9" s="813" t="e" cm="1">
        <f t="array" aca="1" ref="AD9" ca="1">INDIRECT($B9&amp;"!M47")-SUM(Y9:AC9)</f>
        <v>#REF!</v>
      </c>
      <c r="AF9" s="813" t="e" cm="1">
        <f t="array" aca="1" ref="AF9" ca="1">INDIRECT($B9&amp;"!M60")</f>
        <v>#REF!</v>
      </c>
      <c r="AG9" s="813" t="e" cm="1">
        <f t="array" aca="1" ref="AG9" ca="1">INDIRECT($B9&amp;"!M61")+INDIRECT($B9&amp;"!M62")</f>
        <v>#REF!</v>
      </c>
      <c r="AH9" s="813" t="e">
        <f>SUMIFS([1]餐饮!D:D,[1]餐饮!B:B,D9,[1]餐饮!C:C,"Laundry 洗涤费")</f>
        <v>#VALUE!</v>
      </c>
      <c r="AI9" s="813" t="e" cm="1">
        <f t="array" aca="1" ref="AI9" ca="1">INDIRECT($B9&amp;"!M63")-AH9</f>
        <v>#REF!</v>
      </c>
      <c r="AJ9" s="813" t="e" cm="1">
        <f t="array" aca="1" ref="AJ9" ca="1">INDIRECT($B9&amp;"!M64")-SUM(AE9:AI9)</f>
        <v>#REF!</v>
      </c>
      <c r="AK9" s="813" t="e">
        <f>SUMIFS([1]新零售!D:D,[1]新零售!B:B,D9,[1]新零售!C:C,"Total Cost of Sales 总销售成本")</f>
        <v>#VALUE!</v>
      </c>
      <c r="AL9" s="813" t="e">
        <f>SUMIFS([1]康乐温泉!C:C,[1]康乐温泉!A:A,D9,[1]康乐温泉!B:B,"Total Cost of Sales 总销售成本")+SUMIFS([1]康乐温泉!C:C,[1]康乐温泉!A:A,D9,[1]康乐温泉!B:B,"Total Other Expenses 其他费用合计")</f>
        <v>#VALUE!</v>
      </c>
      <c r="AP9" s="813" t="e" cm="1">
        <f t="array" aca="1" ref="AP9" ca="1">INDIRECT($B9&amp;"!M91")+INDIRECT($B9&amp;"!M92")</f>
        <v>#REF!</v>
      </c>
      <c r="AQ9" s="813" t="e" cm="1">
        <f t="array" aca="1" ref="AQ9" ca="1">INDIRECT($B9&amp;"!M93")+INDIRECT($B9&amp;"!M94")+INDIRECT($B9&amp;"!M95")+INDIRECT($B9&amp;"!M96")</f>
        <v>#REF!</v>
      </c>
      <c r="AR9" s="813" t="e" cm="1">
        <f t="array" aca="1" ref="AR9" ca="1">INDIRECT($B9&amp;"!M98")+INDIRECT($B9&amp;"!M99")</f>
        <v>#REF!</v>
      </c>
      <c r="AT9" s="813" t="e" cm="1">
        <f t="array" aca="1" ref="AT9" ca="1">INDIRECT($B9&amp;"!M100")</f>
        <v>#REF!</v>
      </c>
      <c r="AU9" s="813" t="e" cm="1">
        <f t="array" aca="1" ref="AU9" ca="1">INDIRECT($B9&amp;"!M103")+INDIRECT($B9&amp;"!M104")</f>
        <v>#REF!</v>
      </c>
      <c r="AV9" s="813" t="e" cm="1">
        <f t="array" aca="1" ref="AV9" ca="1">INDIRECT($B9&amp;"!M36")</f>
        <v>#REF!</v>
      </c>
      <c r="AW9" s="813" t="e" cm="1">
        <f t="array" aca="1" ref="AW9" ca="1">INDIRECT($B9&amp;"!M105")-AV9</f>
        <v>#REF!</v>
      </c>
      <c r="AX9" s="813" t="e">
        <f>SUMIFS([1]能源!C:C,[1]能源!A:A,D9,[1]能源!B:B,"Electricity 电费")</f>
        <v>#VALUE!</v>
      </c>
      <c r="AY9" s="813" t="e">
        <f>SUMIFS([1]能源!C:C,[1]能源!A:A,D9,[1]能源!B:B,"Steam 蒸汽费")+SUMIFS([1]能源!C:C,[1]能源!A:A,D9,[1]能源!B:B,"Geothermal water 地热水")+SUMIFS([1]能源!C:C,[1]能源!A:A,D9,[1]能源!B:B,"Water 水费")</f>
        <v>#VALUE!</v>
      </c>
      <c r="AZ9" s="813" t="e">
        <f>SUMIFS([1]能源!C:C,[1]能源!A:A,D9,[1]能源!B:B,"Gas 煤气费")+SUMIFS([1]能源!C:C,[1]能源!A:A,D9,[1]能源!B:B,"Oil 燃油费")</f>
        <v>#VALUE!</v>
      </c>
      <c r="BA9" s="813" t="e">
        <f>SUMIFS([1]能源!C:C,[1]能源!A:A,D9,[1]能源!B:B,"Heating 暖气")</f>
        <v>#VALUE!</v>
      </c>
      <c r="BB9" s="813" t="e">
        <f t="shared" si="9"/>
        <v>#VALUE!</v>
      </c>
      <c r="BC9" s="815" t="e">
        <f t="shared" ca="1" si="10"/>
        <v>#VALUE!</v>
      </c>
      <c r="BD9" s="813" t="e" cm="1">
        <f t="array" aca="1" ref="BD9" ca="1">INDIRECT($B9&amp;"!M101")-SUM(AX9:BA9)</f>
        <v>#REF!</v>
      </c>
      <c r="BG9" s="813" t="e" cm="1">
        <f t="array" aca="1" ref="BG9" ca="1">INDIRECT($B9&amp;"!M119")</f>
        <v>#REF!</v>
      </c>
      <c r="BI9" s="813" t="e" cm="1">
        <f t="array" aca="1" ref="BI9" ca="1">INDIRECT($B9&amp;"!M116")</f>
        <v>#REF!</v>
      </c>
      <c r="BK9" s="813" t="e" cm="1">
        <f t="array" aca="1" ref="BK9" ca="1">INDIRECT($B9&amp;"!M123")</f>
        <v>#REF!</v>
      </c>
      <c r="BM9" s="813" t="e" cm="1">
        <f t="array" aca="1" ref="BM9" ca="1">INDIRECT($B9&amp;"!M117")</f>
        <v>#REF!</v>
      </c>
      <c r="BN9" s="813" t="e" cm="1">
        <f t="array" aca="1" ref="BN9" ca="1">INDIRECT($B9&amp;"!M118")+INDIRECT($B9&amp;"!M120")</f>
        <v>#REF!</v>
      </c>
      <c r="BP9" s="813" t="e" cm="1">
        <f t="array" aca="1" ref="BP9" ca="1">-INDIRECT($B9&amp;"!M114")+INDIRECT($B9&amp;"!M115")-BG9-BI9-BM9-BN9</f>
        <v>#REF!</v>
      </c>
    </row>
    <row r="10" spans="1:68">
      <c r="A10" s="759" t="s">
        <v>35</v>
      </c>
      <c r="B10" s="759" t="s">
        <v>151</v>
      </c>
      <c r="C10" s="759" t="s">
        <v>35</v>
      </c>
      <c r="D10" s="770" t="s">
        <v>152</v>
      </c>
      <c r="E10" s="831" t="e">
        <f t="shared" ca="1" si="8"/>
        <v>#REF!</v>
      </c>
      <c r="F10" s="814" t="e" cm="1">
        <f t="array" aca="1" ref="F10" ca="1">INDIRECT($B10&amp;"!M16")</f>
        <v>#REF!</v>
      </c>
      <c r="G10" s="814" t="e" cm="1">
        <f t="array" aca="1" ref="G10" ca="1">INDIRECT($B10&amp;"!M43")</f>
        <v>#REF!</v>
      </c>
      <c r="H10" s="814" t="e" cm="1">
        <f t="array" aca="1" ref="H10" ca="1">INDIRECT($B10&amp;"!M52")+INDIRECT($B10&amp;"!M53")</f>
        <v>#REF!</v>
      </c>
      <c r="I10" s="814" t="e" cm="1">
        <f t="array" aca="1" ref="I10" ca="1">INDIRECT($B10&amp;"!M55")</f>
        <v>#REF!</v>
      </c>
      <c r="J10" s="814" t="e" cm="1">
        <f t="array" aca="1" ref="J10" ca="1">INDIRECT($B10&amp;"!M54")</f>
        <v>#REF!</v>
      </c>
      <c r="K10" s="814" t="e" cm="1">
        <f t="array" aca="1" ref="K10" ca="1">INDIRECT($B10&amp;"!M75")</f>
        <v>#REF!</v>
      </c>
      <c r="L10" s="814" t="e" cm="1">
        <f t="array" aca="1" ref="L10" ca="1">INDIRECT($B10&amp;"!M69")+INDIRECT($B10&amp;"!M70")</f>
        <v>#REF!</v>
      </c>
      <c r="M10" s="814" t="e" cm="1">
        <f t="array" aca="1" ref="M10" ca="1">INDIRECT($B10&amp;"!M77")-INDIRECT($B10&amp;"!M75")-INDIRECT($B10&amp;"!M69")-INDIRECT($B10&amp;"!M70")</f>
        <v>#REF!</v>
      </c>
      <c r="N10" s="814" t="e" cm="1">
        <f t="array" aca="1" ref="N10" ca="1">INDIRECT($B10&amp;"!M115")</f>
        <v>#REF!</v>
      </c>
      <c r="O10" s="814" t="e">
        <f t="shared" ca="1" si="7"/>
        <v>#REF!</v>
      </c>
      <c r="P10" s="813" t="e" cm="1">
        <f t="array" aca="1" ref="P10" ca="1">INDIRECT($B10&amp;"!M31")</f>
        <v>#REF!</v>
      </c>
      <c r="Q10" s="815" t="e">
        <f t="shared" ca="1" si="1"/>
        <v>#REF!</v>
      </c>
      <c r="R10" s="813" t="e" cm="1">
        <f t="array" aca="1" ref="R10" ca="1">INDIRECT($B10&amp;"!M34")</f>
        <v>#REF!</v>
      </c>
      <c r="S10" s="815" t="e">
        <f t="shared" ca="1" si="2"/>
        <v>#REF!</v>
      </c>
      <c r="T10" s="813" t="e" cm="1">
        <f t="array" aca="1" ref="T10" ca="1">INDIRECT($B10&amp;"!M38")</f>
        <v>#REF!</v>
      </c>
      <c r="V10" s="815" t="e">
        <f t="shared" ca="1" si="3"/>
        <v>#REF!</v>
      </c>
      <c r="W10" s="813" t="e" cm="1">
        <f t="array" aca="1" ref="W10" ca="1">INDIRECT($B10&amp;"!M36")</f>
        <v>#REF!</v>
      </c>
      <c r="X10" s="815" t="e">
        <f t="shared" ca="1" si="5"/>
        <v>#REF!</v>
      </c>
      <c r="Y10" s="813" t="e">
        <f>SUMIFS([1]客房!D:D,[1]客房!B:B,D10,[1]客房!C:C,"Reservation Fees 预订成本")</f>
        <v>#VALUE!</v>
      </c>
      <c r="Z10" s="813" t="e">
        <f>SUMIFS([1]客房!D:D,[1]客房!B:B,D10,[1]客房!C:C,"  Total Cost of Sales 总销售成本")</f>
        <v>#VALUE!</v>
      </c>
      <c r="AA10" s="813" t="e" cm="1">
        <f t="array" aca="1" ref="AA10" ca="1">INDIRECT($B10&amp;"!M44")+INDIRECT($B10&amp;"!M45")</f>
        <v>#REF!</v>
      </c>
      <c r="AB10" s="813" t="e">
        <f>SUMIFS([1]客房!D:D,[1]客房!B:B,D10,[1]客房!C:C,"Laundry 洗涤费")</f>
        <v>#VALUE!</v>
      </c>
      <c r="AC10" s="813" t="e" cm="1">
        <f t="array" aca="1" ref="AC10" ca="1">INDIRECT($B10&amp;"!M46")-Y10-Z10-AB10</f>
        <v>#REF!</v>
      </c>
      <c r="AD10" s="813" t="e" cm="1">
        <f t="array" aca="1" ref="AD10" ca="1">INDIRECT($B10&amp;"!M47")-SUM(Y10:AC10)</f>
        <v>#REF!</v>
      </c>
      <c r="AF10" s="813" t="e" cm="1">
        <f t="array" aca="1" ref="AF10" ca="1">INDIRECT($B10&amp;"!M60")</f>
        <v>#REF!</v>
      </c>
      <c r="AG10" s="813" t="e" cm="1">
        <f t="array" aca="1" ref="AG10" ca="1">INDIRECT($B10&amp;"!M61")+INDIRECT($B10&amp;"!M62")</f>
        <v>#REF!</v>
      </c>
      <c r="AH10" s="813" t="e">
        <f>SUMIFS([1]餐饮!D:D,[1]餐饮!B:B,D10,[1]餐饮!C:C,"Laundry 洗涤费")</f>
        <v>#VALUE!</v>
      </c>
      <c r="AI10" s="813" t="e" cm="1">
        <f t="array" aca="1" ref="AI10" ca="1">INDIRECT($B10&amp;"!M63")-AH10</f>
        <v>#REF!</v>
      </c>
      <c r="AJ10" s="813" t="e" cm="1">
        <f t="array" aca="1" ref="AJ10" ca="1">INDIRECT($B10&amp;"!M64")-SUM(AE10:AI10)</f>
        <v>#REF!</v>
      </c>
      <c r="AK10" s="813" t="e">
        <f>SUMIFS([1]新零售!D:D,[1]新零售!B:B,D10,[1]新零售!C:C,"Total Cost of Sales 总销售成本")</f>
        <v>#VALUE!</v>
      </c>
      <c r="AL10" s="813" t="e">
        <f>SUMIFS([1]康乐温泉!C:C,[1]康乐温泉!A:A,D10,[1]康乐温泉!B:B,"Total Cost of Sales 总销售成本")+SUMIFS([1]康乐温泉!C:C,[1]康乐温泉!A:A,D10,[1]康乐温泉!B:B,"Total Other Expenses 其他费用合计")</f>
        <v>#VALUE!</v>
      </c>
      <c r="AP10" s="813" t="e" cm="1">
        <f t="array" aca="1" ref="AP10" ca="1">INDIRECT($B10&amp;"!M91")+INDIRECT($B10&amp;"!M92")</f>
        <v>#REF!</v>
      </c>
      <c r="AQ10" s="813" t="e" cm="1">
        <f t="array" aca="1" ref="AQ10" ca="1">INDIRECT($B10&amp;"!M93")+INDIRECT($B10&amp;"!M94")+INDIRECT($B10&amp;"!M95")+INDIRECT($B10&amp;"!M96")</f>
        <v>#REF!</v>
      </c>
      <c r="AR10" s="813" t="e" cm="1">
        <f t="array" aca="1" ref="AR10" ca="1">INDIRECT($B10&amp;"!M98")+INDIRECT($B10&amp;"!M99")</f>
        <v>#REF!</v>
      </c>
      <c r="AT10" s="813" t="e" cm="1">
        <f t="array" aca="1" ref="AT10" ca="1">INDIRECT($B10&amp;"!M100")</f>
        <v>#REF!</v>
      </c>
      <c r="AU10" s="813" t="e" cm="1">
        <f t="array" aca="1" ref="AU10" ca="1">INDIRECT($B10&amp;"!M103")+INDIRECT($B10&amp;"!M104")</f>
        <v>#REF!</v>
      </c>
      <c r="AV10" s="813" t="e" cm="1">
        <f t="array" aca="1" ref="AV10" ca="1">INDIRECT($B10&amp;"!M36")</f>
        <v>#REF!</v>
      </c>
      <c r="AW10" s="813" t="e" cm="1">
        <f t="array" aca="1" ref="AW10" ca="1">INDIRECT($B10&amp;"!M105")-AV10</f>
        <v>#REF!</v>
      </c>
      <c r="AX10" s="813" t="e">
        <f>SUMIFS([1]能源!C:C,[1]能源!A:A,D10,[1]能源!B:B,"Electricity 电费")</f>
        <v>#VALUE!</v>
      </c>
      <c r="AY10" s="813" t="e">
        <f>SUMIFS([1]能源!C:C,[1]能源!A:A,D10,[1]能源!B:B,"Steam 蒸汽费")+SUMIFS([1]能源!C:C,[1]能源!A:A,D10,[1]能源!B:B,"Geothermal water 地热水")+SUMIFS([1]能源!C:C,[1]能源!A:A,D10,[1]能源!B:B,"Water 水费")</f>
        <v>#VALUE!</v>
      </c>
      <c r="AZ10" s="813" t="e">
        <f>SUMIFS([1]能源!C:C,[1]能源!A:A,D10,[1]能源!B:B,"Gas 煤气费")+SUMIFS([1]能源!C:C,[1]能源!A:A,D10,[1]能源!B:B,"Oil 燃油费")</f>
        <v>#VALUE!</v>
      </c>
      <c r="BA10" s="813" t="e">
        <f>SUMIFS([1]能源!C:C,[1]能源!A:A,D10,[1]能源!B:B,"Heating 暖气")</f>
        <v>#VALUE!</v>
      </c>
      <c r="BB10" s="813" t="e">
        <f t="shared" si="9"/>
        <v>#VALUE!</v>
      </c>
      <c r="BC10" s="815" t="e">
        <f t="shared" ca="1" si="10"/>
        <v>#VALUE!</v>
      </c>
      <c r="BD10" s="813" t="e" cm="1">
        <f t="array" aca="1" ref="BD10" ca="1">INDIRECT($B10&amp;"!M101")-SUM(AX10:BA10)</f>
        <v>#REF!</v>
      </c>
      <c r="BG10" s="813" t="e" cm="1">
        <f t="array" aca="1" ref="BG10" ca="1">INDIRECT($B10&amp;"!M119")</f>
        <v>#REF!</v>
      </c>
      <c r="BI10" s="813" t="e" cm="1">
        <f t="array" aca="1" ref="BI10" ca="1">INDIRECT($B10&amp;"!M116")</f>
        <v>#REF!</v>
      </c>
      <c r="BK10" s="813" t="e" cm="1">
        <f t="array" aca="1" ref="BK10" ca="1">INDIRECT($B10&amp;"!M123")</f>
        <v>#REF!</v>
      </c>
      <c r="BM10" s="813" t="e" cm="1">
        <f t="array" aca="1" ref="BM10" ca="1">INDIRECT($B10&amp;"!M117")</f>
        <v>#REF!</v>
      </c>
      <c r="BN10" s="813" t="e" cm="1">
        <f t="array" aca="1" ref="BN10" ca="1">INDIRECT($B10&amp;"!M118")+INDIRECT($B10&amp;"!M120")</f>
        <v>#REF!</v>
      </c>
      <c r="BP10" s="813" t="e" cm="1">
        <f t="array" aca="1" ref="BP10" ca="1">-INDIRECT($B10&amp;"!M114")+INDIRECT($B10&amp;"!M115")-BG10-BI10-BM10-BN10</f>
        <v>#REF!</v>
      </c>
    </row>
    <row r="11" spans="1:68">
      <c r="A11" s="759" t="s">
        <v>36</v>
      </c>
      <c r="B11" s="759" t="s">
        <v>153</v>
      </c>
      <c r="C11" s="759" t="s">
        <v>36</v>
      </c>
      <c r="D11" s="770" t="s">
        <v>154</v>
      </c>
      <c r="E11" s="831" t="e">
        <f t="shared" ca="1" si="8"/>
        <v>#REF!</v>
      </c>
      <c r="F11" s="814" t="e" cm="1">
        <f t="array" aca="1" ref="F11" ca="1">INDIRECT($B11&amp;"!M16")</f>
        <v>#REF!</v>
      </c>
      <c r="G11" s="814" t="e" cm="1">
        <f t="array" aca="1" ref="G11" ca="1">INDIRECT($B11&amp;"!M43")</f>
        <v>#REF!</v>
      </c>
      <c r="H11" s="814" t="e" cm="1">
        <f t="array" aca="1" ref="H11" ca="1">INDIRECT($B11&amp;"!M52")+INDIRECT($B11&amp;"!M53")</f>
        <v>#REF!</v>
      </c>
      <c r="I11" s="814" t="e" cm="1">
        <f t="array" aca="1" ref="I11" ca="1">INDIRECT($B11&amp;"!M55")</f>
        <v>#REF!</v>
      </c>
      <c r="J11" s="814" t="e" cm="1">
        <f t="array" aca="1" ref="J11" ca="1">INDIRECT($B11&amp;"!M54")</f>
        <v>#REF!</v>
      </c>
      <c r="K11" s="814" t="e" cm="1">
        <f t="array" aca="1" ref="K11" ca="1">INDIRECT($B11&amp;"!M75")</f>
        <v>#REF!</v>
      </c>
      <c r="L11" s="814" t="e" cm="1">
        <f t="array" aca="1" ref="L11" ca="1">INDIRECT($B11&amp;"!M69")+INDIRECT($B11&amp;"!M70")</f>
        <v>#REF!</v>
      </c>
      <c r="M11" s="814" t="e" cm="1">
        <f t="array" aca="1" ref="M11" ca="1">INDIRECT($B11&amp;"!M77")-INDIRECT($B11&amp;"!M75")-INDIRECT($B11&amp;"!M69")-INDIRECT($B11&amp;"!M70")</f>
        <v>#REF!</v>
      </c>
      <c r="N11" s="814" t="e" cm="1">
        <f t="array" aca="1" ref="N11" ca="1">INDIRECT($B11&amp;"!M115")</f>
        <v>#REF!</v>
      </c>
      <c r="O11" s="814" t="e">
        <f t="shared" ca="1" si="7"/>
        <v>#REF!</v>
      </c>
      <c r="P11" s="813" t="e" cm="1">
        <f t="array" aca="1" ref="P11" ca="1">INDIRECT($B11&amp;"!M31")</f>
        <v>#REF!</v>
      </c>
      <c r="Q11" s="815" t="e">
        <f t="shared" ca="1" si="1"/>
        <v>#REF!</v>
      </c>
      <c r="R11" s="813" t="e" cm="1">
        <f t="array" aca="1" ref="R11" ca="1">INDIRECT($B11&amp;"!M34")</f>
        <v>#REF!</v>
      </c>
      <c r="S11" s="815" t="e">
        <f t="shared" ca="1" si="2"/>
        <v>#REF!</v>
      </c>
      <c r="T11" s="813" t="e" cm="1">
        <f t="array" aca="1" ref="T11" ca="1">INDIRECT($B11&amp;"!M38")</f>
        <v>#REF!</v>
      </c>
      <c r="V11" s="815" t="e">
        <f t="shared" ca="1" si="3"/>
        <v>#REF!</v>
      </c>
      <c r="W11" s="813" t="e" cm="1">
        <f t="array" aca="1" ref="W11" ca="1">INDIRECT($B11&amp;"!M36")</f>
        <v>#REF!</v>
      </c>
      <c r="X11" s="815" t="e">
        <f t="shared" ca="1" si="5"/>
        <v>#REF!</v>
      </c>
      <c r="Y11" s="813" t="e">
        <f>SUMIFS([1]客房!D:D,[1]客房!B:B,D11,[1]客房!C:C,"Reservation Fees 预订成本")</f>
        <v>#VALUE!</v>
      </c>
      <c r="Z11" s="813" t="e">
        <f>SUMIFS([1]客房!D:D,[1]客房!B:B,D11,[1]客房!C:C,"  Total Cost of Sales 总销售成本")</f>
        <v>#VALUE!</v>
      </c>
      <c r="AA11" s="813" t="e" cm="1">
        <f t="array" aca="1" ref="AA11" ca="1">INDIRECT($B11&amp;"!M44")+INDIRECT($B11&amp;"!M45")</f>
        <v>#REF!</v>
      </c>
      <c r="AB11" s="813" t="e">
        <f>SUMIFS([1]客房!D:D,[1]客房!B:B,D11,[1]客房!C:C,"Laundry 洗涤费")</f>
        <v>#VALUE!</v>
      </c>
      <c r="AC11" s="813" t="e" cm="1">
        <f t="array" aca="1" ref="AC11" ca="1">INDIRECT($B11&amp;"!M46")-Y11-Z11-AB11</f>
        <v>#REF!</v>
      </c>
      <c r="AD11" s="813" t="e" cm="1">
        <f t="array" aca="1" ref="AD11" ca="1">INDIRECT($B11&amp;"!M47")-SUM(Y11:AC11)</f>
        <v>#REF!</v>
      </c>
      <c r="AF11" s="813" t="e" cm="1">
        <f t="array" aca="1" ref="AF11" ca="1">INDIRECT($B11&amp;"!M60")</f>
        <v>#REF!</v>
      </c>
      <c r="AG11" s="813" t="e" cm="1">
        <f t="array" aca="1" ref="AG11" ca="1">INDIRECT($B11&amp;"!M61")+INDIRECT($B11&amp;"!M62")</f>
        <v>#REF!</v>
      </c>
      <c r="AH11" s="813" t="e">
        <f>SUMIFS([1]餐饮!D:D,[1]餐饮!B:B,D11,[1]餐饮!C:C,"Laundry 洗涤费")</f>
        <v>#VALUE!</v>
      </c>
      <c r="AI11" s="813" t="e" cm="1">
        <f t="array" aca="1" ref="AI11" ca="1">INDIRECT($B11&amp;"!M63")-AH11</f>
        <v>#REF!</v>
      </c>
      <c r="AJ11" s="813" t="e" cm="1">
        <f t="array" aca="1" ref="AJ11" ca="1">INDIRECT($B11&amp;"!M64")-SUM(AE11:AI11)</f>
        <v>#REF!</v>
      </c>
      <c r="AK11" s="813" t="e">
        <f>SUMIFS([1]新零售!D:D,[1]新零售!B:B,D11,[1]新零售!C:C,"Total Cost of Sales 总销售成本")</f>
        <v>#VALUE!</v>
      </c>
      <c r="AL11" s="813" t="e">
        <f>SUMIFS([1]康乐温泉!C:C,[1]康乐温泉!A:A,D11,[1]康乐温泉!B:B,"Total Cost of Sales 总销售成本")+SUMIFS([1]康乐温泉!C:C,[1]康乐温泉!A:A,D11,[1]康乐温泉!B:B,"Total Other Expenses 其他费用合计")</f>
        <v>#VALUE!</v>
      </c>
      <c r="AP11" s="813" t="e" cm="1">
        <f t="array" aca="1" ref="AP11" ca="1">INDIRECT($B11&amp;"!M91")+INDIRECT($B11&amp;"!M92")</f>
        <v>#REF!</v>
      </c>
      <c r="AQ11" s="813" t="e" cm="1">
        <f t="array" aca="1" ref="AQ11" ca="1">INDIRECT($B11&amp;"!M93")+INDIRECT($B11&amp;"!M94")+INDIRECT($B11&amp;"!M95")+INDIRECT($B11&amp;"!M96")</f>
        <v>#REF!</v>
      </c>
      <c r="AR11" s="813" t="e" cm="1">
        <f t="array" aca="1" ref="AR11" ca="1">INDIRECT($B11&amp;"!M98")+INDIRECT($B11&amp;"!M99")</f>
        <v>#REF!</v>
      </c>
      <c r="AT11" s="813" t="e" cm="1">
        <f t="array" aca="1" ref="AT11" ca="1">INDIRECT($B11&amp;"!M100")</f>
        <v>#REF!</v>
      </c>
      <c r="AU11" s="813" t="e" cm="1">
        <f t="array" aca="1" ref="AU11" ca="1">INDIRECT($B11&amp;"!M103")+INDIRECT($B11&amp;"!M104")</f>
        <v>#REF!</v>
      </c>
      <c r="AV11" s="813" t="e" cm="1">
        <f t="array" aca="1" ref="AV11" ca="1">INDIRECT($B11&amp;"!M36")</f>
        <v>#REF!</v>
      </c>
      <c r="AW11" s="813" t="e" cm="1">
        <f t="array" aca="1" ref="AW11" ca="1">INDIRECT($B11&amp;"!M105")-AV11</f>
        <v>#REF!</v>
      </c>
      <c r="AX11" s="813" t="e">
        <f>SUMIFS([1]能源!C:C,[1]能源!A:A,D11,[1]能源!B:B,"Electricity 电费")</f>
        <v>#VALUE!</v>
      </c>
      <c r="AY11" s="813" t="e">
        <f>SUMIFS([1]能源!C:C,[1]能源!A:A,D11,[1]能源!B:B,"Steam 蒸汽费")+SUMIFS([1]能源!C:C,[1]能源!A:A,D11,[1]能源!B:B,"Geothermal water 地热水")+SUMIFS([1]能源!C:C,[1]能源!A:A,D11,[1]能源!B:B,"Water 水费")</f>
        <v>#VALUE!</v>
      </c>
      <c r="AZ11" s="813" t="e">
        <f>SUMIFS([1]能源!C:C,[1]能源!A:A,D11,[1]能源!B:B,"Gas 煤气费")+SUMIFS([1]能源!C:C,[1]能源!A:A,D11,[1]能源!B:B,"Oil 燃油费")</f>
        <v>#VALUE!</v>
      </c>
      <c r="BA11" s="813" t="e">
        <f>SUMIFS([1]能源!C:C,[1]能源!A:A,D11,[1]能源!B:B,"Heating 暖气")</f>
        <v>#VALUE!</v>
      </c>
      <c r="BB11" s="813" t="e">
        <f t="shared" si="9"/>
        <v>#VALUE!</v>
      </c>
      <c r="BC11" s="815" t="e">
        <f t="shared" ca="1" si="10"/>
        <v>#VALUE!</v>
      </c>
      <c r="BD11" s="813" t="e" cm="1">
        <f t="array" aca="1" ref="BD11" ca="1">INDIRECT($B11&amp;"!M101")-SUM(AX11:BA11)</f>
        <v>#REF!</v>
      </c>
      <c r="BG11" s="813" t="e" cm="1">
        <f t="array" aca="1" ref="BG11" ca="1">INDIRECT($B11&amp;"!M119")</f>
        <v>#REF!</v>
      </c>
      <c r="BI11" s="813" t="e" cm="1">
        <f t="array" aca="1" ref="BI11" ca="1">INDIRECT($B11&amp;"!M116")</f>
        <v>#REF!</v>
      </c>
      <c r="BK11" s="813" t="e" cm="1">
        <f t="array" aca="1" ref="BK11" ca="1">INDIRECT($B11&amp;"!M123")</f>
        <v>#REF!</v>
      </c>
      <c r="BM11" s="813" t="e" cm="1">
        <f t="array" aca="1" ref="BM11" ca="1">INDIRECT($B11&amp;"!M117")</f>
        <v>#REF!</v>
      </c>
      <c r="BN11" s="813" t="e" cm="1">
        <f t="array" aca="1" ref="BN11" ca="1">INDIRECT($B11&amp;"!M118")+INDIRECT($B11&amp;"!M120")</f>
        <v>#REF!</v>
      </c>
      <c r="BP11" s="813" t="e" cm="1">
        <f t="array" aca="1" ref="BP11" ca="1">-INDIRECT($B11&amp;"!M114")+INDIRECT($B11&amp;"!M115")-BG11-BI11-BM11-BN11</f>
        <v>#REF!</v>
      </c>
    </row>
    <row r="12" spans="1:68">
      <c r="A12" s="759" t="s">
        <v>37</v>
      </c>
      <c r="B12" s="759" t="s">
        <v>155</v>
      </c>
      <c r="C12" s="759" t="s">
        <v>37</v>
      </c>
      <c r="D12" s="770" t="s">
        <v>156</v>
      </c>
      <c r="E12" s="831" t="e">
        <f t="shared" ca="1" si="8"/>
        <v>#REF!</v>
      </c>
      <c r="F12" s="814" t="e" cm="1">
        <f t="array" aca="1" ref="F12" ca="1">INDIRECT($B12&amp;"!M16")</f>
        <v>#REF!</v>
      </c>
      <c r="G12" s="814" t="e" cm="1">
        <f t="array" aca="1" ref="G12" ca="1">INDIRECT($B12&amp;"!M43")</f>
        <v>#REF!</v>
      </c>
      <c r="H12" s="814" t="e" cm="1">
        <f t="array" aca="1" ref="H12" ca="1">INDIRECT($B12&amp;"!M52")+INDIRECT($B12&amp;"!M53")</f>
        <v>#REF!</v>
      </c>
      <c r="I12" s="814" t="e" cm="1">
        <f t="array" aca="1" ref="I12" ca="1">INDIRECT($B12&amp;"!M55")</f>
        <v>#REF!</v>
      </c>
      <c r="J12" s="814" t="e" cm="1">
        <f t="array" aca="1" ref="J12" ca="1">INDIRECT($B12&amp;"!M54")</f>
        <v>#REF!</v>
      </c>
      <c r="K12" s="814" t="e" cm="1">
        <f t="array" aca="1" ref="K12" ca="1">INDIRECT($B12&amp;"!M75")</f>
        <v>#REF!</v>
      </c>
      <c r="L12" s="814" t="e" cm="1">
        <f t="array" aca="1" ref="L12" ca="1">INDIRECT($B12&amp;"!M69")+INDIRECT($B12&amp;"!M70")</f>
        <v>#REF!</v>
      </c>
      <c r="M12" s="814" t="e" cm="1">
        <f t="array" aca="1" ref="M12" ca="1">INDIRECT($B12&amp;"!M77")-INDIRECT($B12&amp;"!M75")-INDIRECT($B12&amp;"!M69")-INDIRECT($B12&amp;"!M70")</f>
        <v>#REF!</v>
      </c>
      <c r="N12" s="814" t="e" cm="1">
        <f t="array" aca="1" ref="N12" ca="1">INDIRECT($B12&amp;"!M115")</f>
        <v>#REF!</v>
      </c>
      <c r="O12" s="814" t="e">
        <f t="shared" ca="1" si="7"/>
        <v>#REF!</v>
      </c>
      <c r="P12" s="813" t="e" cm="1">
        <f t="array" aca="1" ref="P12" ca="1">INDIRECT($B12&amp;"!M31")</f>
        <v>#REF!</v>
      </c>
      <c r="Q12" s="815" t="e">
        <f t="shared" ca="1" si="1"/>
        <v>#REF!</v>
      </c>
      <c r="R12" s="813" t="e" cm="1">
        <f t="array" aca="1" ref="R12" ca="1">INDIRECT($B12&amp;"!M34")</f>
        <v>#REF!</v>
      </c>
      <c r="S12" s="815" t="e">
        <f t="shared" ca="1" si="2"/>
        <v>#REF!</v>
      </c>
      <c r="T12" s="813" t="e" cm="1">
        <f t="array" aca="1" ref="T12" ca="1">INDIRECT($B12&amp;"!M38")</f>
        <v>#REF!</v>
      </c>
      <c r="V12" s="815" t="e">
        <f t="shared" ca="1" si="3"/>
        <v>#REF!</v>
      </c>
      <c r="W12" s="813" t="e" cm="1">
        <f t="array" aca="1" ref="W12" ca="1">INDIRECT($B12&amp;"!M36")</f>
        <v>#REF!</v>
      </c>
      <c r="X12" s="815" t="e">
        <f t="shared" ca="1" si="5"/>
        <v>#REF!</v>
      </c>
      <c r="Y12" s="813" t="e">
        <f>SUMIFS([1]客房!D:D,[1]客房!B:B,D12,[1]客房!C:C,"Reservation Fees 预订成本")</f>
        <v>#VALUE!</v>
      </c>
      <c r="Z12" s="813" t="e">
        <f>SUMIFS([1]客房!D:D,[1]客房!B:B,D12,[1]客房!C:C,"  Total Cost of Sales 总销售成本")</f>
        <v>#VALUE!</v>
      </c>
      <c r="AA12" s="813" t="e" cm="1">
        <f t="array" aca="1" ref="AA12" ca="1">INDIRECT($B12&amp;"!M44")+INDIRECT($B12&amp;"!M45")</f>
        <v>#REF!</v>
      </c>
      <c r="AB12" s="813" t="e">
        <f>SUMIFS([1]客房!D:D,[1]客房!B:B,D12,[1]客房!C:C,"Laundry 洗涤费")</f>
        <v>#VALUE!</v>
      </c>
      <c r="AC12" s="813" t="e" cm="1">
        <f t="array" aca="1" ref="AC12" ca="1">INDIRECT($B12&amp;"!M46")-Y12-Z12-AB12</f>
        <v>#REF!</v>
      </c>
      <c r="AD12" s="813" t="e" cm="1">
        <f t="array" aca="1" ref="AD12" ca="1">INDIRECT($B12&amp;"!M47")-SUM(Y12:AC12)</f>
        <v>#REF!</v>
      </c>
      <c r="AF12" s="813" t="e" cm="1">
        <f t="array" aca="1" ref="AF12" ca="1">INDIRECT($B12&amp;"!M60")</f>
        <v>#REF!</v>
      </c>
      <c r="AG12" s="813" t="e" cm="1">
        <f t="array" aca="1" ref="AG12" ca="1">INDIRECT($B12&amp;"!M61")+INDIRECT($B12&amp;"!M62")</f>
        <v>#REF!</v>
      </c>
      <c r="AH12" s="813" t="e">
        <f>SUMIFS([1]餐饮!D:D,[1]餐饮!B:B,D12,[1]餐饮!C:C,"Laundry 洗涤费")</f>
        <v>#VALUE!</v>
      </c>
      <c r="AI12" s="813" t="e" cm="1">
        <f t="array" aca="1" ref="AI12" ca="1">INDIRECT($B12&amp;"!M63")-AH12</f>
        <v>#REF!</v>
      </c>
      <c r="AJ12" s="813" t="e" cm="1">
        <f t="array" aca="1" ref="AJ12" ca="1">INDIRECT($B12&amp;"!M64")-SUM(AE12:AI12)</f>
        <v>#REF!</v>
      </c>
      <c r="AK12" s="813" t="e">
        <f>SUMIFS([1]新零售!D:D,[1]新零售!B:B,D12,[1]新零售!C:C,"Total Cost of Sales 总销售成本")</f>
        <v>#VALUE!</v>
      </c>
      <c r="AL12" s="813" t="e">
        <f>SUMIFS([1]康乐温泉!C:C,[1]康乐温泉!A:A,D12,[1]康乐温泉!B:B,"Total Cost of Sales 总销售成本")+SUMIFS([1]康乐温泉!C:C,[1]康乐温泉!A:A,D12,[1]康乐温泉!B:B,"Total Other Expenses 其他费用合计")</f>
        <v>#VALUE!</v>
      </c>
      <c r="AP12" s="813" t="e" cm="1">
        <f t="array" aca="1" ref="AP12" ca="1">INDIRECT($B12&amp;"!M91")+INDIRECT($B12&amp;"!M92")</f>
        <v>#REF!</v>
      </c>
      <c r="AQ12" s="813" t="e" cm="1">
        <f t="array" aca="1" ref="AQ12" ca="1">INDIRECT($B12&amp;"!M93")+INDIRECT($B12&amp;"!M94")+INDIRECT($B12&amp;"!M95")+INDIRECT($B12&amp;"!M96")</f>
        <v>#REF!</v>
      </c>
      <c r="AR12" s="813" t="e" cm="1">
        <f t="array" aca="1" ref="AR12" ca="1">INDIRECT($B12&amp;"!M98")+INDIRECT($B12&amp;"!M99")</f>
        <v>#REF!</v>
      </c>
      <c r="AT12" s="813" t="e" cm="1">
        <f t="array" aca="1" ref="AT12" ca="1">INDIRECT($B12&amp;"!M100")</f>
        <v>#REF!</v>
      </c>
      <c r="AU12" s="813" t="e" cm="1">
        <f t="array" aca="1" ref="AU12" ca="1">INDIRECT($B12&amp;"!M103")+INDIRECT($B12&amp;"!M104")</f>
        <v>#REF!</v>
      </c>
      <c r="AV12" s="813" t="e" cm="1">
        <f t="array" aca="1" ref="AV12" ca="1">INDIRECT($B12&amp;"!M36")</f>
        <v>#REF!</v>
      </c>
      <c r="AW12" s="813" t="e" cm="1">
        <f t="array" aca="1" ref="AW12" ca="1">INDIRECT($B12&amp;"!M105")-AV12</f>
        <v>#REF!</v>
      </c>
      <c r="AX12" s="813" t="e">
        <f>SUMIFS([1]能源!C:C,[1]能源!A:A,D12,[1]能源!B:B,"Electricity 电费")</f>
        <v>#VALUE!</v>
      </c>
      <c r="AY12" s="813" t="e">
        <f>SUMIFS([1]能源!C:C,[1]能源!A:A,D12,[1]能源!B:B,"Steam 蒸汽费")+SUMIFS([1]能源!C:C,[1]能源!A:A,D12,[1]能源!B:B,"Geothermal water 地热水")+SUMIFS([1]能源!C:C,[1]能源!A:A,D12,[1]能源!B:B,"Water 水费")</f>
        <v>#VALUE!</v>
      </c>
      <c r="AZ12" s="813" t="e">
        <f>SUMIFS([1]能源!C:C,[1]能源!A:A,D12,[1]能源!B:B,"Gas 煤气费")+SUMIFS([1]能源!C:C,[1]能源!A:A,D12,[1]能源!B:B,"Oil 燃油费")</f>
        <v>#VALUE!</v>
      </c>
      <c r="BA12" s="813" t="e">
        <f>SUMIFS([1]能源!C:C,[1]能源!A:A,D12,[1]能源!B:B,"Heating 暖气")</f>
        <v>#VALUE!</v>
      </c>
      <c r="BB12" s="813" t="e">
        <f t="shared" si="9"/>
        <v>#VALUE!</v>
      </c>
      <c r="BC12" s="815" t="e">
        <f t="shared" ca="1" si="10"/>
        <v>#VALUE!</v>
      </c>
      <c r="BD12" s="813" t="e" cm="1">
        <f t="array" aca="1" ref="BD12" ca="1">INDIRECT($B12&amp;"!M101")-SUM(AX12:BA12)</f>
        <v>#REF!</v>
      </c>
      <c r="BG12" s="813" t="e" cm="1">
        <f t="array" aca="1" ref="BG12" ca="1">INDIRECT($B12&amp;"!M119")</f>
        <v>#REF!</v>
      </c>
      <c r="BI12" s="813" t="e" cm="1">
        <f t="array" aca="1" ref="BI12" ca="1">INDIRECT($B12&amp;"!M116")</f>
        <v>#REF!</v>
      </c>
      <c r="BK12" s="813" t="e" cm="1">
        <f t="array" aca="1" ref="BK12" ca="1">INDIRECT($B12&amp;"!M123")</f>
        <v>#REF!</v>
      </c>
      <c r="BM12" s="813" t="e" cm="1">
        <f t="array" aca="1" ref="BM12" ca="1">INDIRECT($B12&amp;"!M117")</f>
        <v>#REF!</v>
      </c>
      <c r="BN12" s="813" t="e" cm="1">
        <f t="array" aca="1" ref="BN12" ca="1">INDIRECT($B12&amp;"!M118")+INDIRECT($B12&amp;"!M120")</f>
        <v>#REF!</v>
      </c>
      <c r="BP12" s="813" t="e" cm="1">
        <f t="array" aca="1" ref="BP12" ca="1">-INDIRECT($B12&amp;"!M114")+INDIRECT($B12&amp;"!M115")-BG12-BI12-BM12-BN12</f>
        <v>#REF!</v>
      </c>
    </row>
    <row r="13" spans="1:68">
      <c r="A13" s="759" t="s">
        <v>38</v>
      </c>
      <c r="B13" s="759" t="s">
        <v>157</v>
      </c>
      <c r="C13" s="759" t="s">
        <v>38</v>
      </c>
      <c r="D13" s="770" t="s">
        <v>158</v>
      </c>
      <c r="E13" s="831" t="e">
        <f t="shared" ca="1" si="8"/>
        <v>#REF!</v>
      </c>
      <c r="F13" s="814" t="e" cm="1">
        <f t="array" aca="1" ref="F13" ca="1">INDIRECT($B13&amp;"!M16")</f>
        <v>#REF!</v>
      </c>
      <c r="G13" s="814" t="e" cm="1">
        <f t="array" aca="1" ref="G13" ca="1">INDIRECT($B13&amp;"!M43")</f>
        <v>#REF!</v>
      </c>
      <c r="H13" s="814" t="e" cm="1">
        <f t="array" aca="1" ref="H13" ca="1">INDIRECT($B13&amp;"!M52")+INDIRECT($B13&amp;"!M53")</f>
        <v>#REF!</v>
      </c>
      <c r="I13" s="814" t="e" cm="1">
        <f t="array" aca="1" ref="I13" ca="1">INDIRECT($B13&amp;"!M55")</f>
        <v>#REF!</v>
      </c>
      <c r="J13" s="814" t="e" cm="1">
        <f t="array" aca="1" ref="J13" ca="1">INDIRECT($B13&amp;"!M54")</f>
        <v>#REF!</v>
      </c>
      <c r="K13" s="814" t="e" cm="1">
        <f t="array" aca="1" ref="K13" ca="1">INDIRECT($B13&amp;"!M75")</f>
        <v>#REF!</v>
      </c>
      <c r="L13" s="814" t="e" cm="1">
        <f t="array" aca="1" ref="L13" ca="1">INDIRECT($B13&amp;"!M69")+INDIRECT($B13&amp;"!M70")</f>
        <v>#REF!</v>
      </c>
      <c r="M13" s="814" t="e" cm="1">
        <f t="array" aca="1" ref="M13" ca="1">INDIRECT($B13&amp;"!M77")-INDIRECT($B13&amp;"!M75")-INDIRECT($B13&amp;"!M69")-INDIRECT($B13&amp;"!M70")</f>
        <v>#REF!</v>
      </c>
      <c r="N13" s="814" t="e" cm="1">
        <f t="array" aca="1" ref="N13" ca="1">INDIRECT($B13&amp;"!M115")</f>
        <v>#REF!</v>
      </c>
      <c r="O13" s="814" t="e">
        <f t="shared" ca="1" si="7"/>
        <v>#REF!</v>
      </c>
      <c r="P13" s="813" t="e" cm="1">
        <f t="array" aca="1" ref="P13" ca="1">INDIRECT($B13&amp;"!M31")</f>
        <v>#REF!</v>
      </c>
      <c r="Q13" s="815" t="e">
        <f t="shared" ca="1" si="1"/>
        <v>#REF!</v>
      </c>
      <c r="R13" s="813" t="e" cm="1">
        <f t="array" aca="1" ref="R13" ca="1">INDIRECT($B13&amp;"!M34")</f>
        <v>#REF!</v>
      </c>
      <c r="S13" s="815" t="e">
        <f t="shared" ca="1" si="2"/>
        <v>#REF!</v>
      </c>
      <c r="T13" s="813" t="e" cm="1">
        <f t="array" aca="1" ref="T13" ca="1">INDIRECT($B13&amp;"!M38")</f>
        <v>#REF!</v>
      </c>
      <c r="V13" s="815" t="e">
        <f t="shared" ca="1" si="3"/>
        <v>#REF!</v>
      </c>
      <c r="W13" s="813" t="e" cm="1">
        <f t="array" aca="1" ref="W13" ca="1">INDIRECT($B13&amp;"!M36")</f>
        <v>#REF!</v>
      </c>
      <c r="X13" s="815" t="e">
        <f t="shared" ca="1" si="5"/>
        <v>#REF!</v>
      </c>
      <c r="Y13" s="813" t="e">
        <f>SUMIFS([1]客房!D:D,[1]客房!B:B,D13,[1]客房!C:C,"Reservation Fees 预订成本")</f>
        <v>#VALUE!</v>
      </c>
      <c r="Z13" s="813" t="e">
        <f>SUMIFS([1]客房!D:D,[1]客房!B:B,D13,[1]客房!C:C,"  Total Cost of Sales 总销售成本")</f>
        <v>#VALUE!</v>
      </c>
      <c r="AA13" s="813" t="e" cm="1">
        <f t="array" aca="1" ref="AA13" ca="1">INDIRECT($B13&amp;"!M44")+INDIRECT($B13&amp;"!M45")</f>
        <v>#REF!</v>
      </c>
      <c r="AB13" s="813" t="e">
        <f>SUMIFS([1]客房!D:D,[1]客房!B:B,D13,[1]客房!C:C,"Laundry 洗涤费")</f>
        <v>#VALUE!</v>
      </c>
      <c r="AC13" s="813" t="e" cm="1">
        <f t="array" aca="1" ref="AC13" ca="1">INDIRECT($B13&amp;"!M46")-Y13-Z13-AB13</f>
        <v>#REF!</v>
      </c>
      <c r="AD13" s="813" t="e" cm="1">
        <f t="array" aca="1" ref="AD13" ca="1">INDIRECT($B13&amp;"!M47")-SUM(Y13:AC13)</f>
        <v>#REF!</v>
      </c>
      <c r="AF13" s="813" t="e" cm="1">
        <f t="array" aca="1" ref="AF13" ca="1">INDIRECT($B13&amp;"!M60")</f>
        <v>#REF!</v>
      </c>
      <c r="AG13" s="813" t="e" cm="1">
        <f t="array" aca="1" ref="AG13" ca="1">INDIRECT($B13&amp;"!M61")+INDIRECT($B13&amp;"!M62")</f>
        <v>#REF!</v>
      </c>
      <c r="AH13" s="813" t="e">
        <f>SUMIFS([1]餐饮!D:D,[1]餐饮!B:B,D13,[1]餐饮!C:C,"Laundry 洗涤费")</f>
        <v>#VALUE!</v>
      </c>
      <c r="AI13" s="813" t="e" cm="1">
        <f t="array" aca="1" ref="AI13" ca="1">INDIRECT($B13&amp;"!M63")-AH13</f>
        <v>#REF!</v>
      </c>
      <c r="AJ13" s="813" t="e" cm="1">
        <f t="array" aca="1" ref="AJ13" ca="1">INDIRECT($B13&amp;"!M64")-SUM(AE13:AI13)</f>
        <v>#REF!</v>
      </c>
      <c r="AK13" s="813" t="e">
        <f>SUMIFS([1]新零售!D:D,[1]新零售!B:B,D13,[1]新零售!C:C,"Total Cost of Sales 总销售成本")</f>
        <v>#VALUE!</v>
      </c>
      <c r="AL13" s="813" t="e">
        <f>SUMIFS([1]康乐温泉!C:C,[1]康乐温泉!A:A,D13,[1]康乐温泉!B:B,"Total Cost of Sales 总销售成本")+SUMIFS([1]康乐温泉!C:C,[1]康乐温泉!A:A,D13,[1]康乐温泉!B:B,"Total Other Expenses 其他费用合计")</f>
        <v>#VALUE!</v>
      </c>
      <c r="AP13" s="813" t="e" cm="1">
        <f t="array" aca="1" ref="AP13" ca="1">INDIRECT($B13&amp;"!M91")+INDIRECT($B13&amp;"!M92")</f>
        <v>#REF!</v>
      </c>
      <c r="AQ13" s="813" t="e" cm="1">
        <f t="array" aca="1" ref="AQ13" ca="1">INDIRECT($B13&amp;"!M93")+INDIRECT($B13&amp;"!M94")+INDIRECT($B13&amp;"!M95")+INDIRECT($B13&amp;"!M96")</f>
        <v>#REF!</v>
      </c>
      <c r="AR13" s="813" t="e" cm="1">
        <f t="array" aca="1" ref="AR13" ca="1">INDIRECT($B13&amp;"!M98")+INDIRECT($B13&amp;"!M99")</f>
        <v>#REF!</v>
      </c>
      <c r="AT13" s="813" t="e" cm="1">
        <f t="array" aca="1" ref="AT13" ca="1">INDIRECT($B13&amp;"!M100")</f>
        <v>#REF!</v>
      </c>
      <c r="AU13" s="813" t="e" cm="1">
        <f t="array" aca="1" ref="AU13" ca="1">INDIRECT($B13&amp;"!M103")+INDIRECT($B13&amp;"!M104")</f>
        <v>#REF!</v>
      </c>
      <c r="AV13" s="813" t="e" cm="1">
        <f t="array" aca="1" ref="AV13" ca="1">INDIRECT($B13&amp;"!M36")</f>
        <v>#REF!</v>
      </c>
      <c r="AW13" s="813" t="e" cm="1">
        <f t="array" aca="1" ref="AW13" ca="1">INDIRECT($B13&amp;"!M105")-AV13</f>
        <v>#REF!</v>
      </c>
      <c r="AX13" s="813" t="e">
        <f>SUMIFS([1]能源!C:C,[1]能源!A:A,D13,[1]能源!B:B,"Electricity 电费")</f>
        <v>#VALUE!</v>
      </c>
      <c r="AY13" s="813" t="e">
        <f>SUMIFS([1]能源!C:C,[1]能源!A:A,D13,[1]能源!B:B,"Steam 蒸汽费")+SUMIFS([1]能源!C:C,[1]能源!A:A,D13,[1]能源!B:B,"Geothermal water 地热水")+SUMIFS([1]能源!C:C,[1]能源!A:A,D13,[1]能源!B:B,"Water 水费")</f>
        <v>#VALUE!</v>
      </c>
      <c r="AZ13" s="813" t="e">
        <f>SUMIFS([1]能源!C:C,[1]能源!A:A,D13,[1]能源!B:B,"Gas 煤气费")+SUMIFS([1]能源!C:C,[1]能源!A:A,D13,[1]能源!B:B,"Oil 燃油费")</f>
        <v>#VALUE!</v>
      </c>
      <c r="BA13" s="813" t="e">
        <f>SUMIFS([1]能源!C:C,[1]能源!A:A,D13,[1]能源!B:B,"Heating 暖气")</f>
        <v>#VALUE!</v>
      </c>
      <c r="BB13" s="813" t="e">
        <f t="shared" si="9"/>
        <v>#VALUE!</v>
      </c>
      <c r="BC13" s="815" t="e">
        <f t="shared" ca="1" si="10"/>
        <v>#VALUE!</v>
      </c>
      <c r="BD13" s="813" t="e" cm="1">
        <f t="array" aca="1" ref="BD13" ca="1">INDIRECT($B13&amp;"!M101")-SUM(AX13:BA13)</f>
        <v>#REF!</v>
      </c>
      <c r="BG13" s="813" t="e" cm="1">
        <f t="array" aca="1" ref="BG13" ca="1">INDIRECT($B13&amp;"!M119")</f>
        <v>#REF!</v>
      </c>
      <c r="BI13" s="813" t="e" cm="1">
        <f t="array" aca="1" ref="BI13" ca="1">INDIRECT($B13&amp;"!M116")</f>
        <v>#REF!</v>
      </c>
      <c r="BK13" s="813" t="e" cm="1">
        <f t="array" aca="1" ref="BK13" ca="1">INDIRECT($B13&amp;"!M123")</f>
        <v>#REF!</v>
      </c>
      <c r="BM13" s="813" t="e" cm="1">
        <f t="array" aca="1" ref="BM13" ca="1">INDIRECT($B13&amp;"!M117")</f>
        <v>#REF!</v>
      </c>
      <c r="BN13" s="813" t="e" cm="1">
        <f t="array" aca="1" ref="BN13" ca="1">INDIRECT($B13&amp;"!M118")+INDIRECT($B13&amp;"!M120")</f>
        <v>#REF!</v>
      </c>
      <c r="BP13" s="813" t="e" cm="1">
        <f t="array" aca="1" ref="BP13" ca="1">-INDIRECT($B13&amp;"!M114")+INDIRECT($B13&amp;"!M115")-BG13-BI13-BM13-BN13</f>
        <v>#REF!</v>
      </c>
    </row>
    <row r="14" spans="1:68">
      <c r="A14" s="759" t="s">
        <v>39</v>
      </c>
      <c r="B14" s="759" t="s">
        <v>159</v>
      </c>
      <c r="C14" s="759" t="s">
        <v>39</v>
      </c>
      <c r="D14" s="770" t="s">
        <v>160</v>
      </c>
      <c r="E14" s="831" t="e">
        <f t="shared" ca="1" si="8"/>
        <v>#REF!</v>
      </c>
      <c r="F14" s="814" t="e" cm="1">
        <f t="array" aca="1" ref="F14" ca="1">INDIRECT($B14&amp;"!M16")</f>
        <v>#REF!</v>
      </c>
      <c r="G14" s="814" t="e" cm="1">
        <f t="array" aca="1" ref="G14" ca="1">INDIRECT($B14&amp;"!M43")</f>
        <v>#REF!</v>
      </c>
      <c r="H14" s="814" t="e" cm="1">
        <f t="array" aca="1" ref="H14" ca="1">INDIRECT($B14&amp;"!M52")+INDIRECT($B14&amp;"!M53")</f>
        <v>#REF!</v>
      </c>
      <c r="I14" s="814" t="e" cm="1">
        <f t="array" aca="1" ref="I14" ca="1">INDIRECT($B14&amp;"!M55")</f>
        <v>#REF!</v>
      </c>
      <c r="J14" s="814" t="e" cm="1">
        <f t="array" aca="1" ref="J14" ca="1">INDIRECT($B14&amp;"!M54")</f>
        <v>#REF!</v>
      </c>
      <c r="K14" s="814" t="e" cm="1">
        <f t="array" aca="1" ref="K14" ca="1">INDIRECT($B14&amp;"!M75")</f>
        <v>#REF!</v>
      </c>
      <c r="L14" s="814" t="e" cm="1">
        <f t="array" aca="1" ref="L14" ca="1">INDIRECT($B14&amp;"!M69")+INDIRECT($B14&amp;"!M70")</f>
        <v>#REF!</v>
      </c>
      <c r="M14" s="814" t="e" cm="1">
        <f t="array" aca="1" ref="M14" ca="1">INDIRECT($B14&amp;"!M77")-INDIRECT($B14&amp;"!M75")-INDIRECT($B14&amp;"!M69")-INDIRECT($B14&amp;"!M70")</f>
        <v>#REF!</v>
      </c>
      <c r="N14" s="814" t="e" cm="1">
        <f t="array" aca="1" ref="N14" ca="1">INDIRECT($B14&amp;"!M115")</f>
        <v>#REF!</v>
      </c>
      <c r="O14" s="814" t="e">
        <f t="shared" ca="1" si="7"/>
        <v>#REF!</v>
      </c>
      <c r="P14" s="813" t="e" cm="1">
        <f t="array" aca="1" ref="P14" ca="1">INDIRECT($B14&amp;"!M31")</f>
        <v>#REF!</v>
      </c>
      <c r="Q14" s="815" t="e">
        <f t="shared" ca="1" si="1"/>
        <v>#REF!</v>
      </c>
      <c r="R14" s="813" t="e" cm="1">
        <f t="array" aca="1" ref="R14" ca="1">INDIRECT($B14&amp;"!M34")</f>
        <v>#REF!</v>
      </c>
      <c r="S14" s="815" t="e">
        <f t="shared" ca="1" si="2"/>
        <v>#REF!</v>
      </c>
      <c r="T14" s="813" t="e" cm="1">
        <f t="array" aca="1" ref="T14" ca="1">INDIRECT($B14&amp;"!M38")</f>
        <v>#REF!</v>
      </c>
      <c r="V14" s="815" t="e">
        <f t="shared" ca="1" si="3"/>
        <v>#REF!</v>
      </c>
      <c r="W14" s="813" t="e" cm="1">
        <f t="array" aca="1" ref="W14" ca="1">INDIRECT($B14&amp;"!M36")</f>
        <v>#REF!</v>
      </c>
      <c r="X14" s="815" t="e">
        <f t="shared" ca="1" si="5"/>
        <v>#REF!</v>
      </c>
      <c r="Y14" s="813" t="e">
        <f>SUMIFS([1]客房!D:D,[1]客房!B:B,D14,[1]客房!C:C,"Reservation Fees 预订成本")</f>
        <v>#VALUE!</v>
      </c>
      <c r="Z14" s="813" t="e">
        <f>SUMIFS([1]客房!D:D,[1]客房!B:B,D14,[1]客房!C:C,"  Total Cost of Sales 总销售成本")</f>
        <v>#VALUE!</v>
      </c>
      <c r="AA14" s="813" t="e" cm="1">
        <f t="array" aca="1" ref="AA14" ca="1">INDIRECT($B14&amp;"!M44")+INDIRECT($B14&amp;"!M45")</f>
        <v>#REF!</v>
      </c>
      <c r="AB14" s="813" t="e">
        <f>SUMIFS([1]客房!D:D,[1]客房!B:B,D14,[1]客房!C:C,"Laundry 洗涤费")</f>
        <v>#VALUE!</v>
      </c>
      <c r="AC14" s="813" t="e" cm="1">
        <f t="array" aca="1" ref="AC14" ca="1">INDIRECT($B14&amp;"!M46")-Y14-Z14-AB14</f>
        <v>#REF!</v>
      </c>
      <c r="AD14" s="813" t="e" cm="1">
        <f t="array" aca="1" ref="AD14" ca="1">INDIRECT($B14&amp;"!M47")-SUM(Y14:AC14)</f>
        <v>#REF!</v>
      </c>
      <c r="AF14" s="813" t="e" cm="1">
        <f t="array" aca="1" ref="AF14" ca="1">INDIRECT($B14&amp;"!M60")</f>
        <v>#REF!</v>
      </c>
      <c r="AG14" s="813" t="e" cm="1">
        <f t="array" aca="1" ref="AG14" ca="1">INDIRECT($B14&amp;"!M61")+INDIRECT($B14&amp;"!M62")</f>
        <v>#REF!</v>
      </c>
      <c r="AH14" s="813" t="e">
        <f>SUMIFS([1]餐饮!D:D,[1]餐饮!B:B,D14,[1]餐饮!C:C,"Laundry 洗涤费")</f>
        <v>#VALUE!</v>
      </c>
      <c r="AI14" s="813" t="e" cm="1">
        <f t="array" aca="1" ref="AI14" ca="1">INDIRECT($B14&amp;"!M63")-AH14</f>
        <v>#REF!</v>
      </c>
      <c r="AJ14" s="813" t="e" cm="1">
        <f t="array" aca="1" ref="AJ14" ca="1">INDIRECT($B14&amp;"!M64")-SUM(AE14:AI14)</f>
        <v>#REF!</v>
      </c>
      <c r="AK14" s="813" t="e">
        <f>SUMIFS([1]新零售!D:D,[1]新零售!B:B,D14,[1]新零售!C:C,"Total Cost of Sales 总销售成本")</f>
        <v>#VALUE!</v>
      </c>
      <c r="AL14" s="813" t="e">
        <f>SUMIFS([1]康乐温泉!C:C,[1]康乐温泉!A:A,D14,[1]康乐温泉!B:B,"Total Cost of Sales 总销售成本")+SUMIFS([1]康乐温泉!C:C,[1]康乐温泉!A:A,D14,[1]康乐温泉!B:B,"Total Other Expenses 其他费用合计")</f>
        <v>#VALUE!</v>
      </c>
      <c r="AP14" s="813" t="e" cm="1">
        <f t="array" aca="1" ref="AP14" ca="1">INDIRECT($B14&amp;"!M91")+INDIRECT($B14&amp;"!M92")</f>
        <v>#REF!</v>
      </c>
      <c r="AQ14" s="813" t="e" cm="1">
        <f t="array" aca="1" ref="AQ14" ca="1">INDIRECT($B14&amp;"!M93")+INDIRECT($B14&amp;"!M94")+INDIRECT($B14&amp;"!M95")+INDIRECT($B14&amp;"!M96")</f>
        <v>#REF!</v>
      </c>
      <c r="AR14" s="813" t="e" cm="1">
        <f t="array" aca="1" ref="AR14" ca="1">INDIRECT($B14&amp;"!M98")+INDIRECT($B14&amp;"!M99")</f>
        <v>#REF!</v>
      </c>
      <c r="AT14" s="813" t="e" cm="1">
        <f t="array" aca="1" ref="AT14" ca="1">INDIRECT($B14&amp;"!M100")</f>
        <v>#REF!</v>
      </c>
      <c r="AU14" s="813" t="e" cm="1">
        <f t="array" aca="1" ref="AU14" ca="1">INDIRECT($B14&amp;"!M103")+INDIRECT($B14&amp;"!M104")</f>
        <v>#REF!</v>
      </c>
      <c r="AV14" s="813" t="e" cm="1">
        <f t="array" aca="1" ref="AV14" ca="1">INDIRECT($B14&amp;"!M36")</f>
        <v>#REF!</v>
      </c>
      <c r="AW14" s="813" t="e" cm="1">
        <f t="array" aca="1" ref="AW14" ca="1">INDIRECT($B14&amp;"!M105")-AV14</f>
        <v>#REF!</v>
      </c>
      <c r="AX14" s="813" t="e">
        <f>SUMIFS([1]能源!C:C,[1]能源!A:A,D14,[1]能源!B:B,"Electricity 电费")</f>
        <v>#VALUE!</v>
      </c>
      <c r="AY14" s="813" t="e">
        <f>SUMIFS([1]能源!C:C,[1]能源!A:A,D14,[1]能源!B:B,"Steam 蒸汽费")+SUMIFS([1]能源!C:C,[1]能源!A:A,D14,[1]能源!B:B,"Geothermal water 地热水")+SUMIFS([1]能源!C:C,[1]能源!A:A,D14,[1]能源!B:B,"Water 水费")</f>
        <v>#VALUE!</v>
      </c>
      <c r="AZ14" s="813" t="e">
        <f>SUMIFS([1]能源!C:C,[1]能源!A:A,D14,[1]能源!B:B,"Gas 煤气费")+SUMIFS([1]能源!C:C,[1]能源!A:A,D14,[1]能源!B:B,"Oil 燃油费")</f>
        <v>#VALUE!</v>
      </c>
      <c r="BA14" s="813" t="e">
        <f>SUMIFS([1]能源!C:C,[1]能源!A:A,D14,[1]能源!B:B,"Heating 暖气")</f>
        <v>#VALUE!</v>
      </c>
      <c r="BB14" s="813" t="e">
        <f t="shared" si="9"/>
        <v>#VALUE!</v>
      </c>
      <c r="BC14" s="815" t="e">
        <f t="shared" ca="1" si="10"/>
        <v>#VALUE!</v>
      </c>
      <c r="BD14" s="813" t="e" cm="1">
        <f t="array" aca="1" ref="BD14" ca="1">INDIRECT($B14&amp;"!M101")-SUM(AX14:BA14)</f>
        <v>#REF!</v>
      </c>
      <c r="BG14" s="813" t="e" cm="1">
        <f t="array" aca="1" ref="BG14" ca="1">INDIRECT($B14&amp;"!M119")</f>
        <v>#REF!</v>
      </c>
      <c r="BI14" s="813" t="e" cm="1">
        <f t="array" aca="1" ref="BI14" ca="1">INDIRECT($B14&amp;"!M116")</f>
        <v>#REF!</v>
      </c>
      <c r="BK14" s="813" t="e" cm="1">
        <f t="array" aca="1" ref="BK14" ca="1">INDIRECT($B14&amp;"!M123")</f>
        <v>#REF!</v>
      </c>
      <c r="BM14" s="813" t="e" cm="1">
        <f t="array" aca="1" ref="BM14" ca="1">INDIRECT($B14&amp;"!M117")</f>
        <v>#REF!</v>
      </c>
      <c r="BN14" s="813" t="e" cm="1">
        <f t="array" aca="1" ref="BN14" ca="1">INDIRECT($B14&amp;"!M118")+INDIRECT($B14&amp;"!M120")</f>
        <v>#REF!</v>
      </c>
      <c r="BP14" s="813" t="e" cm="1">
        <f t="array" aca="1" ref="BP14" ca="1">-INDIRECT($B14&amp;"!M114")+INDIRECT($B14&amp;"!M115")-BG14-BI14-BM14-BN14</f>
        <v>#REF!</v>
      </c>
    </row>
    <row r="15" spans="1:68">
      <c r="A15" s="759" t="s">
        <v>40</v>
      </c>
      <c r="B15" s="759" t="s">
        <v>161</v>
      </c>
      <c r="C15" s="759" t="s">
        <v>40</v>
      </c>
      <c r="D15" s="770" t="s">
        <v>162</v>
      </c>
      <c r="E15" s="831" t="e">
        <f t="shared" ca="1" si="8"/>
        <v>#REF!</v>
      </c>
      <c r="F15" s="814" t="e" cm="1">
        <f t="array" aca="1" ref="F15" ca="1">INDIRECT($B15&amp;"!M16")</f>
        <v>#REF!</v>
      </c>
      <c r="G15" s="814" t="e" cm="1">
        <f t="array" aca="1" ref="G15" ca="1">INDIRECT($B15&amp;"!M43")</f>
        <v>#REF!</v>
      </c>
      <c r="H15" s="814" t="e" cm="1">
        <f t="array" aca="1" ref="H15" ca="1">INDIRECT($B15&amp;"!M52")+INDIRECT($B15&amp;"!M53")</f>
        <v>#REF!</v>
      </c>
      <c r="I15" s="814" t="e" cm="1">
        <f t="array" aca="1" ref="I15" ca="1">INDIRECT($B15&amp;"!M55")</f>
        <v>#REF!</v>
      </c>
      <c r="J15" s="814" t="e" cm="1">
        <f t="array" aca="1" ref="J15" ca="1">INDIRECT($B15&amp;"!M54")</f>
        <v>#REF!</v>
      </c>
      <c r="K15" s="814" t="e" cm="1">
        <f t="array" aca="1" ref="K15" ca="1">INDIRECT($B15&amp;"!M75")</f>
        <v>#REF!</v>
      </c>
      <c r="L15" s="814" t="e" cm="1">
        <f t="array" aca="1" ref="L15" ca="1">INDIRECT($B15&amp;"!M69")+INDIRECT($B15&amp;"!M70")</f>
        <v>#REF!</v>
      </c>
      <c r="M15" s="814" t="e" cm="1">
        <f t="array" aca="1" ref="M15" ca="1">INDIRECT($B15&amp;"!M77")-INDIRECT($B15&amp;"!M75")-INDIRECT($B15&amp;"!M69")-INDIRECT($B15&amp;"!M70")</f>
        <v>#REF!</v>
      </c>
      <c r="N15" s="814" t="e" cm="1">
        <f t="array" aca="1" ref="N15" ca="1">INDIRECT($B15&amp;"!M115")</f>
        <v>#REF!</v>
      </c>
      <c r="O15" s="814" t="e">
        <f t="shared" ca="1" si="7"/>
        <v>#REF!</v>
      </c>
      <c r="P15" s="813" t="e" cm="1">
        <f t="array" aca="1" ref="P15" ca="1">INDIRECT($B15&amp;"!M31")</f>
        <v>#REF!</v>
      </c>
      <c r="Q15" s="815" t="e">
        <f t="shared" ca="1" si="1"/>
        <v>#REF!</v>
      </c>
      <c r="R15" s="813" t="e" cm="1">
        <f t="array" aca="1" ref="R15" ca="1">INDIRECT($B15&amp;"!M34")</f>
        <v>#REF!</v>
      </c>
      <c r="S15" s="815" t="e">
        <f t="shared" ca="1" si="2"/>
        <v>#REF!</v>
      </c>
      <c r="T15" s="813" t="e" cm="1">
        <f t="array" aca="1" ref="T15" ca="1">INDIRECT($B15&amp;"!M38")</f>
        <v>#REF!</v>
      </c>
      <c r="V15" s="815" t="e">
        <f t="shared" ca="1" si="3"/>
        <v>#REF!</v>
      </c>
      <c r="W15" s="813" t="e" cm="1">
        <f t="array" aca="1" ref="W15" ca="1">INDIRECT($B15&amp;"!M36")</f>
        <v>#REF!</v>
      </c>
      <c r="X15" s="815" t="e">
        <f t="shared" ca="1" si="5"/>
        <v>#REF!</v>
      </c>
      <c r="Y15" s="813" t="e">
        <f>SUMIFS([1]客房!D:D,[1]客房!B:B,D15,[1]客房!C:C,"Reservation Fees 预订成本")</f>
        <v>#VALUE!</v>
      </c>
      <c r="Z15" s="813" t="e">
        <f>SUMIFS([1]客房!D:D,[1]客房!B:B,D15,[1]客房!C:C,"  Total Cost of Sales 总销售成本")</f>
        <v>#VALUE!</v>
      </c>
      <c r="AA15" s="813" t="e" cm="1">
        <f t="array" aca="1" ref="AA15" ca="1">INDIRECT($B15&amp;"!M44")+INDIRECT($B15&amp;"!M45")</f>
        <v>#REF!</v>
      </c>
      <c r="AB15" s="813" t="e">
        <f>SUMIFS([1]客房!D:D,[1]客房!B:B,D15,[1]客房!C:C,"Laundry 洗涤费")</f>
        <v>#VALUE!</v>
      </c>
      <c r="AC15" s="813" t="e" cm="1">
        <f t="array" aca="1" ref="AC15" ca="1">INDIRECT($B15&amp;"!M46")-Y15-Z15-AB15</f>
        <v>#REF!</v>
      </c>
      <c r="AD15" s="813" t="e" cm="1">
        <f t="array" aca="1" ref="AD15" ca="1">INDIRECT($B15&amp;"!M47")-SUM(Y15:AC15)</f>
        <v>#REF!</v>
      </c>
      <c r="AF15" s="813" t="e" cm="1">
        <f t="array" aca="1" ref="AF15" ca="1">INDIRECT($B15&amp;"!M60")</f>
        <v>#REF!</v>
      </c>
      <c r="AG15" s="813" t="e" cm="1">
        <f t="array" aca="1" ref="AG15" ca="1">INDIRECT($B15&amp;"!M61")+INDIRECT($B15&amp;"!M62")</f>
        <v>#REF!</v>
      </c>
      <c r="AH15" s="813" t="e">
        <f>SUMIFS([1]餐饮!D:D,[1]餐饮!B:B,D15,[1]餐饮!C:C,"Laundry 洗涤费")</f>
        <v>#VALUE!</v>
      </c>
      <c r="AI15" s="813" t="e" cm="1">
        <f t="array" aca="1" ref="AI15" ca="1">INDIRECT($B15&amp;"!M63")-AH15</f>
        <v>#REF!</v>
      </c>
      <c r="AJ15" s="813" t="e" cm="1">
        <f t="array" aca="1" ref="AJ15" ca="1">INDIRECT($B15&amp;"!M64")-SUM(AE15:AI15)</f>
        <v>#REF!</v>
      </c>
      <c r="AK15" s="813" t="e">
        <f>SUMIFS([1]新零售!D:D,[1]新零售!B:B,D15,[1]新零售!C:C,"Total Cost of Sales 总销售成本")</f>
        <v>#VALUE!</v>
      </c>
      <c r="AL15" s="813" t="e">
        <f>SUMIFS([1]康乐温泉!C:C,[1]康乐温泉!A:A,D15,[1]康乐温泉!B:B,"Total Cost of Sales 总销售成本")+SUMIFS([1]康乐温泉!C:C,[1]康乐温泉!A:A,D15,[1]康乐温泉!B:B,"Total Other Expenses 其他费用合计")</f>
        <v>#VALUE!</v>
      </c>
      <c r="AP15" s="813" t="e" cm="1">
        <f t="array" aca="1" ref="AP15" ca="1">INDIRECT($B15&amp;"!M91")+INDIRECT($B15&amp;"!M92")</f>
        <v>#REF!</v>
      </c>
      <c r="AQ15" s="813" t="e" cm="1">
        <f t="array" aca="1" ref="AQ15" ca="1">INDIRECT($B15&amp;"!M93")+INDIRECT($B15&amp;"!M94")+INDIRECT($B15&amp;"!M95")+INDIRECT($B15&amp;"!M96")</f>
        <v>#REF!</v>
      </c>
      <c r="AR15" s="813" t="e" cm="1">
        <f t="array" aca="1" ref="AR15" ca="1">INDIRECT($B15&amp;"!M98")+INDIRECT($B15&amp;"!M99")</f>
        <v>#REF!</v>
      </c>
      <c r="AT15" s="813" t="e" cm="1">
        <f t="array" aca="1" ref="AT15" ca="1">INDIRECT($B15&amp;"!M100")</f>
        <v>#REF!</v>
      </c>
      <c r="AU15" s="813" t="e" cm="1">
        <f t="array" aca="1" ref="AU15" ca="1">INDIRECT($B15&amp;"!M103")+INDIRECT($B15&amp;"!M104")</f>
        <v>#REF!</v>
      </c>
      <c r="AV15" s="813" t="e" cm="1">
        <f t="array" aca="1" ref="AV15" ca="1">INDIRECT($B15&amp;"!M36")</f>
        <v>#REF!</v>
      </c>
      <c r="AW15" s="813" t="e" cm="1">
        <f t="array" aca="1" ref="AW15" ca="1">INDIRECT($B15&amp;"!M105")-AV15</f>
        <v>#REF!</v>
      </c>
      <c r="AX15" s="813" t="e">
        <f>SUMIFS([1]能源!C:C,[1]能源!A:A,D15,[1]能源!B:B,"Electricity 电费")</f>
        <v>#VALUE!</v>
      </c>
      <c r="AY15" s="813" t="e">
        <f>SUMIFS([1]能源!C:C,[1]能源!A:A,D15,[1]能源!B:B,"Steam 蒸汽费")+SUMIFS([1]能源!C:C,[1]能源!A:A,D15,[1]能源!B:B,"Geothermal water 地热水")+SUMIFS([1]能源!C:C,[1]能源!A:A,D15,[1]能源!B:B,"Water 水费")</f>
        <v>#VALUE!</v>
      </c>
      <c r="AZ15" s="813" t="e">
        <f>SUMIFS([1]能源!C:C,[1]能源!A:A,D15,[1]能源!B:B,"Gas 煤气费")+SUMIFS([1]能源!C:C,[1]能源!A:A,D15,[1]能源!B:B,"Oil 燃油费")</f>
        <v>#VALUE!</v>
      </c>
      <c r="BA15" s="813" t="e">
        <f>SUMIFS([1]能源!C:C,[1]能源!A:A,D15,[1]能源!B:B,"Heating 暖气")</f>
        <v>#VALUE!</v>
      </c>
      <c r="BB15" s="813" t="e">
        <f t="shared" si="9"/>
        <v>#VALUE!</v>
      </c>
      <c r="BC15" s="815" t="e">
        <f t="shared" ca="1" si="10"/>
        <v>#VALUE!</v>
      </c>
      <c r="BD15" s="813" t="e" cm="1">
        <f t="array" aca="1" ref="BD15" ca="1">INDIRECT($B15&amp;"!M101")-SUM(AX15:BA15)</f>
        <v>#REF!</v>
      </c>
      <c r="BG15" s="813" t="e" cm="1">
        <f t="array" aca="1" ref="BG15" ca="1">INDIRECT($B15&amp;"!M119")</f>
        <v>#REF!</v>
      </c>
      <c r="BI15" s="813" t="e" cm="1">
        <f t="array" aca="1" ref="BI15" ca="1">INDIRECT($B15&amp;"!M116")</f>
        <v>#REF!</v>
      </c>
      <c r="BK15" s="813" t="e" cm="1">
        <f t="array" aca="1" ref="BK15" ca="1">INDIRECT($B15&amp;"!M123")</f>
        <v>#REF!</v>
      </c>
      <c r="BM15" s="813" t="e" cm="1">
        <f t="array" aca="1" ref="BM15" ca="1">INDIRECT($B15&amp;"!M117")</f>
        <v>#REF!</v>
      </c>
      <c r="BN15" s="813" t="e" cm="1">
        <f t="array" aca="1" ref="BN15" ca="1">INDIRECT($B15&amp;"!M118")+INDIRECT($B15&amp;"!M120")</f>
        <v>#REF!</v>
      </c>
      <c r="BP15" s="813" t="e" cm="1">
        <f t="array" aca="1" ref="BP15" ca="1">-INDIRECT($B15&amp;"!M114")+INDIRECT($B15&amp;"!M115")-BG15-BI15-BM15-BN15</f>
        <v>#REF!</v>
      </c>
    </row>
    <row r="16" spans="1:68">
      <c r="A16" s="759" t="s">
        <v>41</v>
      </c>
      <c r="B16" s="759" t="s">
        <v>163</v>
      </c>
      <c r="C16" s="759" t="s">
        <v>164</v>
      </c>
      <c r="D16" s="770" t="s">
        <v>165</v>
      </c>
      <c r="E16" s="831" t="e">
        <f t="shared" ca="1" si="8"/>
        <v>#REF!</v>
      </c>
      <c r="F16" s="814" t="e" cm="1">
        <f t="array" aca="1" ref="F16" ca="1">INDIRECT($B16&amp;"!M16")</f>
        <v>#REF!</v>
      </c>
      <c r="G16" s="814" t="e" cm="1">
        <f t="array" aca="1" ref="G16" ca="1">INDIRECT($B16&amp;"!M43")</f>
        <v>#REF!</v>
      </c>
      <c r="H16" s="814" t="e" cm="1">
        <f t="array" aca="1" ref="H16" ca="1">INDIRECT($B16&amp;"!M52")+INDIRECT($B16&amp;"!M53")</f>
        <v>#REF!</v>
      </c>
      <c r="I16" s="814" t="e" cm="1">
        <f t="array" aca="1" ref="I16" ca="1">INDIRECT($B16&amp;"!M55")</f>
        <v>#REF!</v>
      </c>
      <c r="J16" s="814" t="e" cm="1">
        <f t="array" aca="1" ref="J16" ca="1">INDIRECT($B16&amp;"!M54")</f>
        <v>#REF!</v>
      </c>
      <c r="K16" s="814" t="e" cm="1">
        <f t="array" aca="1" ref="K16" ca="1">INDIRECT($B16&amp;"!M75")</f>
        <v>#REF!</v>
      </c>
      <c r="L16" s="814" t="e" cm="1">
        <f t="array" aca="1" ref="L16" ca="1">INDIRECT($B16&amp;"!M69")+INDIRECT($B16&amp;"!M70")</f>
        <v>#REF!</v>
      </c>
      <c r="M16" s="814" t="e" cm="1">
        <f t="array" aca="1" ref="M16" ca="1">INDIRECT($B16&amp;"!M77")-INDIRECT($B16&amp;"!M75")-INDIRECT($B16&amp;"!M69")-INDIRECT($B16&amp;"!M70")</f>
        <v>#REF!</v>
      </c>
      <c r="N16" s="814" t="e" cm="1">
        <f t="array" aca="1" ref="N16" ca="1">INDIRECT($B16&amp;"!M115")</f>
        <v>#REF!</v>
      </c>
      <c r="O16" s="814" t="e">
        <f t="shared" ca="1" si="7"/>
        <v>#REF!</v>
      </c>
      <c r="P16" s="813" t="e" cm="1">
        <f t="array" aca="1" ref="P16" ca="1">INDIRECT($B16&amp;"!M31")</f>
        <v>#REF!</v>
      </c>
      <c r="Q16" s="815" t="e">
        <f t="shared" ca="1" si="1"/>
        <v>#REF!</v>
      </c>
      <c r="R16" s="813" t="e" cm="1">
        <f t="array" aca="1" ref="R16" ca="1">INDIRECT($B16&amp;"!M34")</f>
        <v>#REF!</v>
      </c>
      <c r="S16" s="815" t="e">
        <f t="shared" ca="1" si="2"/>
        <v>#REF!</v>
      </c>
      <c r="T16" s="813" t="e" cm="1">
        <f t="array" aca="1" ref="T16" ca="1">INDIRECT($B16&amp;"!M38")</f>
        <v>#REF!</v>
      </c>
      <c r="V16" s="815" t="e">
        <f t="shared" ca="1" si="3"/>
        <v>#REF!</v>
      </c>
      <c r="W16" s="813" t="e" cm="1">
        <f t="array" aca="1" ref="W16" ca="1">INDIRECT($B16&amp;"!M36")</f>
        <v>#REF!</v>
      </c>
      <c r="X16" s="815" t="e">
        <f t="shared" ca="1" si="5"/>
        <v>#REF!</v>
      </c>
      <c r="Y16" s="813" t="e">
        <f>SUMIFS([1]客房!D:D,[1]客房!B:B,D16,[1]客房!C:C,"Reservation Fees 预订成本")</f>
        <v>#VALUE!</v>
      </c>
      <c r="Z16" s="813" t="e">
        <f>SUMIFS([1]客房!D:D,[1]客房!B:B,D16,[1]客房!C:C,"  Total Cost of Sales 总销售成本")</f>
        <v>#VALUE!</v>
      </c>
      <c r="AA16" s="813" t="e" cm="1">
        <f t="array" aca="1" ref="AA16" ca="1">INDIRECT($B16&amp;"!M44")+INDIRECT($B16&amp;"!M45")</f>
        <v>#REF!</v>
      </c>
      <c r="AB16" s="813" t="e">
        <f>SUMIFS([1]客房!D:D,[1]客房!B:B,D16,[1]客房!C:C,"Laundry 洗涤费")</f>
        <v>#VALUE!</v>
      </c>
      <c r="AC16" s="813" t="e" cm="1">
        <f t="array" aca="1" ref="AC16" ca="1">INDIRECT($B16&amp;"!M46")-Y16-Z16-AB16</f>
        <v>#REF!</v>
      </c>
      <c r="AD16" s="813" t="e" cm="1">
        <f t="array" aca="1" ref="AD16" ca="1">INDIRECT($B16&amp;"!M47")-SUM(Y16:AC16)</f>
        <v>#REF!</v>
      </c>
      <c r="AF16" s="813" t="e" cm="1">
        <f t="array" aca="1" ref="AF16" ca="1">INDIRECT($B16&amp;"!M60")</f>
        <v>#REF!</v>
      </c>
      <c r="AG16" s="813" t="e" cm="1">
        <f t="array" aca="1" ref="AG16" ca="1">INDIRECT($B16&amp;"!M61")+INDIRECT($B16&amp;"!M62")</f>
        <v>#REF!</v>
      </c>
      <c r="AH16" s="813" t="e">
        <f>SUMIFS([1]餐饮!D:D,[1]餐饮!B:B,D16,[1]餐饮!C:C,"Laundry 洗涤费")</f>
        <v>#VALUE!</v>
      </c>
      <c r="AI16" s="813" t="e" cm="1">
        <f t="array" aca="1" ref="AI16" ca="1">INDIRECT($B16&amp;"!M63")-AH16</f>
        <v>#REF!</v>
      </c>
      <c r="AJ16" s="813" t="e" cm="1">
        <f t="array" aca="1" ref="AJ16" ca="1">INDIRECT($B16&amp;"!M64")-SUM(AE16:AI16)</f>
        <v>#REF!</v>
      </c>
      <c r="AK16" s="813" t="e">
        <f>SUMIFS([1]新零售!D:D,[1]新零售!B:B,D16,[1]新零售!C:C,"Total Cost of Sales 总销售成本")</f>
        <v>#VALUE!</v>
      </c>
      <c r="AL16" s="813" t="e">
        <f>SUMIFS([1]康乐温泉!C:C,[1]康乐温泉!A:A,D16,[1]康乐温泉!B:B,"Total Cost of Sales 总销售成本")+SUMIFS([1]康乐温泉!C:C,[1]康乐温泉!A:A,D16,[1]康乐温泉!B:B,"Total Other Expenses 其他费用合计")</f>
        <v>#VALUE!</v>
      </c>
      <c r="AP16" s="813" t="e" cm="1">
        <f t="array" aca="1" ref="AP16" ca="1">INDIRECT($B16&amp;"!M91")+INDIRECT($B16&amp;"!M92")</f>
        <v>#REF!</v>
      </c>
      <c r="AQ16" s="813" t="e" cm="1">
        <f t="array" aca="1" ref="AQ16" ca="1">INDIRECT($B16&amp;"!M93")+INDIRECT($B16&amp;"!M94")+INDIRECT($B16&amp;"!M95")+INDIRECT($B16&amp;"!M96")</f>
        <v>#REF!</v>
      </c>
      <c r="AR16" s="813" t="e" cm="1">
        <f t="array" aca="1" ref="AR16" ca="1">INDIRECT($B16&amp;"!M98")+INDIRECT($B16&amp;"!M99")</f>
        <v>#REF!</v>
      </c>
      <c r="AT16" s="813" t="e" cm="1">
        <f t="array" aca="1" ref="AT16" ca="1">INDIRECT($B16&amp;"!M100")</f>
        <v>#REF!</v>
      </c>
      <c r="AU16" s="813" t="e" cm="1">
        <f t="array" aca="1" ref="AU16" ca="1">INDIRECT($B16&amp;"!M103")+INDIRECT($B16&amp;"!M104")</f>
        <v>#REF!</v>
      </c>
      <c r="AV16" s="813" t="e" cm="1">
        <f t="array" aca="1" ref="AV16" ca="1">INDIRECT($B16&amp;"!M36")</f>
        <v>#REF!</v>
      </c>
      <c r="AW16" s="813" t="e" cm="1">
        <f t="array" aca="1" ref="AW16" ca="1">INDIRECT($B16&amp;"!M105")-AV16</f>
        <v>#REF!</v>
      </c>
      <c r="AX16" s="813" t="e">
        <f>SUMIFS([1]能源!C:C,[1]能源!A:A,D16,[1]能源!B:B,"Electricity 电费")</f>
        <v>#VALUE!</v>
      </c>
      <c r="AY16" s="813" t="e">
        <f>SUMIFS([1]能源!C:C,[1]能源!A:A,D16,[1]能源!B:B,"Steam 蒸汽费")+SUMIFS([1]能源!C:C,[1]能源!A:A,D16,[1]能源!B:B,"Geothermal water 地热水")+SUMIFS([1]能源!C:C,[1]能源!A:A,D16,[1]能源!B:B,"Water 水费")</f>
        <v>#VALUE!</v>
      </c>
      <c r="AZ16" s="813" t="e">
        <f>SUMIFS([1]能源!C:C,[1]能源!A:A,D16,[1]能源!B:B,"Gas 煤气费")+SUMIFS([1]能源!C:C,[1]能源!A:A,D16,[1]能源!B:B,"Oil 燃油费")</f>
        <v>#VALUE!</v>
      </c>
      <c r="BA16" s="813" t="e">
        <f>SUMIFS([1]能源!C:C,[1]能源!A:A,D16,[1]能源!B:B,"Heating 暖气")</f>
        <v>#VALUE!</v>
      </c>
      <c r="BB16" s="813" t="e">
        <f t="shared" si="9"/>
        <v>#VALUE!</v>
      </c>
      <c r="BC16" s="815" t="e">
        <f t="shared" ca="1" si="10"/>
        <v>#VALUE!</v>
      </c>
      <c r="BD16" s="813" t="e" cm="1">
        <f t="array" aca="1" ref="BD16" ca="1">INDIRECT($B16&amp;"!M101")-SUM(AX16:BA16)</f>
        <v>#REF!</v>
      </c>
      <c r="BG16" s="813" t="e" cm="1">
        <f t="array" aca="1" ref="BG16" ca="1">INDIRECT($B16&amp;"!M119")</f>
        <v>#REF!</v>
      </c>
      <c r="BI16" s="813" t="e" cm="1">
        <f t="array" aca="1" ref="BI16" ca="1">INDIRECT($B16&amp;"!M116")</f>
        <v>#REF!</v>
      </c>
      <c r="BK16" s="813" t="e" cm="1">
        <f t="array" aca="1" ref="BK16" ca="1">INDIRECT($B16&amp;"!M123")</f>
        <v>#REF!</v>
      </c>
      <c r="BM16" s="813" t="e" cm="1">
        <f t="array" aca="1" ref="BM16" ca="1">INDIRECT($B16&amp;"!M117")</f>
        <v>#REF!</v>
      </c>
      <c r="BN16" s="813" t="e" cm="1">
        <f t="array" aca="1" ref="BN16" ca="1">INDIRECT($B16&amp;"!M118")+INDIRECT($B16&amp;"!M120")</f>
        <v>#REF!</v>
      </c>
      <c r="BP16" s="813" t="e" cm="1">
        <f t="array" aca="1" ref="BP16" ca="1">-INDIRECT($B16&amp;"!M114")+INDIRECT($B16&amp;"!M115")-BG16-BI16-BM16-BN16</f>
        <v>#REF!</v>
      </c>
    </row>
    <row r="17" spans="1:68">
      <c r="A17" s="759" t="s">
        <v>42</v>
      </c>
      <c r="B17" s="759" t="s">
        <v>166</v>
      </c>
      <c r="C17" s="759" t="s">
        <v>42</v>
      </c>
      <c r="D17" s="770" t="s">
        <v>167</v>
      </c>
      <c r="E17" s="831" t="e">
        <f t="shared" ca="1" si="8"/>
        <v>#REF!</v>
      </c>
      <c r="F17" s="814" t="e" cm="1">
        <f t="array" aca="1" ref="F17" ca="1">INDIRECT($B17&amp;"!M16")</f>
        <v>#REF!</v>
      </c>
      <c r="G17" s="814" t="e" cm="1">
        <f t="array" aca="1" ref="G17" ca="1">INDIRECT($B17&amp;"!M43")</f>
        <v>#REF!</v>
      </c>
      <c r="H17" s="814" t="e" cm="1">
        <f t="array" aca="1" ref="H17" ca="1">INDIRECT($B17&amp;"!M52")+INDIRECT($B17&amp;"!M53")</f>
        <v>#REF!</v>
      </c>
      <c r="I17" s="814" t="e" cm="1">
        <f t="array" aca="1" ref="I17" ca="1">INDIRECT($B17&amp;"!M55")</f>
        <v>#REF!</v>
      </c>
      <c r="J17" s="814" t="e" cm="1">
        <f t="array" aca="1" ref="J17" ca="1">INDIRECT($B17&amp;"!M54")</f>
        <v>#REF!</v>
      </c>
      <c r="K17" s="814" t="e" cm="1">
        <f t="array" aca="1" ref="K17" ca="1">INDIRECT($B17&amp;"!M75")</f>
        <v>#REF!</v>
      </c>
      <c r="L17" s="814" t="e" cm="1">
        <f t="array" aca="1" ref="L17" ca="1">INDIRECT($B17&amp;"!M69")+INDIRECT($B17&amp;"!M70")</f>
        <v>#REF!</v>
      </c>
      <c r="M17" s="814" t="e" cm="1">
        <f t="array" aca="1" ref="M17" ca="1">INDIRECT($B17&amp;"!M77")-INDIRECT($B17&amp;"!M75")-INDIRECT($B17&amp;"!M69")-INDIRECT($B17&amp;"!M70")</f>
        <v>#REF!</v>
      </c>
      <c r="N17" s="814" t="e" cm="1">
        <f t="array" aca="1" ref="N17" ca="1">INDIRECT($B17&amp;"!M115")</f>
        <v>#REF!</v>
      </c>
      <c r="O17" s="814" t="e">
        <f t="shared" ca="1" si="7"/>
        <v>#REF!</v>
      </c>
      <c r="P17" s="813" t="e" cm="1">
        <f t="array" aca="1" ref="P17" ca="1">INDIRECT($B17&amp;"!M31")</f>
        <v>#REF!</v>
      </c>
      <c r="Q17" s="815" t="e">
        <f t="shared" ca="1" si="1"/>
        <v>#REF!</v>
      </c>
      <c r="R17" s="813" t="e" cm="1">
        <f t="array" aca="1" ref="R17" ca="1">INDIRECT($B17&amp;"!M34")</f>
        <v>#REF!</v>
      </c>
      <c r="S17" s="815" t="e">
        <f t="shared" ca="1" si="2"/>
        <v>#REF!</v>
      </c>
      <c r="T17" s="813" t="e" cm="1">
        <f t="array" aca="1" ref="T17" ca="1">INDIRECT($B17&amp;"!M38")</f>
        <v>#REF!</v>
      </c>
      <c r="V17" s="815" t="e">
        <f t="shared" ca="1" si="3"/>
        <v>#REF!</v>
      </c>
      <c r="W17" s="813" t="e" cm="1">
        <f t="array" aca="1" ref="W17" ca="1">INDIRECT($B17&amp;"!M36")</f>
        <v>#REF!</v>
      </c>
      <c r="X17" s="815" t="e">
        <f t="shared" ca="1" si="5"/>
        <v>#REF!</v>
      </c>
      <c r="Y17" s="813" t="e">
        <f>SUMIFS([1]客房!D:D,[1]客房!B:B,D17,[1]客房!C:C,"Reservation Fees 预订成本")</f>
        <v>#VALUE!</v>
      </c>
      <c r="Z17" s="813" t="e">
        <f>SUMIFS([1]客房!D:D,[1]客房!B:B,D17,[1]客房!C:C,"  Total Cost of Sales 总销售成本")</f>
        <v>#VALUE!</v>
      </c>
      <c r="AA17" s="813" t="e" cm="1">
        <f t="array" aca="1" ref="AA17" ca="1">INDIRECT($B17&amp;"!M44")+INDIRECT($B17&amp;"!M45")</f>
        <v>#REF!</v>
      </c>
      <c r="AB17" s="813" t="e">
        <f>SUMIFS([1]客房!D:D,[1]客房!B:B,D17,[1]客房!C:C,"Laundry 洗涤费")</f>
        <v>#VALUE!</v>
      </c>
      <c r="AC17" s="813" t="e" cm="1">
        <f t="array" aca="1" ref="AC17" ca="1">INDIRECT($B17&amp;"!M46")-Y17-Z17-AB17</f>
        <v>#REF!</v>
      </c>
      <c r="AD17" s="813" t="e" cm="1">
        <f t="array" aca="1" ref="AD17" ca="1">INDIRECT($B17&amp;"!M47")-SUM(Y17:AC17)</f>
        <v>#REF!</v>
      </c>
      <c r="AF17" s="813" t="e" cm="1">
        <f t="array" aca="1" ref="AF17" ca="1">INDIRECT($B17&amp;"!M60")</f>
        <v>#REF!</v>
      </c>
      <c r="AG17" s="813" t="e" cm="1">
        <f t="array" aca="1" ref="AG17" ca="1">INDIRECT($B17&amp;"!M61")+INDIRECT($B17&amp;"!M62")</f>
        <v>#REF!</v>
      </c>
      <c r="AH17" s="813" t="e">
        <f>SUMIFS([1]餐饮!D:D,[1]餐饮!B:B,D17,[1]餐饮!C:C,"Laundry 洗涤费")</f>
        <v>#VALUE!</v>
      </c>
      <c r="AI17" s="813" t="e" cm="1">
        <f t="array" aca="1" ref="AI17" ca="1">INDIRECT($B17&amp;"!M63")-AH17</f>
        <v>#REF!</v>
      </c>
      <c r="AJ17" s="813" t="e" cm="1">
        <f t="array" aca="1" ref="AJ17" ca="1">INDIRECT($B17&amp;"!M64")-SUM(AE17:AI17)</f>
        <v>#REF!</v>
      </c>
      <c r="AK17" s="813" t="e">
        <f>SUMIFS([1]新零售!D:D,[1]新零售!B:B,D17,[1]新零售!C:C,"Total Cost of Sales 总销售成本")</f>
        <v>#VALUE!</v>
      </c>
      <c r="AL17" s="813" t="e">
        <f>SUMIFS([1]康乐温泉!C:C,[1]康乐温泉!A:A,D17,[1]康乐温泉!B:B,"Total Cost of Sales 总销售成本")+SUMIFS([1]康乐温泉!C:C,[1]康乐温泉!A:A,D17,[1]康乐温泉!B:B,"Total Other Expenses 其他费用合计")</f>
        <v>#VALUE!</v>
      </c>
      <c r="AP17" s="813" t="e" cm="1">
        <f t="array" aca="1" ref="AP17" ca="1">INDIRECT($B17&amp;"!M91")+INDIRECT($B17&amp;"!M92")</f>
        <v>#REF!</v>
      </c>
      <c r="AQ17" s="813" t="e" cm="1">
        <f t="array" aca="1" ref="AQ17" ca="1">INDIRECT($B17&amp;"!M93")+INDIRECT($B17&amp;"!M94")+INDIRECT($B17&amp;"!M95")+INDIRECT($B17&amp;"!M96")</f>
        <v>#REF!</v>
      </c>
      <c r="AR17" s="813" t="e" cm="1">
        <f t="array" aca="1" ref="AR17" ca="1">INDIRECT($B17&amp;"!M98")+INDIRECT($B17&amp;"!M99")</f>
        <v>#REF!</v>
      </c>
      <c r="AT17" s="813" t="e" cm="1">
        <f t="array" aca="1" ref="AT17" ca="1">INDIRECT($B17&amp;"!M100")</f>
        <v>#REF!</v>
      </c>
      <c r="AU17" s="813" t="e" cm="1">
        <f t="array" aca="1" ref="AU17" ca="1">INDIRECT($B17&amp;"!M103")+INDIRECT($B17&amp;"!M104")</f>
        <v>#REF!</v>
      </c>
      <c r="AV17" s="813" t="e" cm="1">
        <f t="array" aca="1" ref="AV17" ca="1">INDIRECT($B17&amp;"!M36")</f>
        <v>#REF!</v>
      </c>
      <c r="AW17" s="813" t="e" cm="1">
        <f t="array" aca="1" ref="AW17" ca="1">INDIRECT($B17&amp;"!M105")-AV17</f>
        <v>#REF!</v>
      </c>
      <c r="AX17" s="813" t="e">
        <f>SUMIFS([1]能源!C:C,[1]能源!A:A,D17,[1]能源!B:B,"Electricity 电费")</f>
        <v>#VALUE!</v>
      </c>
      <c r="AY17" s="813" t="e">
        <f>SUMIFS([1]能源!C:C,[1]能源!A:A,D17,[1]能源!B:B,"Steam 蒸汽费")+SUMIFS([1]能源!C:C,[1]能源!A:A,D17,[1]能源!B:B,"Geothermal water 地热水")+SUMIFS([1]能源!C:C,[1]能源!A:A,D17,[1]能源!B:B,"Water 水费")</f>
        <v>#VALUE!</v>
      </c>
      <c r="AZ17" s="813" t="e">
        <f>SUMIFS([1]能源!C:C,[1]能源!A:A,D17,[1]能源!B:B,"Gas 煤气费")+SUMIFS([1]能源!C:C,[1]能源!A:A,D17,[1]能源!B:B,"Oil 燃油费")</f>
        <v>#VALUE!</v>
      </c>
      <c r="BA17" s="813" t="e">
        <f>SUMIFS([1]能源!C:C,[1]能源!A:A,D17,[1]能源!B:B,"Heating 暖气")</f>
        <v>#VALUE!</v>
      </c>
      <c r="BB17" s="813" t="e">
        <f t="shared" si="9"/>
        <v>#VALUE!</v>
      </c>
      <c r="BC17" s="815" t="e">
        <f t="shared" ca="1" si="10"/>
        <v>#VALUE!</v>
      </c>
      <c r="BD17" s="813" t="e" cm="1">
        <f t="array" aca="1" ref="BD17" ca="1">INDIRECT($B17&amp;"!M101")-SUM(AX17:BA17)</f>
        <v>#REF!</v>
      </c>
      <c r="BG17" s="813" t="e" cm="1">
        <f t="array" aca="1" ref="BG17" ca="1">INDIRECT($B17&amp;"!M119")</f>
        <v>#REF!</v>
      </c>
      <c r="BI17" s="813" t="e" cm="1">
        <f t="array" aca="1" ref="BI17" ca="1">INDIRECT($B17&amp;"!M116")</f>
        <v>#REF!</v>
      </c>
      <c r="BK17" s="813" t="e" cm="1">
        <f t="array" aca="1" ref="BK17" ca="1">INDIRECT($B17&amp;"!M123")</f>
        <v>#REF!</v>
      </c>
      <c r="BM17" s="813" t="e" cm="1">
        <f t="array" aca="1" ref="BM17" ca="1">INDIRECT($B17&amp;"!M117")</f>
        <v>#REF!</v>
      </c>
      <c r="BN17" s="813" t="e" cm="1">
        <f t="array" aca="1" ref="BN17" ca="1">INDIRECT($B17&amp;"!M118")+INDIRECT($B17&amp;"!M120")</f>
        <v>#REF!</v>
      </c>
      <c r="BP17" s="813" t="e" cm="1">
        <f t="array" aca="1" ref="BP17" ca="1">-INDIRECT($B17&amp;"!M114")+INDIRECT($B17&amp;"!M115")-BG17-BI17-BM17-BN17</f>
        <v>#REF!</v>
      </c>
    </row>
    <row r="18" spans="1:68">
      <c r="A18" s="759" t="s">
        <v>43</v>
      </c>
      <c r="B18" s="759" t="s">
        <v>168</v>
      </c>
      <c r="C18" s="759" t="s">
        <v>43</v>
      </c>
      <c r="D18" s="770" t="s">
        <v>169</v>
      </c>
      <c r="E18" s="831" t="e">
        <f t="shared" ca="1" si="8"/>
        <v>#REF!</v>
      </c>
      <c r="F18" s="814" t="e" cm="1">
        <f t="array" aca="1" ref="F18" ca="1">INDIRECT($B18&amp;"!M16")</f>
        <v>#REF!</v>
      </c>
      <c r="G18" s="814" t="e" cm="1">
        <f t="array" aca="1" ref="G18" ca="1">INDIRECT($B18&amp;"!M43")</f>
        <v>#REF!</v>
      </c>
      <c r="H18" s="814" t="e" cm="1">
        <f t="array" aca="1" ref="H18" ca="1">INDIRECT($B18&amp;"!M52")+INDIRECT($B18&amp;"!M53")</f>
        <v>#REF!</v>
      </c>
      <c r="I18" s="814" t="e" cm="1">
        <f t="array" aca="1" ref="I18" ca="1">INDIRECT($B18&amp;"!M55")</f>
        <v>#REF!</v>
      </c>
      <c r="J18" s="814" t="e" cm="1">
        <f t="array" aca="1" ref="J18" ca="1">INDIRECT($B18&amp;"!M54")</f>
        <v>#REF!</v>
      </c>
      <c r="K18" s="814" t="e" cm="1">
        <f t="array" aca="1" ref="K18" ca="1">INDIRECT($B18&amp;"!M75")</f>
        <v>#REF!</v>
      </c>
      <c r="L18" s="814" t="e" cm="1">
        <f t="array" aca="1" ref="L18" ca="1">INDIRECT($B18&amp;"!M69")+INDIRECT($B18&amp;"!M70")</f>
        <v>#REF!</v>
      </c>
      <c r="M18" s="814" t="e" cm="1">
        <f t="array" aca="1" ref="M18" ca="1">INDIRECT($B18&amp;"!M77")-INDIRECT($B18&amp;"!M75")-INDIRECT($B18&amp;"!M69")-INDIRECT($B18&amp;"!M70")</f>
        <v>#REF!</v>
      </c>
      <c r="N18" s="814" t="e" cm="1">
        <f t="array" aca="1" ref="N18" ca="1">INDIRECT($B18&amp;"!M115")</f>
        <v>#REF!</v>
      </c>
      <c r="O18" s="814" t="e">
        <f t="shared" ca="1" si="7"/>
        <v>#REF!</v>
      </c>
      <c r="P18" s="813" t="e" cm="1">
        <f t="array" aca="1" ref="P18" ca="1">INDIRECT($B18&amp;"!M31")</f>
        <v>#REF!</v>
      </c>
      <c r="Q18" s="815" t="e">
        <f t="shared" ca="1" si="1"/>
        <v>#REF!</v>
      </c>
      <c r="R18" s="813" t="e" cm="1">
        <f t="array" aca="1" ref="R18" ca="1">INDIRECT($B18&amp;"!M34")</f>
        <v>#REF!</v>
      </c>
      <c r="S18" s="815" t="e">
        <f t="shared" ca="1" si="2"/>
        <v>#REF!</v>
      </c>
      <c r="T18" s="813" t="e" cm="1">
        <f t="array" aca="1" ref="T18" ca="1">INDIRECT($B18&amp;"!M38")</f>
        <v>#REF!</v>
      </c>
      <c r="V18" s="815" t="e">
        <f t="shared" ca="1" si="3"/>
        <v>#REF!</v>
      </c>
      <c r="W18" s="813" t="e" cm="1">
        <f t="array" aca="1" ref="W18" ca="1">INDIRECT($B18&amp;"!M36")</f>
        <v>#REF!</v>
      </c>
      <c r="X18" s="815" t="e">
        <f t="shared" ca="1" si="5"/>
        <v>#REF!</v>
      </c>
      <c r="Y18" s="813" t="e">
        <f>SUMIFS([1]客房!D:D,[1]客房!B:B,D18,[1]客房!C:C,"Reservation Fees 预订成本")</f>
        <v>#VALUE!</v>
      </c>
      <c r="Z18" s="813" t="e">
        <f>SUMIFS([1]客房!D:D,[1]客房!B:B,D18,[1]客房!C:C,"  Total Cost of Sales 总销售成本")</f>
        <v>#VALUE!</v>
      </c>
      <c r="AA18" s="813" t="e" cm="1">
        <f t="array" aca="1" ref="AA18" ca="1">INDIRECT($B18&amp;"!M44")+INDIRECT($B18&amp;"!M45")</f>
        <v>#REF!</v>
      </c>
      <c r="AB18" s="813" t="e">
        <f>SUMIFS([1]客房!D:D,[1]客房!B:B,D18,[1]客房!C:C,"Laundry 洗涤费")</f>
        <v>#VALUE!</v>
      </c>
      <c r="AC18" s="813" t="e" cm="1">
        <f t="array" aca="1" ref="AC18" ca="1">INDIRECT($B18&amp;"!M46")-Y18-Z18-AB18</f>
        <v>#REF!</v>
      </c>
      <c r="AD18" s="813" t="e" cm="1">
        <f t="array" aca="1" ref="AD18" ca="1">INDIRECT($B18&amp;"!M47")-SUM(Y18:AC18)</f>
        <v>#REF!</v>
      </c>
      <c r="AF18" s="813" t="e" cm="1">
        <f t="array" aca="1" ref="AF18" ca="1">INDIRECT($B18&amp;"!M60")</f>
        <v>#REF!</v>
      </c>
      <c r="AG18" s="813" t="e" cm="1">
        <f t="array" aca="1" ref="AG18" ca="1">INDIRECT($B18&amp;"!M61")+INDIRECT($B18&amp;"!M62")</f>
        <v>#REF!</v>
      </c>
      <c r="AH18" s="813" t="e">
        <f>SUMIFS([1]餐饮!D:D,[1]餐饮!B:B,D18,[1]餐饮!C:C,"Laundry 洗涤费")</f>
        <v>#VALUE!</v>
      </c>
      <c r="AI18" s="813" t="e" cm="1">
        <f t="array" aca="1" ref="AI18" ca="1">INDIRECT($B18&amp;"!M63")-AH18</f>
        <v>#REF!</v>
      </c>
      <c r="AJ18" s="813" t="e" cm="1">
        <f t="array" aca="1" ref="AJ18" ca="1">INDIRECT($B18&amp;"!M64")-SUM(AE18:AI18)</f>
        <v>#REF!</v>
      </c>
      <c r="AK18" s="813" t="e">
        <f>SUMIFS([1]新零售!D:D,[1]新零售!B:B,D18,[1]新零售!C:C,"Total Cost of Sales 总销售成本")</f>
        <v>#VALUE!</v>
      </c>
      <c r="AL18" s="813" t="e">
        <f>SUMIFS([1]康乐温泉!C:C,[1]康乐温泉!A:A,D18,[1]康乐温泉!B:B,"Total Cost of Sales 总销售成本")+SUMIFS([1]康乐温泉!C:C,[1]康乐温泉!A:A,D18,[1]康乐温泉!B:B,"Total Other Expenses 其他费用合计")</f>
        <v>#VALUE!</v>
      </c>
      <c r="AP18" s="813" t="e" cm="1">
        <f t="array" aca="1" ref="AP18" ca="1">INDIRECT($B18&amp;"!M91")+INDIRECT($B18&amp;"!M92")</f>
        <v>#REF!</v>
      </c>
      <c r="AQ18" s="813" t="e" cm="1">
        <f t="array" aca="1" ref="AQ18" ca="1">INDIRECT($B18&amp;"!M93")+INDIRECT($B18&amp;"!M94")+INDIRECT($B18&amp;"!M95")+INDIRECT($B18&amp;"!M96")</f>
        <v>#REF!</v>
      </c>
      <c r="AR18" s="813" t="e" cm="1">
        <f t="array" aca="1" ref="AR18" ca="1">INDIRECT($B18&amp;"!M98")+INDIRECT($B18&amp;"!M99")</f>
        <v>#REF!</v>
      </c>
      <c r="AT18" s="813" t="e" cm="1">
        <f t="array" aca="1" ref="AT18" ca="1">INDIRECT($B18&amp;"!M100")</f>
        <v>#REF!</v>
      </c>
      <c r="AU18" s="813" t="e" cm="1">
        <f t="array" aca="1" ref="AU18" ca="1">INDIRECT($B18&amp;"!M103")+INDIRECT($B18&amp;"!M104")</f>
        <v>#REF!</v>
      </c>
      <c r="AV18" s="813" t="e" cm="1">
        <f t="array" aca="1" ref="AV18" ca="1">INDIRECT($B18&amp;"!M36")</f>
        <v>#REF!</v>
      </c>
      <c r="AW18" s="813" t="e" cm="1">
        <f t="array" aca="1" ref="AW18" ca="1">INDIRECT($B18&amp;"!M105")-AV18</f>
        <v>#REF!</v>
      </c>
      <c r="AX18" s="813" t="e">
        <f>SUMIFS([1]能源!C:C,[1]能源!A:A,D18,[1]能源!B:B,"Electricity 电费")</f>
        <v>#VALUE!</v>
      </c>
      <c r="AY18" s="813" t="e">
        <f>SUMIFS([1]能源!C:C,[1]能源!A:A,D18,[1]能源!B:B,"Steam 蒸汽费")+SUMIFS([1]能源!C:C,[1]能源!A:A,D18,[1]能源!B:B,"Geothermal water 地热水")+SUMIFS([1]能源!C:C,[1]能源!A:A,D18,[1]能源!B:B,"Water 水费")</f>
        <v>#VALUE!</v>
      </c>
      <c r="AZ18" s="813" t="e">
        <f>SUMIFS([1]能源!C:C,[1]能源!A:A,D18,[1]能源!B:B,"Gas 煤气费")+SUMIFS([1]能源!C:C,[1]能源!A:A,D18,[1]能源!B:B,"Oil 燃油费")</f>
        <v>#VALUE!</v>
      </c>
      <c r="BA18" s="813" t="e">
        <f>SUMIFS([1]能源!C:C,[1]能源!A:A,D18,[1]能源!B:B,"Heating 暖气")</f>
        <v>#VALUE!</v>
      </c>
      <c r="BB18" s="813" t="e">
        <f t="shared" si="9"/>
        <v>#VALUE!</v>
      </c>
      <c r="BC18" s="815" t="e">
        <f t="shared" ca="1" si="10"/>
        <v>#VALUE!</v>
      </c>
      <c r="BD18" s="813" t="e" cm="1">
        <f t="array" aca="1" ref="BD18" ca="1">INDIRECT($B18&amp;"!M101")-SUM(AX18:BA18)</f>
        <v>#REF!</v>
      </c>
      <c r="BG18" s="813" t="e" cm="1">
        <f t="array" aca="1" ref="BG18" ca="1">INDIRECT($B18&amp;"!M119")</f>
        <v>#REF!</v>
      </c>
      <c r="BI18" s="813" t="e" cm="1">
        <f t="array" aca="1" ref="BI18" ca="1">INDIRECT($B18&amp;"!M116")</f>
        <v>#REF!</v>
      </c>
      <c r="BK18" s="813" t="e" cm="1">
        <f t="array" aca="1" ref="BK18" ca="1">INDIRECT($B18&amp;"!M123")</f>
        <v>#REF!</v>
      </c>
      <c r="BM18" s="813" t="e" cm="1">
        <f t="array" aca="1" ref="BM18" ca="1">INDIRECT($B18&amp;"!M117")</f>
        <v>#REF!</v>
      </c>
      <c r="BN18" s="813" t="e" cm="1">
        <f t="array" aca="1" ref="BN18" ca="1">INDIRECT($B18&amp;"!M118")+INDIRECT($B18&amp;"!M120")</f>
        <v>#REF!</v>
      </c>
      <c r="BP18" s="813" t="e" cm="1">
        <f t="array" aca="1" ref="BP18" ca="1">-INDIRECT($B18&amp;"!M114")+INDIRECT($B18&amp;"!M115")-BG18-BI18-BM18-BN18</f>
        <v>#REF!</v>
      </c>
    </row>
    <row r="19" spans="1:68">
      <c r="A19" s="759" t="s">
        <v>44</v>
      </c>
      <c r="B19" s="759" t="s">
        <v>170</v>
      </c>
      <c r="C19" s="759" t="s">
        <v>44</v>
      </c>
      <c r="D19" s="770" t="s">
        <v>171</v>
      </c>
      <c r="E19" s="831" t="e">
        <f t="shared" ca="1" si="8"/>
        <v>#REF!</v>
      </c>
      <c r="F19" s="814" t="e" cm="1">
        <f t="array" aca="1" ref="F19" ca="1">INDIRECT($B19&amp;"!M16")</f>
        <v>#REF!</v>
      </c>
      <c r="G19" s="814" t="e" cm="1">
        <f t="array" aca="1" ref="G19" ca="1">INDIRECT($B19&amp;"!M43")</f>
        <v>#REF!</v>
      </c>
      <c r="H19" s="814" t="e" cm="1">
        <f t="array" aca="1" ref="H19" ca="1">INDIRECT($B19&amp;"!M52")+INDIRECT($B19&amp;"!M53")</f>
        <v>#REF!</v>
      </c>
      <c r="I19" s="814" t="e" cm="1">
        <f t="array" aca="1" ref="I19" ca="1">INDIRECT($B19&amp;"!M55")</f>
        <v>#REF!</v>
      </c>
      <c r="J19" s="814" t="e" cm="1">
        <f t="array" aca="1" ref="J19" ca="1">INDIRECT($B19&amp;"!M54")</f>
        <v>#REF!</v>
      </c>
      <c r="K19" s="814" t="e" cm="1">
        <f t="array" aca="1" ref="K19" ca="1">INDIRECT($B19&amp;"!M75")</f>
        <v>#REF!</v>
      </c>
      <c r="L19" s="814" t="e" cm="1">
        <f t="array" aca="1" ref="L19" ca="1">INDIRECT($B19&amp;"!M69")+INDIRECT($B19&amp;"!M70")</f>
        <v>#REF!</v>
      </c>
      <c r="M19" s="814" t="e" cm="1">
        <f t="array" aca="1" ref="M19" ca="1">INDIRECT($B19&amp;"!M77")-INDIRECT($B19&amp;"!M75")-INDIRECT($B19&amp;"!M69")-INDIRECT($B19&amp;"!M70")</f>
        <v>#REF!</v>
      </c>
      <c r="N19" s="814" t="e" cm="1">
        <f t="array" aca="1" ref="N19" ca="1">INDIRECT($B19&amp;"!M115")</f>
        <v>#REF!</v>
      </c>
      <c r="O19" s="814" t="e">
        <f t="shared" ca="1" si="7"/>
        <v>#REF!</v>
      </c>
      <c r="P19" s="813" t="e" cm="1">
        <f t="array" aca="1" ref="P19" ca="1">INDIRECT($B19&amp;"!M31")</f>
        <v>#REF!</v>
      </c>
      <c r="Q19" s="815" t="e">
        <f t="shared" ca="1" si="1"/>
        <v>#REF!</v>
      </c>
      <c r="R19" s="813" t="e" cm="1">
        <f t="array" aca="1" ref="R19" ca="1">INDIRECT($B19&amp;"!M34")</f>
        <v>#REF!</v>
      </c>
      <c r="S19" s="815" t="e">
        <f t="shared" ca="1" si="2"/>
        <v>#REF!</v>
      </c>
      <c r="T19" s="813" t="e" cm="1">
        <f t="array" aca="1" ref="T19" ca="1">INDIRECT($B19&amp;"!M38")</f>
        <v>#REF!</v>
      </c>
      <c r="V19" s="815" t="e">
        <f t="shared" ca="1" si="3"/>
        <v>#REF!</v>
      </c>
      <c r="W19" s="813" t="e" cm="1">
        <f t="array" aca="1" ref="W19" ca="1">INDIRECT($B19&amp;"!M36")</f>
        <v>#REF!</v>
      </c>
      <c r="X19" s="815" t="e">
        <f t="shared" ca="1" si="5"/>
        <v>#REF!</v>
      </c>
      <c r="Y19" s="813" t="e">
        <f>SUMIFS([1]客房!D:D,[1]客房!B:B,D19,[1]客房!C:C,"Reservation Fees 预订成本")</f>
        <v>#VALUE!</v>
      </c>
      <c r="Z19" s="813" t="e">
        <f>SUMIFS([1]客房!D:D,[1]客房!B:B,D19,[1]客房!C:C,"  Total Cost of Sales 总销售成本")</f>
        <v>#VALUE!</v>
      </c>
      <c r="AA19" s="813" t="e" cm="1">
        <f t="array" aca="1" ref="AA19" ca="1">INDIRECT($B19&amp;"!M44")+INDIRECT($B19&amp;"!M45")</f>
        <v>#REF!</v>
      </c>
      <c r="AB19" s="813" t="e">
        <f>SUMIFS([1]客房!D:D,[1]客房!B:B,D19,[1]客房!C:C,"Laundry 洗涤费")</f>
        <v>#VALUE!</v>
      </c>
      <c r="AC19" s="813" t="e" cm="1">
        <f t="array" aca="1" ref="AC19" ca="1">INDIRECT($B19&amp;"!M46")-Y19-Z19-AB19</f>
        <v>#REF!</v>
      </c>
      <c r="AD19" s="813" t="e" cm="1">
        <f t="array" aca="1" ref="AD19" ca="1">INDIRECT($B19&amp;"!M47")-SUM(Y19:AC19)</f>
        <v>#REF!</v>
      </c>
      <c r="AF19" s="813" t="e" cm="1">
        <f t="array" aca="1" ref="AF19" ca="1">INDIRECT($B19&amp;"!M60")</f>
        <v>#REF!</v>
      </c>
      <c r="AG19" s="813" t="e" cm="1">
        <f t="array" aca="1" ref="AG19" ca="1">INDIRECT($B19&amp;"!M61")+INDIRECT($B19&amp;"!M62")</f>
        <v>#REF!</v>
      </c>
      <c r="AH19" s="813" t="e">
        <f>SUMIFS([1]餐饮!D:D,[1]餐饮!B:B,D19,[1]餐饮!C:C,"Laundry 洗涤费")</f>
        <v>#VALUE!</v>
      </c>
      <c r="AI19" s="813" t="e" cm="1">
        <f t="array" aca="1" ref="AI19" ca="1">INDIRECT($B19&amp;"!M63")-AH19</f>
        <v>#REF!</v>
      </c>
      <c r="AJ19" s="813" t="e" cm="1">
        <f t="array" aca="1" ref="AJ19" ca="1">INDIRECT($B19&amp;"!M64")-SUM(AE19:AI19)</f>
        <v>#REF!</v>
      </c>
      <c r="AK19" s="813" t="e">
        <f>SUMIFS([1]新零售!D:D,[1]新零售!B:B,D19,[1]新零售!C:C,"Total Cost of Sales 总销售成本")</f>
        <v>#VALUE!</v>
      </c>
      <c r="AL19" s="813" t="e">
        <f>SUMIFS([1]康乐温泉!C:C,[1]康乐温泉!A:A,D19,[1]康乐温泉!B:B,"Total Cost of Sales 总销售成本")+SUMIFS([1]康乐温泉!C:C,[1]康乐温泉!A:A,D19,[1]康乐温泉!B:B,"Total Other Expenses 其他费用合计")</f>
        <v>#VALUE!</v>
      </c>
      <c r="AP19" s="813" t="e" cm="1">
        <f t="array" aca="1" ref="AP19" ca="1">INDIRECT($B19&amp;"!M91")+INDIRECT($B19&amp;"!M92")</f>
        <v>#REF!</v>
      </c>
      <c r="AQ19" s="813" t="e" cm="1">
        <f t="array" aca="1" ref="AQ19" ca="1">INDIRECT($B19&amp;"!M93")+INDIRECT($B19&amp;"!M94")+INDIRECT($B19&amp;"!M95")+INDIRECT($B19&amp;"!M96")</f>
        <v>#REF!</v>
      </c>
      <c r="AR19" s="813" t="e" cm="1">
        <f t="array" aca="1" ref="AR19" ca="1">INDIRECT($B19&amp;"!M98")+INDIRECT($B19&amp;"!M99")</f>
        <v>#REF!</v>
      </c>
      <c r="AT19" s="813" t="e" cm="1">
        <f t="array" aca="1" ref="AT19" ca="1">INDIRECT($B19&amp;"!M100")</f>
        <v>#REF!</v>
      </c>
      <c r="AU19" s="813" t="e" cm="1">
        <f t="array" aca="1" ref="AU19" ca="1">INDIRECT($B19&amp;"!M103")+INDIRECT($B19&amp;"!M104")</f>
        <v>#REF!</v>
      </c>
      <c r="AV19" s="813" t="e" cm="1">
        <f t="array" aca="1" ref="AV19" ca="1">INDIRECT($B19&amp;"!M36")</f>
        <v>#REF!</v>
      </c>
      <c r="AW19" s="813" t="e" cm="1">
        <f t="array" aca="1" ref="AW19" ca="1">INDIRECT($B19&amp;"!M105")-AV19</f>
        <v>#REF!</v>
      </c>
      <c r="AX19" s="813" t="e">
        <f>SUMIFS([1]能源!C:C,[1]能源!A:A,D19,[1]能源!B:B,"Electricity 电费")</f>
        <v>#VALUE!</v>
      </c>
      <c r="AY19" s="813" t="e">
        <f>SUMIFS([1]能源!C:C,[1]能源!A:A,D19,[1]能源!B:B,"Steam 蒸汽费")+SUMIFS([1]能源!C:C,[1]能源!A:A,D19,[1]能源!B:B,"Geothermal water 地热水")+SUMIFS([1]能源!C:C,[1]能源!A:A,D19,[1]能源!B:B,"Water 水费")</f>
        <v>#VALUE!</v>
      </c>
      <c r="AZ19" s="813" t="e">
        <f>SUMIFS([1]能源!C:C,[1]能源!A:A,D19,[1]能源!B:B,"Gas 煤气费")+SUMIFS([1]能源!C:C,[1]能源!A:A,D19,[1]能源!B:B,"Oil 燃油费")</f>
        <v>#VALUE!</v>
      </c>
      <c r="BA19" s="813" t="e">
        <f>SUMIFS([1]能源!C:C,[1]能源!A:A,D19,[1]能源!B:B,"Heating 暖气")</f>
        <v>#VALUE!</v>
      </c>
      <c r="BB19" s="813" t="e">
        <f t="shared" si="9"/>
        <v>#VALUE!</v>
      </c>
      <c r="BC19" s="815" t="e">
        <f t="shared" ca="1" si="10"/>
        <v>#VALUE!</v>
      </c>
      <c r="BD19" s="813" t="e" cm="1">
        <f t="array" aca="1" ref="BD19" ca="1">INDIRECT($B19&amp;"!M101")-SUM(AX19:BA19)</f>
        <v>#REF!</v>
      </c>
      <c r="BG19" s="813" t="e" cm="1">
        <f t="array" aca="1" ref="BG19" ca="1">INDIRECT($B19&amp;"!M119")</f>
        <v>#REF!</v>
      </c>
      <c r="BI19" s="813" t="e" cm="1">
        <f t="array" aca="1" ref="BI19" ca="1">INDIRECT($B19&amp;"!M116")</f>
        <v>#REF!</v>
      </c>
      <c r="BK19" s="813" t="e" cm="1">
        <f t="array" aca="1" ref="BK19" ca="1">INDIRECT($B19&amp;"!M123")</f>
        <v>#REF!</v>
      </c>
      <c r="BM19" s="813" t="e" cm="1">
        <f t="array" aca="1" ref="BM19" ca="1">INDIRECT($B19&amp;"!M117")</f>
        <v>#REF!</v>
      </c>
      <c r="BN19" s="813" t="e" cm="1">
        <f t="array" aca="1" ref="BN19" ca="1">INDIRECT($B19&amp;"!M118")+INDIRECT($B19&amp;"!M120")</f>
        <v>#REF!</v>
      </c>
      <c r="BP19" s="813" t="e" cm="1">
        <f t="array" aca="1" ref="BP19" ca="1">-INDIRECT($B19&amp;"!M114")+INDIRECT($B19&amp;"!M115")-BG19-BI19-BM19-BN19</f>
        <v>#REF!</v>
      </c>
    </row>
    <row r="20" spans="1:68">
      <c r="A20" s="759" t="s">
        <v>45</v>
      </c>
      <c r="B20" s="759" t="s">
        <v>172</v>
      </c>
      <c r="C20" s="759" t="s">
        <v>45</v>
      </c>
      <c r="D20" s="770" t="s">
        <v>173</v>
      </c>
      <c r="E20" s="831" t="e">
        <f t="shared" ca="1" si="8"/>
        <v>#REF!</v>
      </c>
      <c r="F20" s="814" t="e" cm="1">
        <f t="array" aca="1" ref="F20" ca="1">INDIRECT($B20&amp;"!M16")</f>
        <v>#REF!</v>
      </c>
      <c r="G20" s="814" t="e" cm="1">
        <f t="array" aca="1" ref="G20" ca="1">INDIRECT($B20&amp;"!M43")</f>
        <v>#REF!</v>
      </c>
      <c r="H20" s="814" t="e" cm="1">
        <f t="array" aca="1" ref="H20" ca="1">INDIRECT($B20&amp;"!M52")+INDIRECT($B20&amp;"!M53")</f>
        <v>#REF!</v>
      </c>
      <c r="I20" s="814" t="e" cm="1">
        <f t="array" aca="1" ref="I20" ca="1">INDIRECT($B20&amp;"!M55")</f>
        <v>#REF!</v>
      </c>
      <c r="J20" s="814" t="e" cm="1">
        <f t="array" aca="1" ref="J20" ca="1">INDIRECT($B20&amp;"!M54")</f>
        <v>#REF!</v>
      </c>
      <c r="K20" s="814" t="e" cm="1">
        <f t="array" aca="1" ref="K20" ca="1">INDIRECT($B20&amp;"!M75")</f>
        <v>#REF!</v>
      </c>
      <c r="L20" s="814" t="e" cm="1">
        <f t="array" aca="1" ref="L20" ca="1">INDIRECT($B20&amp;"!M69")+INDIRECT($B20&amp;"!M70")</f>
        <v>#REF!</v>
      </c>
      <c r="M20" s="814" t="e" cm="1">
        <f t="array" aca="1" ref="M20" ca="1">INDIRECT($B20&amp;"!M77")-INDIRECT($B20&amp;"!M75")-INDIRECT($B20&amp;"!M69")-INDIRECT($B20&amp;"!M70")</f>
        <v>#REF!</v>
      </c>
      <c r="N20" s="814" t="e" cm="1">
        <f t="array" aca="1" ref="N20" ca="1">INDIRECT($B20&amp;"!M115")</f>
        <v>#REF!</v>
      </c>
      <c r="O20" s="814" t="e">
        <f t="shared" ca="1" si="7"/>
        <v>#REF!</v>
      </c>
      <c r="P20" s="813" t="e" cm="1">
        <f t="array" aca="1" ref="P20" ca="1">INDIRECT($B20&amp;"!M31")</f>
        <v>#REF!</v>
      </c>
      <c r="Q20" s="815" t="e">
        <f t="shared" ca="1" si="1"/>
        <v>#REF!</v>
      </c>
      <c r="R20" s="813" t="e" cm="1">
        <f t="array" aca="1" ref="R20" ca="1">INDIRECT($B20&amp;"!M34")</f>
        <v>#REF!</v>
      </c>
      <c r="S20" s="815" t="e">
        <f t="shared" ca="1" si="2"/>
        <v>#REF!</v>
      </c>
      <c r="T20" s="813" t="e" cm="1">
        <f t="array" aca="1" ref="T20" ca="1">INDIRECT($B20&amp;"!M38")</f>
        <v>#REF!</v>
      </c>
      <c r="V20" s="815" t="e">
        <f t="shared" ca="1" si="3"/>
        <v>#REF!</v>
      </c>
      <c r="W20" s="813" t="e" cm="1">
        <f t="array" aca="1" ref="W20" ca="1">INDIRECT($B20&amp;"!M36")</f>
        <v>#REF!</v>
      </c>
      <c r="X20" s="815" t="e">
        <f t="shared" ca="1" si="5"/>
        <v>#REF!</v>
      </c>
      <c r="Y20" s="813" t="e">
        <f>SUMIFS([1]客房!D:D,[1]客房!B:B,D20,[1]客房!C:C,"Reservation Fees 预订成本")</f>
        <v>#VALUE!</v>
      </c>
      <c r="Z20" s="813" t="e">
        <f>SUMIFS([1]客房!D:D,[1]客房!B:B,D20,[1]客房!C:C,"  Total Cost of Sales 总销售成本")</f>
        <v>#VALUE!</v>
      </c>
      <c r="AA20" s="813" t="e" cm="1">
        <f t="array" aca="1" ref="AA20" ca="1">INDIRECT($B20&amp;"!M44")+INDIRECT($B20&amp;"!M45")</f>
        <v>#REF!</v>
      </c>
      <c r="AB20" s="813" t="e">
        <f>SUMIFS([1]客房!D:D,[1]客房!B:B,D20,[1]客房!C:C,"Laundry 洗涤费")</f>
        <v>#VALUE!</v>
      </c>
      <c r="AC20" s="813" t="e" cm="1">
        <f t="array" aca="1" ref="AC20" ca="1">INDIRECT($B20&amp;"!M46")-Y20-Z20-AB20</f>
        <v>#REF!</v>
      </c>
      <c r="AD20" s="813" t="e" cm="1">
        <f t="array" aca="1" ref="AD20" ca="1">INDIRECT($B20&amp;"!M47")-SUM(Y20:AC20)</f>
        <v>#REF!</v>
      </c>
      <c r="AF20" s="813" t="e" cm="1">
        <f t="array" aca="1" ref="AF20" ca="1">INDIRECT($B20&amp;"!M60")</f>
        <v>#REF!</v>
      </c>
      <c r="AG20" s="813" t="e" cm="1">
        <f t="array" aca="1" ref="AG20" ca="1">INDIRECT($B20&amp;"!M61")+INDIRECT($B20&amp;"!M62")</f>
        <v>#REF!</v>
      </c>
      <c r="AH20" s="813" t="e">
        <f>SUMIFS([1]餐饮!D:D,[1]餐饮!B:B,D20,[1]餐饮!C:C,"Laundry 洗涤费")</f>
        <v>#VALUE!</v>
      </c>
      <c r="AI20" s="813" t="e" cm="1">
        <f t="array" aca="1" ref="AI20" ca="1">INDIRECT($B20&amp;"!M63")-AH20</f>
        <v>#REF!</v>
      </c>
      <c r="AJ20" s="813" t="e" cm="1">
        <f t="array" aca="1" ref="AJ20" ca="1">INDIRECT($B20&amp;"!M64")-SUM(AE20:AI20)</f>
        <v>#REF!</v>
      </c>
      <c r="AK20" s="813" t="e">
        <f>SUMIFS([1]新零售!D:D,[1]新零售!B:B,D20,[1]新零售!C:C,"Total Cost of Sales 总销售成本")</f>
        <v>#VALUE!</v>
      </c>
      <c r="AL20" s="813" t="e">
        <f>SUMIFS([1]康乐温泉!C:C,[1]康乐温泉!A:A,D20,[1]康乐温泉!B:B,"Total Cost of Sales 总销售成本")+SUMIFS([1]康乐温泉!C:C,[1]康乐温泉!A:A,D20,[1]康乐温泉!B:B,"Total Other Expenses 其他费用合计")</f>
        <v>#VALUE!</v>
      </c>
      <c r="AP20" s="813" t="e" cm="1">
        <f t="array" aca="1" ref="AP20" ca="1">INDIRECT($B20&amp;"!M91")+INDIRECT($B20&amp;"!M92")</f>
        <v>#REF!</v>
      </c>
      <c r="AQ20" s="813" t="e" cm="1">
        <f t="array" aca="1" ref="AQ20" ca="1">INDIRECT($B20&amp;"!M93")+INDIRECT($B20&amp;"!M94")+INDIRECT($B20&amp;"!M95")+INDIRECT($B20&amp;"!M96")</f>
        <v>#REF!</v>
      </c>
      <c r="AR20" s="813" t="e" cm="1">
        <f t="array" aca="1" ref="AR20" ca="1">INDIRECT($B20&amp;"!M98")+INDIRECT($B20&amp;"!M99")</f>
        <v>#REF!</v>
      </c>
      <c r="AT20" s="813" t="e" cm="1">
        <f t="array" aca="1" ref="AT20" ca="1">INDIRECT($B20&amp;"!M100")</f>
        <v>#REF!</v>
      </c>
      <c r="AU20" s="813" t="e" cm="1">
        <f t="array" aca="1" ref="AU20" ca="1">INDIRECT($B20&amp;"!M103")+INDIRECT($B20&amp;"!M104")</f>
        <v>#REF!</v>
      </c>
      <c r="AV20" s="813" t="e" cm="1">
        <f t="array" aca="1" ref="AV20" ca="1">INDIRECT($B20&amp;"!M36")</f>
        <v>#REF!</v>
      </c>
      <c r="AW20" s="813" t="e" cm="1">
        <f t="array" aca="1" ref="AW20" ca="1">INDIRECT($B20&amp;"!M105")-AV20</f>
        <v>#REF!</v>
      </c>
      <c r="AX20" s="813" t="e">
        <f>SUMIFS([1]能源!C:C,[1]能源!A:A,D20,[1]能源!B:B,"Electricity 电费")</f>
        <v>#VALUE!</v>
      </c>
      <c r="AY20" s="813" t="e">
        <f>SUMIFS([1]能源!C:C,[1]能源!A:A,D20,[1]能源!B:B,"Steam 蒸汽费")+SUMIFS([1]能源!C:C,[1]能源!A:A,D20,[1]能源!B:B,"Geothermal water 地热水")+SUMIFS([1]能源!C:C,[1]能源!A:A,D20,[1]能源!B:B,"Water 水费")</f>
        <v>#VALUE!</v>
      </c>
      <c r="AZ20" s="813" t="e">
        <f>SUMIFS([1]能源!C:C,[1]能源!A:A,D20,[1]能源!B:B,"Gas 煤气费")+SUMIFS([1]能源!C:C,[1]能源!A:A,D20,[1]能源!B:B,"Oil 燃油费")</f>
        <v>#VALUE!</v>
      </c>
      <c r="BA20" s="813" t="e">
        <f>SUMIFS([1]能源!C:C,[1]能源!A:A,D20,[1]能源!B:B,"Heating 暖气")</f>
        <v>#VALUE!</v>
      </c>
      <c r="BB20" s="813" t="e">
        <f t="shared" si="9"/>
        <v>#VALUE!</v>
      </c>
      <c r="BC20" s="815" t="e">
        <f t="shared" ca="1" si="10"/>
        <v>#VALUE!</v>
      </c>
      <c r="BD20" s="813" t="e" cm="1">
        <f t="array" aca="1" ref="BD20" ca="1">INDIRECT($B20&amp;"!M101")-SUM(AX20:BA20)</f>
        <v>#REF!</v>
      </c>
      <c r="BG20" s="813" t="e" cm="1">
        <f t="array" aca="1" ref="BG20" ca="1">INDIRECT($B20&amp;"!M119")</f>
        <v>#REF!</v>
      </c>
      <c r="BI20" s="813" t="e" cm="1">
        <f t="array" aca="1" ref="BI20" ca="1">INDIRECT($B20&amp;"!M116")</f>
        <v>#REF!</v>
      </c>
      <c r="BK20" s="813" t="e" cm="1">
        <f t="array" aca="1" ref="BK20" ca="1">INDIRECT($B20&amp;"!M123")</f>
        <v>#REF!</v>
      </c>
      <c r="BM20" s="813" t="e" cm="1">
        <f t="array" aca="1" ref="BM20" ca="1">INDIRECT($B20&amp;"!M117")</f>
        <v>#REF!</v>
      </c>
      <c r="BN20" s="813" t="e" cm="1">
        <f t="array" aca="1" ref="BN20" ca="1">INDIRECT($B20&amp;"!M118")+INDIRECT($B20&amp;"!M120")</f>
        <v>#REF!</v>
      </c>
      <c r="BP20" s="813" t="e" cm="1">
        <f t="array" aca="1" ref="BP20" ca="1">-INDIRECT($B20&amp;"!M114")+INDIRECT($B20&amp;"!M115")-BG20-BI20-BM20-BN20</f>
        <v>#REF!</v>
      </c>
    </row>
    <row r="21" spans="1:68">
      <c r="A21" s="759" t="s">
        <v>46</v>
      </c>
      <c r="B21" s="759" t="s">
        <v>174</v>
      </c>
      <c r="C21" s="759" t="s">
        <v>46</v>
      </c>
      <c r="D21" s="770" t="s">
        <v>175</v>
      </c>
      <c r="E21" s="831" t="e">
        <f t="shared" ca="1" si="8"/>
        <v>#REF!</v>
      </c>
      <c r="F21" s="814" t="e" cm="1">
        <f t="array" aca="1" ref="F21" ca="1">INDIRECT($B21&amp;"!M16")</f>
        <v>#REF!</v>
      </c>
      <c r="G21" s="814" t="e" cm="1">
        <f t="array" aca="1" ref="G21" ca="1">INDIRECT($B21&amp;"!M43")</f>
        <v>#REF!</v>
      </c>
      <c r="H21" s="814" t="e" cm="1">
        <f t="array" aca="1" ref="H21" ca="1">INDIRECT($B21&amp;"!M52")+INDIRECT($B21&amp;"!M53")</f>
        <v>#REF!</v>
      </c>
      <c r="I21" s="814" t="e" cm="1">
        <f t="array" aca="1" ref="I21" ca="1">INDIRECT($B21&amp;"!M55")</f>
        <v>#REF!</v>
      </c>
      <c r="J21" s="814" t="e" cm="1">
        <f t="array" aca="1" ref="J21" ca="1">INDIRECT($B21&amp;"!M54")</f>
        <v>#REF!</v>
      </c>
      <c r="K21" s="814" t="e" cm="1">
        <f t="array" aca="1" ref="K21" ca="1">INDIRECT($B21&amp;"!M75")</f>
        <v>#REF!</v>
      </c>
      <c r="L21" s="814" t="e" cm="1">
        <f t="array" aca="1" ref="L21" ca="1">INDIRECT($B21&amp;"!M69")+INDIRECT($B21&amp;"!M70")</f>
        <v>#REF!</v>
      </c>
      <c r="M21" s="814" t="e" cm="1">
        <f t="array" aca="1" ref="M21" ca="1">INDIRECT($B21&amp;"!M77")-INDIRECT($B21&amp;"!M75")-INDIRECT($B21&amp;"!M69")-INDIRECT($B21&amp;"!M70")</f>
        <v>#REF!</v>
      </c>
      <c r="N21" s="814" t="e" cm="1">
        <f t="array" aca="1" ref="N21" ca="1">INDIRECT($B21&amp;"!M115")</f>
        <v>#REF!</v>
      </c>
      <c r="O21" s="814" t="e">
        <f t="shared" ca="1" si="7"/>
        <v>#REF!</v>
      </c>
      <c r="P21" s="813" t="e" cm="1">
        <f t="array" aca="1" ref="P21" ca="1">INDIRECT($B21&amp;"!M31")</f>
        <v>#REF!</v>
      </c>
      <c r="Q21" s="815" t="e">
        <f t="shared" ca="1" si="1"/>
        <v>#REF!</v>
      </c>
      <c r="R21" s="813" t="e" cm="1">
        <f t="array" aca="1" ref="R21" ca="1">INDIRECT($B21&amp;"!M34")</f>
        <v>#REF!</v>
      </c>
      <c r="S21" s="815" t="e">
        <f t="shared" ca="1" si="2"/>
        <v>#REF!</v>
      </c>
      <c r="T21" s="813" t="e" cm="1">
        <f t="array" aca="1" ref="T21" ca="1">INDIRECT($B21&amp;"!M38")</f>
        <v>#REF!</v>
      </c>
      <c r="V21" s="815" t="e">
        <f t="shared" ca="1" si="3"/>
        <v>#REF!</v>
      </c>
      <c r="W21" s="813" t="e" cm="1">
        <f t="array" aca="1" ref="W21" ca="1">INDIRECT($B21&amp;"!M36")</f>
        <v>#REF!</v>
      </c>
      <c r="X21" s="815" t="e">
        <f t="shared" ca="1" si="5"/>
        <v>#REF!</v>
      </c>
      <c r="Y21" s="813" t="e">
        <f>SUMIFS([1]客房!D:D,[1]客房!B:B,D21,[1]客房!C:C,"Reservation Fees 预订成本")</f>
        <v>#VALUE!</v>
      </c>
      <c r="Z21" s="813" t="e">
        <f>SUMIFS([1]客房!D:D,[1]客房!B:B,D21,[1]客房!C:C,"  Total Cost of Sales 总销售成本")</f>
        <v>#VALUE!</v>
      </c>
      <c r="AA21" s="813" t="e" cm="1">
        <f t="array" aca="1" ref="AA21" ca="1">INDIRECT($B21&amp;"!M44")+INDIRECT($B21&amp;"!M45")</f>
        <v>#REF!</v>
      </c>
      <c r="AB21" s="813" t="e">
        <f>SUMIFS([1]客房!D:D,[1]客房!B:B,D21,[1]客房!C:C,"Laundry 洗涤费")</f>
        <v>#VALUE!</v>
      </c>
      <c r="AC21" s="813" t="e" cm="1">
        <f t="array" aca="1" ref="AC21" ca="1">INDIRECT($B21&amp;"!M46")-Y21-Z21-AB21</f>
        <v>#REF!</v>
      </c>
      <c r="AD21" s="813" t="e" cm="1">
        <f t="array" aca="1" ref="AD21" ca="1">INDIRECT($B21&amp;"!M47")-SUM(Y21:AC21)</f>
        <v>#REF!</v>
      </c>
      <c r="AF21" s="813" t="e" cm="1">
        <f t="array" aca="1" ref="AF21" ca="1">INDIRECT($B21&amp;"!M60")</f>
        <v>#REF!</v>
      </c>
      <c r="AG21" s="813" t="e" cm="1">
        <f t="array" aca="1" ref="AG21" ca="1">INDIRECT($B21&amp;"!M61")+INDIRECT($B21&amp;"!M62")</f>
        <v>#REF!</v>
      </c>
      <c r="AH21" s="813" t="e">
        <f>SUMIFS([1]餐饮!D:D,[1]餐饮!B:B,D21,[1]餐饮!C:C,"Laundry 洗涤费")</f>
        <v>#VALUE!</v>
      </c>
      <c r="AI21" s="813" t="e" cm="1">
        <f t="array" aca="1" ref="AI21" ca="1">INDIRECT($B21&amp;"!M63")-AH21</f>
        <v>#REF!</v>
      </c>
      <c r="AJ21" s="813" t="e" cm="1">
        <f t="array" aca="1" ref="AJ21" ca="1">INDIRECT($B21&amp;"!M64")-SUM(AE21:AI21)</f>
        <v>#REF!</v>
      </c>
      <c r="AK21" s="813" t="e">
        <f>SUMIFS([1]新零售!D:D,[1]新零售!B:B,D21,[1]新零售!C:C,"Total Cost of Sales 总销售成本")</f>
        <v>#VALUE!</v>
      </c>
      <c r="AL21" s="813" t="e">
        <f>SUMIFS([1]康乐温泉!C:C,[1]康乐温泉!A:A,D21,[1]康乐温泉!B:B,"Total Cost of Sales 总销售成本")+SUMIFS([1]康乐温泉!C:C,[1]康乐温泉!A:A,D21,[1]康乐温泉!B:B,"Total Other Expenses 其他费用合计")</f>
        <v>#VALUE!</v>
      </c>
      <c r="AP21" s="813" t="e" cm="1">
        <f t="array" aca="1" ref="AP21" ca="1">INDIRECT($B21&amp;"!M91")+INDIRECT($B21&amp;"!M92")</f>
        <v>#REF!</v>
      </c>
      <c r="AQ21" s="813" t="e" cm="1">
        <f t="array" aca="1" ref="AQ21" ca="1">INDIRECT($B21&amp;"!M93")+INDIRECT($B21&amp;"!M94")+INDIRECT($B21&amp;"!M95")+INDIRECT($B21&amp;"!M96")</f>
        <v>#REF!</v>
      </c>
      <c r="AR21" s="813" t="e" cm="1">
        <f t="array" aca="1" ref="AR21" ca="1">INDIRECT($B21&amp;"!M98")+INDIRECT($B21&amp;"!M99")</f>
        <v>#REF!</v>
      </c>
      <c r="AT21" s="813" t="e" cm="1">
        <f t="array" aca="1" ref="AT21" ca="1">INDIRECT($B21&amp;"!M100")</f>
        <v>#REF!</v>
      </c>
      <c r="AU21" s="813" t="e" cm="1">
        <f t="array" aca="1" ref="AU21" ca="1">INDIRECT($B21&amp;"!M103")+INDIRECT($B21&amp;"!M104")</f>
        <v>#REF!</v>
      </c>
      <c r="AV21" s="813" t="e" cm="1">
        <f t="array" aca="1" ref="AV21" ca="1">INDIRECT($B21&amp;"!M36")</f>
        <v>#REF!</v>
      </c>
      <c r="AW21" s="813" t="e" cm="1">
        <f t="array" aca="1" ref="AW21" ca="1">INDIRECT($B21&amp;"!M105")-AV21</f>
        <v>#REF!</v>
      </c>
      <c r="AX21" s="813" t="e">
        <f>SUMIFS([1]能源!C:C,[1]能源!A:A,D21,[1]能源!B:B,"Electricity 电费")</f>
        <v>#VALUE!</v>
      </c>
      <c r="AY21" s="813" t="e">
        <f>SUMIFS([1]能源!C:C,[1]能源!A:A,D21,[1]能源!B:B,"Steam 蒸汽费")+SUMIFS([1]能源!C:C,[1]能源!A:A,D21,[1]能源!B:B,"Geothermal water 地热水")+SUMIFS([1]能源!C:C,[1]能源!A:A,D21,[1]能源!B:B,"Water 水费")</f>
        <v>#VALUE!</v>
      </c>
      <c r="AZ21" s="813" t="e">
        <f>SUMIFS([1]能源!C:C,[1]能源!A:A,D21,[1]能源!B:B,"Gas 煤气费")+SUMIFS([1]能源!C:C,[1]能源!A:A,D21,[1]能源!B:B,"Oil 燃油费")</f>
        <v>#VALUE!</v>
      </c>
      <c r="BA21" s="813" t="e">
        <f>SUMIFS([1]能源!C:C,[1]能源!A:A,D21,[1]能源!B:B,"Heating 暖气")</f>
        <v>#VALUE!</v>
      </c>
      <c r="BB21" s="813" t="e">
        <f t="shared" si="9"/>
        <v>#VALUE!</v>
      </c>
      <c r="BC21" s="815" t="e">
        <f t="shared" ca="1" si="10"/>
        <v>#VALUE!</v>
      </c>
      <c r="BD21" s="813" t="e" cm="1">
        <f t="array" aca="1" ref="BD21" ca="1">INDIRECT($B21&amp;"!M101")-SUM(AX21:BA21)</f>
        <v>#REF!</v>
      </c>
      <c r="BG21" s="813" t="e" cm="1">
        <f t="array" aca="1" ref="BG21" ca="1">INDIRECT($B21&amp;"!M119")</f>
        <v>#REF!</v>
      </c>
      <c r="BI21" s="813" t="e" cm="1">
        <f t="array" aca="1" ref="BI21" ca="1">INDIRECT($B21&amp;"!M116")</f>
        <v>#REF!</v>
      </c>
      <c r="BK21" s="813" t="e" cm="1">
        <f t="array" aca="1" ref="BK21" ca="1">INDIRECT($B21&amp;"!M123")</f>
        <v>#REF!</v>
      </c>
      <c r="BM21" s="813" t="e" cm="1">
        <f t="array" aca="1" ref="BM21" ca="1">INDIRECT($B21&amp;"!M117")</f>
        <v>#REF!</v>
      </c>
      <c r="BN21" s="813" t="e" cm="1">
        <f t="array" aca="1" ref="BN21" ca="1">INDIRECT($B21&amp;"!M118")+INDIRECT($B21&amp;"!M120")</f>
        <v>#REF!</v>
      </c>
      <c r="BP21" s="813" t="e" cm="1">
        <f t="array" aca="1" ref="BP21" ca="1">-INDIRECT($B21&amp;"!M114")+INDIRECT($B21&amp;"!M115")-BG21-BI21-BM21-BN21</f>
        <v>#REF!</v>
      </c>
    </row>
    <row r="22" spans="1:68">
      <c r="A22" s="759" t="s">
        <v>47</v>
      </c>
      <c r="B22" s="759" t="s">
        <v>176</v>
      </c>
      <c r="C22" s="759" t="s">
        <v>47</v>
      </c>
      <c r="D22" s="770" t="s">
        <v>177</v>
      </c>
      <c r="E22" s="831" t="e">
        <f t="shared" ca="1" si="8"/>
        <v>#REF!</v>
      </c>
      <c r="F22" s="814" t="e" cm="1">
        <f t="array" aca="1" ref="F22" ca="1">INDIRECT($B22&amp;"!M16")</f>
        <v>#REF!</v>
      </c>
      <c r="G22" s="814" t="e" cm="1">
        <f t="array" aca="1" ref="G22" ca="1">INDIRECT($B22&amp;"!M43")</f>
        <v>#REF!</v>
      </c>
      <c r="H22" s="814" t="e" cm="1">
        <f t="array" aca="1" ref="H22" ca="1">INDIRECT($B22&amp;"!M52")+INDIRECT($B22&amp;"!M53")</f>
        <v>#REF!</v>
      </c>
      <c r="I22" s="814" t="e" cm="1">
        <f t="array" aca="1" ref="I22" ca="1">INDIRECT($B22&amp;"!M55")</f>
        <v>#REF!</v>
      </c>
      <c r="J22" s="814" t="e" cm="1">
        <f t="array" aca="1" ref="J22" ca="1">INDIRECT($B22&amp;"!M54")</f>
        <v>#REF!</v>
      </c>
      <c r="K22" s="814" t="e" cm="1">
        <f t="array" aca="1" ref="K22" ca="1">INDIRECT($B22&amp;"!M75")</f>
        <v>#REF!</v>
      </c>
      <c r="L22" s="814" t="e" cm="1">
        <f t="array" aca="1" ref="L22" ca="1">INDIRECT($B22&amp;"!M69")+INDIRECT($B22&amp;"!M70")</f>
        <v>#REF!</v>
      </c>
      <c r="M22" s="814" t="e" cm="1">
        <f t="array" aca="1" ref="M22" ca="1">INDIRECT($B22&amp;"!M77")-INDIRECT($B22&amp;"!M75")-INDIRECT($B22&amp;"!M69")-INDIRECT($B22&amp;"!M70")</f>
        <v>#REF!</v>
      </c>
      <c r="N22" s="814" t="e" cm="1">
        <f t="array" aca="1" ref="N22" ca="1">INDIRECT($B22&amp;"!M115")</f>
        <v>#REF!</v>
      </c>
      <c r="O22" s="814" t="e">
        <f t="shared" ca="1" si="7"/>
        <v>#REF!</v>
      </c>
      <c r="P22" s="813" t="e" cm="1">
        <f t="array" aca="1" ref="P22" ca="1">INDIRECT($B22&amp;"!M31")</f>
        <v>#REF!</v>
      </c>
      <c r="Q22" s="815" t="e">
        <f t="shared" ca="1" si="1"/>
        <v>#REF!</v>
      </c>
      <c r="R22" s="813" t="e" cm="1">
        <f t="array" aca="1" ref="R22" ca="1">INDIRECT($B22&amp;"!M34")</f>
        <v>#REF!</v>
      </c>
      <c r="S22" s="815" t="e">
        <f t="shared" ca="1" si="2"/>
        <v>#REF!</v>
      </c>
      <c r="T22" s="813" t="e" cm="1">
        <f t="array" aca="1" ref="T22" ca="1">INDIRECT($B22&amp;"!M38")</f>
        <v>#REF!</v>
      </c>
      <c r="V22" s="815" t="e">
        <f t="shared" ca="1" si="3"/>
        <v>#REF!</v>
      </c>
      <c r="W22" s="813" t="e" cm="1">
        <f t="array" aca="1" ref="W22" ca="1">INDIRECT($B22&amp;"!M36")</f>
        <v>#REF!</v>
      </c>
      <c r="X22" s="815" t="e">
        <f t="shared" ca="1" si="5"/>
        <v>#REF!</v>
      </c>
      <c r="Y22" s="813" t="e">
        <f>SUMIFS([1]客房!D:D,[1]客房!B:B,D22,[1]客房!C:C,"Reservation Fees 预订成本")</f>
        <v>#VALUE!</v>
      </c>
      <c r="Z22" s="813" t="e">
        <f>SUMIFS([1]客房!D:D,[1]客房!B:B,D22,[1]客房!C:C,"  Total Cost of Sales 总销售成本")</f>
        <v>#VALUE!</v>
      </c>
      <c r="AA22" s="813" t="e" cm="1">
        <f t="array" aca="1" ref="AA22" ca="1">INDIRECT($B22&amp;"!M44")+INDIRECT($B22&amp;"!M45")</f>
        <v>#REF!</v>
      </c>
      <c r="AB22" s="813" t="e">
        <f>SUMIFS([1]客房!D:D,[1]客房!B:B,D22,[1]客房!C:C,"Laundry 洗涤费")</f>
        <v>#VALUE!</v>
      </c>
      <c r="AC22" s="813" t="e" cm="1">
        <f t="array" aca="1" ref="AC22" ca="1">INDIRECT($B22&amp;"!M46")-Y22-Z22-AB22</f>
        <v>#REF!</v>
      </c>
      <c r="AD22" s="813" t="e" cm="1">
        <f t="array" aca="1" ref="AD22" ca="1">INDIRECT($B22&amp;"!M47")-SUM(Y22:AC22)</f>
        <v>#REF!</v>
      </c>
      <c r="AF22" s="813" t="e" cm="1">
        <f t="array" aca="1" ref="AF22" ca="1">INDIRECT($B22&amp;"!M60")</f>
        <v>#REF!</v>
      </c>
      <c r="AG22" s="813" t="e" cm="1">
        <f t="array" aca="1" ref="AG22" ca="1">INDIRECT($B22&amp;"!M61")+INDIRECT($B22&amp;"!M62")</f>
        <v>#REF!</v>
      </c>
      <c r="AH22" s="813" t="e">
        <f>SUMIFS([1]餐饮!D:D,[1]餐饮!B:B,D22,[1]餐饮!C:C,"Laundry 洗涤费")</f>
        <v>#VALUE!</v>
      </c>
      <c r="AI22" s="813" t="e" cm="1">
        <f t="array" aca="1" ref="AI22" ca="1">INDIRECT($B22&amp;"!M63")-AH22</f>
        <v>#REF!</v>
      </c>
      <c r="AJ22" s="813" t="e" cm="1">
        <f t="array" aca="1" ref="AJ22" ca="1">INDIRECT($B22&amp;"!M64")-SUM(AE22:AI22)</f>
        <v>#REF!</v>
      </c>
      <c r="AK22" s="813" t="e">
        <f>SUMIFS([1]新零售!D:D,[1]新零售!B:B,D22,[1]新零售!C:C,"Total Cost of Sales 总销售成本")</f>
        <v>#VALUE!</v>
      </c>
      <c r="AL22" s="813" t="e">
        <f>SUMIFS([1]康乐温泉!C:C,[1]康乐温泉!A:A,D22,[1]康乐温泉!B:B,"Total Cost of Sales 总销售成本")+SUMIFS([1]康乐温泉!C:C,[1]康乐温泉!A:A,D22,[1]康乐温泉!B:B,"Total Other Expenses 其他费用合计")</f>
        <v>#VALUE!</v>
      </c>
      <c r="AP22" s="813" t="e" cm="1">
        <f t="array" aca="1" ref="AP22" ca="1">INDIRECT($B22&amp;"!M91")+INDIRECT($B22&amp;"!M92")</f>
        <v>#REF!</v>
      </c>
      <c r="AQ22" s="813" t="e" cm="1">
        <f t="array" aca="1" ref="AQ22" ca="1">INDIRECT($B22&amp;"!M93")+INDIRECT($B22&amp;"!M94")+INDIRECT($B22&amp;"!M95")+INDIRECT($B22&amp;"!M96")</f>
        <v>#REF!</v>
      </c>
      <c r="AR22" s="813" t="e" cm="1">
        <f t="array" aca="1" ref="AR22" ca="1">INDIRECT($B22&amp;"!M98")+INDIRECT($B22&amp;"!M99")</f>
        <v>#REF!</v>
      </c>
      <c r="AT22" s="813" t="e" cm="1">
        <f t="array" aca="1" ref="AT22" ca="1">INDIRECT($B22&amp;"!M100")</f>
        <v>#REF!</v>
      </c>
      <c r="AU22" s="813" t="e" cm="1">
        <f t="array" aca="1" ref="AU22" ca="1">INDIRECT($B22&amp;"!M103")+INDIRECT($B22&amp;"!M104")</f>
        <v>#REF!</v>
      </c>
      <c r="AV22" s="813" t="e" cm="1">
        <f t="array" aca="1" ref="AV22" ca="1">INDIRECT($B22&amp;"!M36")</f>
        <v>#REF!</v>
      </c>
      <c r="AW22" s="813" t="e" cm="1">
        <f t="array" aca="1" ref="AW22" ca="1">INDIRECT($B22&amp;"!M105")-AV22</f>
        <v>#REF!</v>
      </c>
      <c r="AX22" s="813" t="e">
        <f>SUMIFS([1]能源!C:C,[1]能源!A:A,D22,[1]能源!B:B,"Electricity 电费")</f>
        <v>#VALUE!</v>
      </c>
      <c r="AY22" s="813" t="e">
        <f>SUMIFS([1]能源!C:C,[1]能源!A:A,D22,[1]能源!B:B,"Steam 蒸汽费")+SUMIFS([1]能源!C:C,[1]能源!A:A,D22,[1]能源!B:B,"Geothermal water 地热水")+SUMIFS([1]能源!C:C,[1]能源!A:A,D22,[1]能源!B:B,"Water 水费")</f>
        <v>#VALUE!</v>
      </c>
      <c r="AZ22" s="813" t="e">
        <f>SUMIFS([1]能源!C:C,[1]能源!A:A,D22,[1]能源!B:B,"Gas 煤气费")+SUMIFS([1]能源!C:C,[1]能源!A:A,D22,[1]能源!B:B,"Oil 燃油费")</f>
        <v>#VALUE!</v>
      </c>
      <c r="BA22" s="813" t="e">
        <f>SUMIFS([1]能源!C:C,[1]能源!A:A,D22,[1]能源!B:B,"Heating 暖气")</f>
        <v>#VALUE!</v>
      </c>
      <c r="BB22" s="813" t="e">
        <f t="shared" si="9"/>
        <v>#VALUE!</v>
      </c>
      <c r="BC22" s="815" t="e">
        <f t="shared" ca="1" si="10"/>
        <v>#VALUE!</v>
      </c>
      <c r="BD22" s="813" t="e" cm="1">
        <f t="array" aca="1" ref="BD22" ca="1">INDIRECT($B22&amp;"!M101")-SUM(AX22:BA22)</f>
        <v>#REF!</v>
      </c>
      <c r="BG22" s="813" t="e" cm="1">
        <f t="array" aca="1" ref="BG22" ca="1">INDIRECT($B22&amp;"!M119")</f>
        <v>#REF!</v>
      </c>
      <c r="BI22" s="813" t="e" cm="1">
        <f t="array" aca="1" ref="BI22" ca="1">INDIRECT($B22&amp;"!M116")</f>
        <v>#REF!</v>
      </c>
      <c r="BK22" s="813" t="e" cm="1">
        <f t="array" aca="1" ref="BK22" ca="1">INDIRECT($B22&amp;"!M123")</f>
        <v>#REF!</v>
      </c>
      <c r="BM22" s="813" t="e" cm="1">
        <f t="array" aca="1" ref="BM22" ca="1">INDIRECT($B22&amp;"!M117")</f>
        <v>#REF!</v>
      </c>
      <c r="BN22" s="813" t="e" cm="1">
        <f t="array" aca="1" ref="BN22" ca="1">INDIRECT($B22&amp;"!M118")+INDIRECT($B22&amp;"!M120")</f>
        <v>#REF!</v>
      </c>
      <c r="BP22" s="813" t="e" cm="1">
        <f t="array" aca="1" ref="BP22" ca="1">-INDIRECT($B22&amp;"!M114")+INDIRECT($B22&amp;"!M115")-BG22-BI22-BM22-BN22</f>
        <v>#REF!</v>
      </c>
    </row>
    <row r="23" spans="1:68">
      <c r="A23" s="759" t="s">
        <v>48</v>
      </c>
      <c r="B23" s="759" t="s">
        <v>178</v>
      </c>
      <c r="C23" s="759" t="s">
        <v>48</v>
      </c>
      <c r="D23" s="770" t="s">
        <v>179</v>
      </c>
      <c r="E23" s="831" t="e">
        <f t="shared" ca="1" si="8"/>
        <v>#REF!</v>
      </c>
      <c r="F23" s="814" t="e" cm="1">
        <f t="array" aca="1" ref="F23" ca="1">INDIRECT($B23&amp;"!M16")</f>
        <v>#REF!</v>
      </c>
      <c r="G23" s="814" t="e" cm="1">
        <f t="array" aca="1" ref="G23" ca="1">INDIRECT($B23&amp;"!M43")</f>
        <v>#REF!</v>
      </c>
      <c r="H23" s="814" t="e" cm="1">
        <f t="array" aca="1" ref="H23" ca="1">INDIRECT($B23&amp;"!M52")+INDIRECT($B23&amp;"!M53")</f>
        <v>#REF!</v>
      </c>
      <c r="I23" s="814" t="e" cm="1">
        <f t="array" aca="1" ref="I23" ca="1">INDIRECT($B23&amp;"!M55")</f>
        <v>#REF!</v>
      </c>
      <c r="J23" s="814" t="e" cm="1">
        <f t="array" aca="1" ref="J23" ca="1">INDIRECT($B23&amp;"!M54")</f>
        <v>#REF!</v>
      </c>
      <c r="K23" s="814" t="e" cm="1">
        <f t="array" aca="1" ref="K23" ca="1">INDIRECT($B23&amp;"!M75")</f>
        <v>#REF!</v>
      </c>
      <c r="L23" s="814" t="e" cm="1">
        <f t="array" aca="1" ref="L23" ca="1">INDIRECT($B23&amp;"!M69")+INDIRECT($B23&amp;"!M70")</f>
        <v>#REF!</v>
      </c>
      <c r="M23" s="814" t="e" cm="1">
        <f t="array" aca="1" ref="M23" ca="1">INDIRECT($B23&amp;"!M77")-INDIRECT($B23&amp;"!M75")-INDIRECT($B23&amp;"!M69")-INDIRECT($B23&amp;"!M70")</f>
        <v>#REF!</v>
      </c>
      <c r="N23" s="814" t="e" cm="1">
        <f t="array" aca="1" ref="N23" ca="1">INDIRECT($B23&amp;"!M115")</f>
        <v>#REF!</v>
      </c>
      <c r="O23" s="814" t="e">
        <f t="shared" ca="1" si="7"/>
        <v>#REF!</v>
      </c>
      <c r="P23" s="813" t="e" cm="1">
        <f t="array" aca="1" ref="P23" ca="1">INDIRECT($B23&amp;"!M31")</f>
        <v>#REF!</v>
      </c>
      <c r="Q23" s="815" t="e">
        <f t="shared" ca="1" si="1"/>
        <v>#REF!</v>
      </c>
      <c r="R23" s="813" t="e" cm="1">
        <f t="array" aca="1" ref="R23" ca="1">INDIRECT($B23&amp;"!M34")</f>
        <v>#REF!</v>
      </c>
      <c r="S23" s="815" t="e">
        <f t="shared" ca="1" si="2"/>
        <v>#REF!</v>
      </c>
      <c r="T23" s="813" t="e" cm="1">
        <f t="array" aca="1" ref="T23" ca="1">INDIRECT($B23&amp;"!M38")</f>
        <v>#REF!</v>
      </c>
      <c r="V23" s="815" t="e">
        <f t="shared" ca="1" si="3"/>
        <v>#REF!</v>
      </c>
      <c r="W23" s="813" t="e" cm="1">
        <f t="array" aca="1" ref="W23" ca="1">INDIRECT($B23&amp;"!M36")</f>
        <v>#REF!</v>
      </c>
      <c r="X23" s="815" t="e">
        <f t="shared" ca="1" si="5"/>
        <v>#REF!</v>
      </c>
      <c r="Y23" s="813" t="e">
        <f>SUMIFS([1]客房!D:D,[1]客房!B:B,D23,[1]客房!C:C,"Reservation Fees 预订成本")</f>
        <v>#VALUE!</v>
      </c>
      <c r="Z23" s="813" t="e">
        <f>SUMIFS([1]客房!D:D,[1]客房!B:B,D23,[1]客房!C:C,"  Total Cost of Sales 总销售成本")</f>
        <v>#VALUE!</v>
      </c>
      <c r="AA23" s="813" t="e" cm="1">
        <f t="array" aca="1" ref="AA23" ca="1">INDIRECT($B23&amp;"!M44")+INDIRECT($B23&amp;"!M45")</f>
        <v>#REF!</v>
      </c>
      <c r="AB23" s="813" t="e">
        <f>SUMIFS([1]客房!D:D,[1]客房!B:B,D23,[1]客房!C:C,"Laundry 洗涤费")</f>
        <v>#VALUE!</v>
      </c>
      <c r="AC23" s="813" t="e" cm="1">
        <f t="array" aca="1" ref="AC23" ca="1">INDIRECT($B23&amp;"!M46")-Y23-Z23-AB23</f>
        <v>#REF!</v>
      </c>
      <c r="AD23" s="813" t="e" cm="1">
        <f t="array" aca="1" ref="AD23" ca="1">INDIRECT($B23&amp;"!M47")-SUM(Y23:AC23)</f>
        <v>#REF!</v>
      </c>
      <c r="AF23" s="813" t="e" cm="1">
        <f t="array" aca="1" ref="AF23" ca="1">INDIRECT($B23&amp;"!M60")</f>
        <v>#REF!</v>
      </c>
      <c r="AG23" s="813" t="e" cm="1">
        <f t="array" aca="1" ref="AG23" ca="1">INDIRECT($B23&amp;"!M61")+INDIRECT($B23&amp;"!M62")</f>
        <v>#REF!</v>
      </c>
      <c r="AH23" s="813" t="e">
        <f>SUMIFS([1]餐饮!D:D,[1]餐饮!B:B,D23,[1]餐饮!C:C,"Laundry 洗涤费")</f>
        <v>#VALUE!</v>
      </c>
      <c r="AI23" s="813" t="e" cm="1">
        <f t="array" aca="1" ref="AI23" ca="1">INDIRECT($B23&amp;"!M63")-AH23</f>
        <v>#REF!</v>
      </c>
      <c r="AJ23" s="813" t="e" cm="1">
        <f t="array" aca="1" ref="AJ23" ca="1">INDIRECT($B23&amp;"!M64")-SUM(AE23:AI23)</f>
        <v>#REF!</v>
      </c>
      <c r="AK23" s="813" t="e">
        <f>SUMIFS([1]新零售!D:D,[1]新零售!B:B,D23,[1]新零售!C:C,"Total Cost of Sales 总销售成本")</f>
        <v>#VALUE!</v>
      </c>
      <c r="AL23" s="813" t="e">
        <f>SUMIFS([1]康乐温泉!C:C,[1]康乐温泉!A:A,D23,[1]康乐温泉!B:B,"Total Cost of Sales 总销售成本")+SUMIFS([1]康乐温泉!C:C,[1]康乐温泉!A:A,D23,[1]康乐温泉!B:B,"Total Other Expenses 其他费用合计")</f>
        <v>#VALUE!</v>
      </c>
      <c r="AP23" s="813" t="e" cm="1">
        <f t="array" aca="1" ref="AP23" ca="1">INDIRECT($B23&amp;"!M91")+INDIRECT($B23&amp;"!M92")</f>
        <v>#REF!</v>
      </c>
      <c r="AQ23" s="813" t="e" cm="1">
        <f t="array" aca="1" ref="AQ23" ca="1">INDIRECT($B23&amp;"!M93")+INDIRECT($B23&amp;"!M94")+INDIRECT($B23&amp;"!M95")+INDIRECT($B23&amp;"!M96")</f>
        <v>#REF!</v>
      </c>
      <c r="AR23" s="813" t="e" cm="1">
        <f t="array" aca="1" ref="AR23" ca="1">INDIRECT($B23&amp;"!M98")+INDIRECT($B23&amp;"!M99")</f>
        <v>#REF!</v>
      </c>
      <c r="AT23" s="813" t="e" cm="1">
        <f t="array" aca="1" ref="AT23" ca="1">INDIRECT($B23&amp;"!M100")</f>
        <v>#REF!</v>
      </c>
      <c r="AU23" s="813" t="e" cm="1">
        <f t="array" aca="1" ref="AU23" ca="1">INDIRECT($B23&amp;"!M103")+INDIRECT($B23&amp;"!M104")</f>
        <v>#REF!</v>
      </c>
      <c r="AV23" s="813" t="e" cm="1">
        <f t="array" aca="1" ref="AV23" ca="1">INDIRECT($B23&amp;"!M36")</f>
        <v>#REF!</v>
      </c>
      <c r="AW23" s="813" t="e" cm="1">
        <f t="array" aca="1" ref="AW23" ca="1">INDIRECT($B23&amp;"!M105")-AV23</f>
        <v>#REF!</v>
      </c>
      <c r="AX23" s="813" t="e">
        <f>SUMIFS([1]能源!C:C,[1]能源!A:A,D23,[1]能源!B:B,"Electricity 电费")</f>
        <v>#VALUE!</v>
      </c>
      <c r="AY23" s="813" t="e">
        <f>SUMIFS([1]能源!C:C,[1]能源!A:A,D23,[1]能源!B:B,"Steam 蒸汽费")+SUMIFS([1]能源!C:C,[1]能源!A:A,D23,[1]能源!B:B,"Geothermal water 地热水")+SUMIFS([1]能源!C:C,[1]能源!A:A,D23,[1]能源!B:B,"Water 水费")</f>
        <v>#VALUE!</v>
      </c>
      <c r="AZ23" s="813" t="e">
        <f>SUMIFS([1]能源!C:C,[1]能源!A:A,D23,[1]能源!B:B,"Gas 煤气费")+SUMIFS([1]能源!C:C,[1]能源!A:A,D23,[1]能源!B:B,"Oil 燃油费")</f>
        <v>#VALUE!</v>
      </c>
      <c r="BA23" s="813" t="e">
        <f>SUMIFS([1]能源!C:C,[1]能源!A:A,D23,[1]能源!B:B,"Heating 暖气")</f>
        <v>#VALUE!</v>
      </c>
      <c r="BB23" s="813" t="e">
        <f t="shared" si="9"/>
        <v>#VALUE!</v>
      </c>
      <c r="BC23" s="815" t="e">
        <f t="shared" ca="1" si="10"/>
        <v>#VALUE!</v>
      </c>
      <c r="BD23" s="813" t="e" cm="1">
        <f t="array" aca="1" ref="BD23" ca="1">INDIRECT($B23&amp;"!M101")-SUM(AX23:BA23)</f>
        <v>#REF!</v>
      </c>
      <c r="BG23" s="813" t="e" cm="1">
        <f t="array" aca="1" ref="BG23" ca="1">INDIRECT($B23&amp;"!M119")</f>
        <v>#REF!</v>
      </c>
      <c r="BI23" s="813" t="e" cm="1">
        <f t="array" aca="1" ref="BI23" ca="1">INDIRECT($B23&amp;"!M116")</f>
        <v>#REF!</v>
      </c>
      <c r="BK23" s="813" t="e" cm="1">
        <f t="array" aca="1" ref="BK23" ca="1">INDIRECT($B23&amp;"!M123")</f>
        <v>#REF!</v>
      </c>
      <c r="BM23" s="813" t="e" cm="1">
        <f t="array" aca="1" ref="BM23" ca="1">INDIRECT($B23&amp;"!M117")</f>
        <v>#REF!</v>
      </c>
      <c r="BN23" s="813" t="e" cm="1">
        <f t="array" aca="1" ref="BN23" ca="1">INDIRECT($B23&amp;"!M118")+INDIRECT($B23&amp;"!M120")</f>
        <v>#REF!</v>
      </c>
      <c r="BP23" s="813" t="e" cm="1">
        <f t="array" aca="1" ref="BP23" ca="1">-INDIRECT($B23&amp;"!M114")+INDIRECT($B23&amp;"!M115")-BG23-BI23-BM23-BN23</f>
        <v>#REF!</v>
      </c>
    </row>
    <row r="24" spans="1:68">
      <c r="A24" s="759" t="s">
        <v>49</v>
      </c>
      <c r="B24" s="759" t="s">
        <v>180</v>
      </c>
      <c r="C24" s="759" t="s">
        <v>49</v>
      </c>
      <c r="D24" s="770" t="s">
        <v>181</v>
      </c>
      <c r="E24" s="831" t="e">
        <f t="shared" ca="1" si="8"/>
        <v>#REF!</v>
      </c>
      <c r="F24" s="814" t="e" cm="1">
        <f t="array" aca="1" ref="F24" ca="1">INDIRECT($B24&amp;"!M16")</f>
        <v>#REF!</v>
      </c>
      <c r="G24" s="814" t="e" cm="1">
        <f t="array" aca="1" ref="G24" ca="1">INDIRECT($B24&amp;"!M43")</f>
        <v>#REF!</v>
      </c>
      <c r="H24" s="814" t="e" cm="1">
        <f t="array" aca="1" ref="H24" ca="1">INDIRECT($B24&amp;"!M52")+INDIRECT($B24&amp;"!M53")</f>
        <v>#REF!</v>
      </c>
      <c r="I24" s="814" t="e" cm="1">
        <f t="array" aca="1" ref="I24" ca="1">INDIRECT($B24&amp;"!M55")</f>
        <v>#REF!</v>
      </c>
      <c r="J24" s="814" t="e" cm="1">
        <f t="array" aca="1" ref="J24" ca="1">INDIRECT($B24&amp;"!M54")</f>
        <v>#REF!</v>
      </c>
      <c r="K24" s="814" t="e" cm="1">
        <f t="array" aca="1" ref="K24" ca="1">INDIRECT($B24&amp;"!M75")</f>
        <v>#REF!</v>
      </c>
      <c r="L24" s="814" t="e" cm="1">
        <f t="array" aca="1" ref="L24" ca="1">INDIRECT($B24&amp;"!M69")+INDIRECT($B24&amp;"!M70")</f>
        <v>#REF!</v>
      </c>
      <c r="M24" s="814" t="e" cm="1">
        <f t="array" aca="1" ref="M24" ca="1">INDIRECT($B24&amp;"!M77")-INDIRECT($B24&amp;"!M75")-INDIRECT($B24&amp;"!M69")-INDIRECT($B24&amp;"!M70")</f>
        <v>#REF!</v>
      </c>
      <c r="N24" s="814" t="e" cm="1">
        <f t="array" aca="1" ref="N24" ca="1">INDIRECT($B24&amp;"!M115")</f>
        <v>#REF!</v>
      </c>
      <c r="O24" s="814" t="e">
        <f t="shared" ca="1" si="7"/>
        <v>#REF!</v>
      </c>
      <c r="P24" s="813" t="e" cm="1">
        <f t="array" aca="1" ref="P24" ca="1">INDIRECT($B24&amp;"!M31")</f>
        <v>#REF!</v>
      </c>
      <c r="Q24" s="815" t="e">
        <f t="shared" ca="1" si="1"/>
        <v>#REF!</v>
      </c>
      <c r="R24" s="813" t="e" cm="1">
        <f t="array" aca="1" ref="R24" ca="1">INDIRECT($B24&amp;"!M34")</f>
        <v>#REF!</v>
      </c>
      <c r="S24" s="815" t="e">
        <f t="shared" ca="1" si="2"/>
        <v>#REF!</v>
      </c>
      <c r="T24" s="813" t="e" cm="1">
        <f t="array" aca="1" ref="T24" ca="1">INDIRECT($B24&amp;"!M38")</f>
        <v>#REF!</v>
      </c>
      <c r="V24" s="815" t="e">
        <f t="shared" ca="1" si="3"/>
        <v>#REF!</v>
      </c>
      <c r="W24" s="813" t="e" cm="1">
        <f t="array" aca="1" ref="W24" ca="1">INDIRECT($B24&amp;"!M36")</f>
        <v>#REF!</v>
      </c>
      <c r="X24" s="815" t="e">
        <f t="shared" ca="1" si="5"/>
        <v>#REF!</v>
      </c>
      <c r="Y24" s="813" t="e">
        <f>SUMIFS([1]客房!D:D,[1]客房!B:B,D24,[1]客房!C:C,"Reservation Fees 预订成本")</f>
        <v>#VALUE!</v>
      </c>
      <c r="Z24" s="813" t="e">
        <f>SUMIFS([1]客房!D:D,[1]客房!B:B,D24,[1]客房!C:C,"  Total Cost of Sales 总销售成本")</f>
        <v>#VALUE!</v>
      </c>
      <c r="AA24" s="813" t="e" cm="1">
        <f t="array" aca="1" ref="AA24" ca="1">INDIRECT($B24&amp;"!M44")+INDIRECT($B24&amp;"!M45")</f>
        <v>#REF!</v>
      </c>
      <c r="AB24" s="813" t="e">
        <f>SUMIFS([1]客房!D:D,[1]客房!B:B,D24,[1]客房!C:C,"Laundry 洗涤费")</f>
        <v>#VALUE!</v>
      </c>
      <c r="AC24" s="813" t="e" cm="1">
        <f t="array" aca="1" ref="AC24" ca="1">INDIRECT($B24&amp;"!M46")-Y24-Z24-AB24</f>
        <v>#REF!</v>
      </c>
      <c r="AD24" s="813" t="e" cm="1">
        <f t="array" aca="1" ref="AD24" ca="1">INDIRECT($B24&amp;"!M47")-SUM(Y24:AC24)</f>
        <v>#REF!</v>
      </c>
      <c r="AF24" s="813" t="e" cm="1">
        <f t="array" aca="1" ref="AF24" ca="1">INDIRECT($B24&amp;"!M60")</f>
        <v>#REF!</v>
      </c>
      <c r="AG24" s="813" t="e" cm="1">
        <f t="array" aca="1" ref="AG24" ca="1">INDIRECT($B24&amp;"!M61")+INDIRECT($B24&amp;"!M62")</f>
        <v>#REF!</v>
      </c>
      <c r="AH24" s="813" t="e">
        <f>SUMIFS([1]餐饮!D:D,[1]餐饮!B:B,D24,[1]餐饮!C:C,"Laundry 洗涤费")</f>
        <v>#VALUE!</v>
      </c>
      <c r="AI24" s="813" t="e" cm="1">
        <f t="array" aca="1" ref="AI24" ca="1">INDIRECT($B24&amp;"!M63")-AH24</f>
        <v>#REF!</v>
      </c>
      <c r="AJ24" s="813" t="e" cm="1">
        <f t="array" aca="1" ref="AJ24" ca="1">INDIRECT($B24&amp;"!M64")-SUM(AE24:AI24)</f>
        <v>#REF!</v>
      </c>
      <c r="AK24" s="813" t="e">
        <f>SUMIFS([1]新零售!D:D,[1]新零售!B:B,D24,[1]新零售!C:C,"Total Cost of Sales 总销售成本")</f>
        <v>#VALUE!</v>
      </c>
      <c r="AL24" s="813" t="e">
        <f>SUMIFS([1]康乐温泉!C:C,[1]康乐温泉!A:A,D24,[1]康乐温泉!B:B,"Total Cost of Sales 总销售成本")+SUMIFS([1]康乐温泉!C:C,[1]康乐温泉!A:A,D24,[1]康乐温泉!B:B,"Total Other Expenses 其他费用合计")</f>
        <v>#VALUE!</v>
      </c>
      <c r="AP24" s="813" t="e" cm="1">
        <f t="array" aca="1" ref="AP24" ca="1">INDIRECT($B24&amp;"!M91")+INDIRECT($B24&amp;"!M92")</f>
        <v>#REF!</v>
      </c>
      <c r="AQ24" s="813" t="e" cm="1">
        <f t="array" aca="1" ref="AQ24" ca="1">INDIRECT($B24&amp;"!M93")+INDIRECT($B24&amp;"!M94")+INDIRECT($B24&amp;"!M95")+INDIRECT($B24&amp;"!M96")</f>
        <v>#REF!</v>
      </c>
      <c r="AR24" s="813" t="e" cm="1">
        <f t="array" aca="1" ref="AR24" ca="1">INDIRECT($B24&amp;"!M98")+INDIRECT($B24&amp;"!M99")</f>
        <v>#REF!</v>
      </c>
      <c r="AT24" s="813" t="e" cm="1">
        <f t="array" aca="1" ref="AT24" ca="1">INDIRECT($B24&amp;"!M100")</f>
        <v>#REF!</v>
      </c>
      <c r="AU24" s="813" t="e" cm="1">
        <f t="array" aca="1" ref="AU24" ca="1">INDIRECT($B24&amp;"!M103")+INDIRECT($B24&amp;"!M104")</f>
        <v>#REF!</v>
      </c>
      <c r="AV24" s="813" t="e" cm="1">
        <f t="array" aca="1" ref="AV24" ca="1">INDIRECT($B24&amp;"!M36")</f>
        <v>#REF!</v>
      </c>
      <c r="AW24" s="813" t="e" cm="1">
        <f t="array" aca="1" ref="AW24" ca="1">INDIRECT($B24&amp;"!M105")-AV24</f>
        <v>#REF!</v>
      </c>
      <c r="AX24" s="813" t="e">
        <f>SUMIFS([1]能源!C:C,[1]能源!A:A,D24,[1]能源!B:B,"Electricity 电费")</f>
        <v>#VALUE!</v>
      </c>
      <c r="AY24" s="813" t="e">
        <f>SUMIFS([1]能源!C:C,[1]能源!A:A,D24,[1]能源!B:B,"Steam 蒸汽费")+SUMIFS([1]能源!C:C,[1]能源!A:A,D24,[1]能源!B:B,"Geothermal water 地热水")+SUMIFS([1]能源!C:C,[1]能源!A:A,D24,[1]能源!B:B,"Water 水费")</f>
        <v>#VALUE!</v>
      </c>
      <c r="AZ24" s="813" t="e">
        <f>SUMIFS([1]能源!C:C,[1]能源!A:A,D24,[1]能源!B:B,"Gas 煤气费")+SUMIFS([1]能源!C:C,[1]能源!A:A,D24,[1]能源!B:B,"Oil 燃油费")</f>
        <v>#VALUE!</v>
      </c>
      <c r="BA24" s="813" t="e">
        <f>SUMIFS([1]能源!C:C,[1]能源!A:A,D24,[1]能源!B:B,"Heating 暖气")</f>
        <v>#VALUE!</v>
      </c>
      <c r="BB24" s="813" t="e">
        <f t="shared" si="9"/>
        <v>#VALUE!</v>
      </c>
      <c r="BC24" s="815" t="e">
        <f t="shared" ca="1" si="10"/>
        <v>#VALUE!</v>
      </c>
      <c r="BD24" s="813" t="e" cm="1">
        <f t="array" aca="1" ref="BD24" ca="1">INDIRECT($B24&amp;"!M101")-SUM(AX24:BA24)</f>
        <v>#REF!</v>
      </c>
      <c r="BG24" s="813" t="e" cm="1">
        <f t="array" aca="1" ref="BG24" ca="1">INDIRECT($B24&amp;"!M119")</f>
        <v>#REF!</v>
      </c>
      <c r="BI24" s="813" t="e" cm="1">
        <f t="array" aca="1" ref="BI24" ca="1">INDIRECT($B24&amp;"!M116")</f>
        <v>#REF!</v>
      </c>
      <c r="BK24" s="813" t="e" cm="1">
        <f t="array" aca="1" ref="BK24" ca="1">INDIRECT($B24&amp;"!M123")</f>
        <v>#REF!</v>
      </c>
      <c r="BM24" s="813" t="e" cm="1">
        <f t="array" aca="1" ref="BM24" ca="1">INDIRECT($B24&amp;"!M117")</f>
        <v>#REF!</v>
      </c>
      <c r="BN24" s="813" t="e" cm="1">
        <f t="array" aca="1" ref="BN24" ca="1">INDIRECT($B24&amp;"!M118")+INDIRECT($B24&amp;"!M120")</f>
        <v>#REF!</v>
      </c>
      <c r="BP24" s="813" t="e" cm="1">
        <f t="array" aca="1" ref="BP24" ca="1">-INDIRECT($B24&amp;"!M114")+INDIRECT($B24&amp;"!M115")-BG24-BI24-BM24-BN24</f>
        <v>#REF!</v>
      </c>
    </row>
    <row r="25" spans="1:68">
      <c r="A25" s="759" t="s">
        <v>50</v>
      </c>
      <c r="B25" s="759" t="s">
        <v>182</v>
      </c>
      <c r="C25" s="759" t="s">
        <v>50</v>
      </c>
      <c r="D25" s="770" t="s">
        <v>183</v>
      </c>
      <c r="E25" s="831" t="e">
        <f t="shared" ca="1" si="8"/>
        <v>#REF!</v>
      </c>
      <c r="F25" s="814" t="e" cm="1">
        <f t="array" aca="1" ref="F25" ca="1">INDIRECT($B25&amp;"!M16")</f>
        <v>#REF!</v>
      </c>
      <c r="G25" s="814" t="e" cm="1">
        <f t="array" aca="1" ref="G25" ca="1">INDIRECT($B25&amp;"!M43")</f>
        <v>#REF!</v>
      </c>
      <c r="H25" s="814" t="e" cm="1">
        <f t="array" aca="1" ref="H25" ca="1">INDIRECT($B25&amp;"!M52")+INDIRECT($B25&amp;"!M53")</f>
        <v>#REF!</v>
      </c>
      <c r="I25" s="814" t="e" cm="1">
        <f t="array" aca="1" ref="I25" ca="1">INDIRECT($B25&amp;"!M55")</f>
        <v>#REF!</v>
      </c>
      <c r="J25" s="814" t="e" cm="1">
        <f t="array" aca="1" ref="J25" ca="1">INDIRECT($B25&amp;"!M54")</f>
        <v>#REF!</v>
      </c>
      <c r="K25" s="814" t="e" cm="1">
        <f t="array" aca="1" ref="K25" ca="1">INDIRECT($B25&amp;"!M75")</f>
        <v>#REF!</v>
      </c>
      <c r="L25" s="814" t="e" cm="1">
        <f t="array" aca="1" ref="L25" ca="1">INDIRECT($B25&amp;"!M69")+INDIRECT($B25&amp;"!M70")</f>
        <v>#REF!</v>
      </c>
      <c r="M25" s="814" t="e" cm="1">
        <f t="array" aca="1" ref="M25" ca="1">INDIRECT($B25&amp;"!M77")-INDIRECT($B25&amp;"!M75")-INDIRECT($B25&amp;"!M69")-INDIRECT($B25&amp;"!M70")</f>
        <v>#REF!</v>
      </c>
      <c r="N25" s="814" t="e" cm="1">
        <f t="array" aca="1" ref="N25" ca="1">INDIRECT($B25&amp;"!M115")</f>
        <v>#REF!</v>
      </c>
      <c r="O25" s="814" t="e">
        <f t="shared" ca="1" si="7"/>
        <v>#REF!</v>
      </c>
      <c r="P25" s="813" t="e" cm="1">
        <f t="array" aca="1" ref="P25" ca="1">INDIRECT($B25&amp;"!M31")</f>
        <v>#REF!</v>
      </c>
      <c r="Q25" s="815" t="e">
        <f t="shared" ca="1" si="1"/>
        <v>#REF!</v>
      </c>
      <c r="R25" s="813" t="e" cm="1">
        <f t="array" aca="1" ref="R25" ca="1">INDIRECT($B25&amp;"!M34")</f>
        <v>#REF!</v>
      </c>
      <c r="S25" s="815" t="e">
        <f t="shared" ca="1" si="2"/>
        <v>#REF!</v>
      </c>
      <c r="T25" s="813" t="e" cm="1">
        <f t="array" aca="1" ref="T25" ca="1">INDIRECT($B25&amp;"!M38")</f>
        <v>#REF!</v>
      </c>
      <c r="V25" s="815" t="e">
        <f t="shared" ca="1" si="3"/>
        <v>#REF!</v>
      </c>
      <c r="W25" s="813" t="e" cm="1">
        <f t="array" aca="1" ref="W25" ca="1">INDIRECT($B25&amp;"!M36")</f>
        <v>#REF!</v>
      </c>
      <c r="X25" s="815" t="e">
        <f t="shared" ca="1" si="5"/>
        <v>#REF!</v>
      </c>
      <c r="Y25" s="813" t="e">
        <f>SUMIFS([1]客房!D:D,[1]客房!B:B,D25,[1]客房!C:C,"Reservation Fees 预订成本")</f>
        <v>#VALUE!</v>
      </c>
      <c r="Z25" s="813" t="e">
        <f>SUMIFS([1]客房!D:D,[1]客房!B:B,D25,[1]客房!C:C,"  Total Cost of Sales 总销售成本")</f>
        <v>#VALUE!</v>
      </c>
      <c r="AA25" s="813" t="e" cm="1">
        <f t="array" aca="1" ref="AA25" ca="1">INDIRECT($B25&amp;"!M44")+INDIRECT($B25&amp;"!M45")</f>
        <v>#REF!</v>
      </c>
      <c r="AB25" s="813" t="e">
        <f>SUMIFS([1]客房!D:D,[1]客房!B:B,D25,[1]客房!C:C,"Laundry 洗涤费")</f>
        <v>#VALUE!</v>
      </c>
      <c r="AC25" s="813" t="e" cm="1">
        <f t="array" aca="1" ref="AC25" ca="1">INDIRECT($B25&amp;"!M46")-Y25-Z25-AB25</f>
        <v>#REF!</v>
      </c>
      <c r="AD25" s="813" t="e" cm="1">
        <f t="array" aca="1" ref="AD25" ca="1">INDIRECT($B25&amp;"!M47")-SUM(Y25:AC25)</f>
        <v>#REF!</v>
      </c>
      <c r="AF25" s="813" t="e" cm="1">
        <f t="array" aca="1" ref="AF25" ca="1">INDIRECT($B25&amp;"!M60")</f>
        <v>#REF!</v>
      </c>
      <c r="AG25" s="813" t="e" cm="1">
        <f t="array" aca="1" ref="AG25" ca="1">INDIRECT($B25&amp;"!M61")+INDIRECT($B25&amp;"!M62")</f>
        <v>#REF!</v>
      </c>
      <c r="AH25" s="813" t="e">
        <f>SUMIFS([1]餐饮!D:D,[1]餐饮!B:B,D25,[1]餐饮!C:C,"Laundry 洗涤费")</f>
        <v>#VALUE!</v>
      </c>
      <c r="AI25" s="813" t="e" cm="1">
        <f t="array" aca="1" ref="AI25" ca="1">INDIRECT($B25&amp;"!M63")-AH25</f>
        <v>#REF!</v>
      </c>
      <c r="AJ25" s="813" t="e" cm="1">
        <f t="array" aca="1" ref="AJ25" ca="1">INDIRECT($B25&amp;"!M64")-SUM(AE25:AI25)</f>
        <v>#REF!</v>
      </c>
      <c r="AK25" s="813" t="e">
        <f>SUMIFS([1]新零售!D:D,[1]新零售!B:B,D25,[1]新零售!C:C,"Total Cost of Sales 总销售成本")</f>
        <v>#VALUE!</v>
      </c>
      <c r="AL25" s="813" t="e">
        <f>SUMIFS([1]康乐温泉!C:C,[1]康乐温泉!A:A,D25,[1]康乐温泉!B:B,"Total Cost of Sales 总销售成本")+SUMIFS([1]康乐温泉!C:C,[1]康乐温泉!A:A,D25,[1]康乐温泉!B:B,"Total Other Expenses 其他费用合计")</f>
        <v>#VALUE!</v>
      </c>
      <c r="AP25" s="813" t="e" cm="1">
        <f t="array" aca="1" ref="AP25" ca="1">INDIRECT($B25&amp;"!M91")+INDIRECT($B25&amp;"!M92")</f>
        <v>#REF!</v>
      </c>
      <c r="AQ25" s="813" t="e" cm="1">
        <f t="array" aca="1" ref="AQ25" ca="1">INDIRECT($B25&amp;"!M93")+INDIRECT($B25&amp;"!M94")+INDIRECT($B25&amp;"!M95")+INDIRECT($B25&amp;"!M96")</f>
        <v>#REF!</v>
      </c>
      <c r="AR25" s="813" t="e" cm="1">
        <f t="array" aca="1" ref="AR25" ca="1">INDIRECT($B25&amp;"!M98")+INDIRECT($B25&amp;"!M99")</f>
        <v>#REF!</v>
      </c>
      <c r="AT25" s="813" t="e" cm="1">
        <f t="array" aca="1" ref="AT25" ca="1">INDIRECT($B25&amp;"!M100")</f>
        <v>#REF!</v>
      </c>
      <c r="AU25" s="813" t="e" cm="1">
        <f t="array" aca="1" ref="AU25" ca="1">INDIRECT($B25&amp;"!M103")+INDIRECT($B25&amp;"!M104")</f>
        <v>#REF!</v>
      </c>
      <c r="AV25" s="813" t="e" cm="1">
        <f t="array" aca="1" ref="AV25" ca="1">INDIRECT($B25&amp;"!M36")</f>
        <v>#REF!</v>
      </c>
      <c r="AW25" s="813" t="e" cm="1">
        <f t="array" aca="1" ref="AW25" ca="1">INDIRECT($B25&amp;"!M105")-AV25</f>
        <v>#REF!</v>
      </c>
      <c r="AX25" s="813" t="e">
        <f>SUMIFS([1]能源!C:C,[1]能源!A:A,D25,[1]能源!B:B,"Electricity 电费")</f>
        <v>#VALUE!</v>
      </c>
      <c r="AY25" s="813" t="e">
        <f>SUMIFS([1]能源!C:C,[1]能源!A:A,D25,[1]能源!B:B,"Steam 蒸汽费")+SUMIFS([1]能源!C:C,[1]能源!A:A,D25,[1]能源!B:B,"Geothermal water 地热水")+SUMIFS([1]能源!C:C,[1]能源!A:A,D25,[1]能源!B:B,"Water 水费")</f>
        <v>#VALUE!</v>
      </c>
      <c r="AZ25" s="813" t="e">
        <f>SUMIFS([1]能源!C:C,[1]能源!A:A,D25,[1]能源!B:B,"Gas 煤气费")+SUMIFS([1]能源!C:C,[1]能源!A:A,D25,[1]能源!B:B,"Oil 燃油费")</f>
        <v>#VALUE!</v>
      </c>
      <c r="BA25" s="813" t="e">
        <f>SUMIFS([1]能源!C:C,[1]能源!A:A,D25,[1]能源!B:B,"Heating 暖气")</f>
        <v>#VALUE!</v>
      </c>
      <c r="BB25" s="813" t="e">
        <f t="shared" si="9"/>
        <v>#VALUE!</v>
      </c>
      <c r="BC25" s="815" t="e">
        <f t="shared" ca="1" si="10"/>
        <v>#VALUE!</v>
      </c>
      <c r="BD25" s="813" t="e" cm="1">
        <f t="array" aca="1" ref="BD25" ca="1">INDIRECT($B25&amp;"!M101")-SUM(AX25:BA25)</f>
        <v>#REF!</v>
      </c>
      <c r="BG25" s="813" t="e" cm="1">
        <f t="array" aca="1" ref="BG25" ca="1">INDIRECT($B25&amp;"!M119")</f>
        <v>#REF!</v>
      </c>
      <c r="BI25" s="813" t="e" cm="1">
        <f t="array" aca="1" ref="BI25" ca="1">INDIRECT($B25&amp;"!M116")</f>
        <v>#REF!</v>
      </c>
      <c r="BK25" s="813" t="e" cm="1">
        <f t="array" aca="1" ref="BK25" ca="1">INDIRECT($B25&amp;"!M123")</f>
        <v>#REF!</v>
      </c>
      <c r="BM25" s="813" t="e" cm="1">
        <f t="array" aca="1" ref="BM25" ca="1">INDIRECT($B25&amp;"!M117")</f>
        <v>#REF!</v>
      </c>
      <c r="BN25" s="813" t="e" cm="1">
        <f t="array" aca="1" ref="BN25" ca="1">INDIRECT($B25&amp;"!M118")+INDIRECT($B25&amp;"!M120")</f>
        <v>#REF!</v>
      </c>
      <c r="BP25" s="813" t="e" cm="1">
        <f t="array" aca="1" ref="BP25" ca="1">-INDIRECT($B25&amp;"!M114")+INDIRECT($B25&amp;"!M115")-BG25-BI25-BM25-BN25</f>
        <v>#REF!</v>
      </c>
    </row>
    <row r="26" spans="1:68">
      <c r="A26" s="759" t="s">
        <v>51</v>
      </c>
      <c r="B26" s="759" t="s">
        <v>184</v>
      </c>
      <c r="C26" s="759" t="s">
        <v>51</v>
      </c>
      <c r="D26" s="770" t="s">
        <v>185</v>
      </c>
      <c r="E26" s="831" t="e">
        <f t="shared" ca="1" si="8"/>
        <v>#REF!</v>
      </c>
      <c r="F26" s="814" t="e" cm="1">
        <f t="array" aca="1" ref="F26" ca="1">INDIRECT($B26&amp;"!M16")</f>
        <v>#REF!</v>
      </c>
      <c r="G26" s="814" t="e" cm="1">
        <f t="array" aca="1" ref="G26" ca="1">INDIRECT($B26&amp;"!M43")</f>
        <v>#REF!</v>
      </c>
      <c r="H26" s="814" t="e" cm="1">
        <f t="array" aca="1" ref="H26" ca="1">INDIRECT($B26&amp;"!M52")+INDIRECT($B26&amp;"!M53")</f>
        <v>#REF!</v>
      </c>
      <c r="I26" s="814" t="e" cm="1">
        <f t="array" aca="1" ref="I26" ca="1">INDIRECT($B26&amp;"!M55")</f>
        <v>#REF!</v>
      </c>
      <c r="J26" s="814" t="e" cm="1">
        <f t="array" aca="1" ref="J26" ca="1">INDIRECT($B26&amp;"!M54")</f>
        <v>#REF!</v>
      </c>
      <c r="K26" s="814" t="e" cm="1">
        <f t="array" aca="1" ref="K26" ca="1">INDIRECT($B26&amp;"!M75")</f>
        <v>#REF!</v>
      </c>
      <c r="L26" s="814" t="e" cm="1">
        <f t="array" aca="1" ref="L26" ca="1">INDIRECT($B26&amp;"!M69")+INDIRECT($B26&amp;"!M70")</f>
        <v>#REF!</v>
      </c>
      <c r="M26" s="814" t="e" cm="1">
        <f t="array" aca="1" ref="M26" ca="1">INDIRECT($B26&amp;"!M77")-INDIRECT($B26&amp;"!M75")-INDIRECT($B26&amp;"!M69")-INDIRECT($B26&amp;"!M70")</f>
        <v>#REF!</v>
      </c>
      <c r="N26" s="814" t="e" cm="1">
        <f t="array" aca="1" ref="N26" ca="1">INDIRECT($B26&amp;"!M115")</f>
        <v>#REF!</v>
      </c>
      <c r="O26" s="814" t="e">
        <f t="shared" ca="1" si="7"/>
        <v>#REF!</v>
      </c>
      <c r="P26" s="813" t="e" cm="1">
        <f t="array" aca="1" ref="P26" ca="1">INDIRECT($B26&amp;"!M31")</f>
        <v>#REF!</v>
      </c>
      <c r="Q26" s="815" t="e">
        <f t="shared" ca="1" si="1"/>
        <v>#REF!</v>
      </c>
      <c r="R26" s="813" t="e" cm="1">
        <f t="array" aca="1" ref="R26" ca="1">INDIRECT($B26&amp;"!M34")</f>
        <v>#REF!</v>
      </c>
      <c r="S26" s="815" t="e">
        <f t="shared" ca="1" si="2"/>
        <v>#REF!</v>
      </c>
      <c r="T26" s="813" t="e" cm="1">
        <f t="array" aca="1" ref="T26" ca="1">INDIRECT($B26&amp;"!M38")</f>
        <v>#REF!</v>
      </c>
      <c r="V26" s="815" t="e">
        <f t="shared" ca="1" si="3"/>
        <v>#REF!</v>
      </c>
      <c r="W26" s="813" t="e" cm="1">
        <f t="array" aca="1" ref="W26" ca="1">INDIRECT($B26&amp;"!M36")</f>
        <v>#REF!</v>
      </c>
      <c r="X26" s="815" t="e">
        <f t="shared" ca="1" si="5"/>
        <v>#REF!</v>
      </c>
      <c r="Y26" s="813" t="e">
        <f>SUMIFS([1]客房!D:D,[1]客房!B:B,D26,[1]客房!C:C,"Reservation Fees 预订成本")</f>
        <v>#VALUE!</v>
      </c>
      <c r="Z26" s="813" t="e">
        <f>SUMIFS([1]客房!D:D,[1]客房!B:B,D26,[1]客房!C:C,"  Total Cost of Sales 总销售成本")</f>
        <v>#VALUE!</v>
      </c>
      <c r="AA26" s="813" t="e" cm="1">
        <f t="array" aca="1" ref="AA26" ca="1">INDIRECT($B26&amp;"!M44")+INDIRECT($B26&amp;"!M45")</f>
        <v>#REF!</v>
      </c>
      <c r="AB26" s="813" t="e">
        <f>SUMIFS([1]客房!D:D,[1]客房!B:B,D26,[1]客房!C:C,"Laundry 洗涤费")</f>
        <v>#VALUE!</v>
      </c>
      <c r="AC26" s="813" t="e" cm="1">
        <f t="array" aca="1" ref="AC26" ca="1">INDIRECT($B26&amp;"!M46")-Y26-Z26-AB26</f>
        <v>#REF!</v>
      </c>
      <c r="AD26" s="813" t="e" cm="1">
        <f t="array" aca="1" ref="AD26" ca="1">INDIRECT($B26&amp;"!M47")-SUM(Y26:AC26)</f>
        <v>#REF!</v>
      </c>
      <c r="AF26" s="813" t="e" cm="1">
        <f t="array" aca="1" ref="AF26" ca="1">INDIRECT($B26&amp;"!M60")</f>
        <v>#REF!</v>
      </c>
      <c r="AG26" s="813" t="e" cm="1">
        <f t="array" aca="1" ref="AG26" ca="1">INDIRECT($B26&amp;"!M61")+INDIRECT($B26&amp;"!M62")</f>
        <v>#REF!</v>
      </c>
      <c r="AH26" s="813" t="e">
        <f>SUMIFS([1]餐饮!D:D,[1]餐饮!B:B,D26,[1]餐饮!C:C,"Laundry 洗涤费")</f>
        <v>#VALUE!</v>
      </c>
      <c r="AI26" s="813" t="e" cm="1">
        <f t="array" aca="1" ref="AI26" ca="1">INDIRECT($B26&amp;"!M63")-AH26</f>
        <v>#REF!</v>
      </c>
      <c r="AJ26" s="813" t="e" cm="1">
        <f t="array" aca="1" ref="AJ26" ca="1">INDIRECT($B26&amp;"!M64")-SUM(AE26:AI26)</f>
        <v>#REF!</v>
      </c>
      <c r="AK26" s="813" t="e">
        <f>SUMIFS([1]新零售!D:D,[1]新零售!B:B,D26,[1]新零售!C:C,"Total Cost of Sales 总销售成本")</f>
        <v>#VALUE!</v>
      </c>
      <c r="AL26" s="813" t="e">
        <f>SUMIFS([1]康乐温泉!C:C,[1]康乐温泉!A:A,D26,[1]康乐温泉!B:B,"Total Cost of Sales 总销售成本")+SUMIFS([1]康乐温泉!C:C,[1]康乐温泉!A:A,D26,[1]康乐温泉!B:B,"Total Other Expenses 其他费用合计")</f>
        <v>#VALUE!</v>
      </c>
      <c r="AP26" s="813" t="e" cm="1">
        <f t="array" aca="1" ref="AP26" ca="1">INDIRECT($B26&amp;"!M91")+INDIRECT($B26&amp;"!M92")</f>
        <v>#REF!</v>
      </c>
      <c r="AQ26" s="813" t="e" cm="1">
        <f t="array" aca="1" ref="AQ26" ca="1">INDIRECT($B26&amp;"!M93")+INDIRECT($B26&amp;"!M94")+INDIRECT($B26&amp;"!M95")+INDIRECT($B26&amp;"!M96")</f>
        <v>#REF!</v>
      </c>
      <c r="AR26" s="813" t="e" cm="1">
        <f t="array" aca="1" ref="AR26" ca="1">INDIRECT($B26&amp;"!M98")+INDIRECT($B26&amp;"!M99")</f>
        <v>#REF!</v>
      </c>
      <c r="AT26" s="813" t="e" cm="1">
        <f t="array" aca="1" ref="AT26" ca="1">INDIRECT($B26&amp;"!M100")</f>
        <v>#REF!</v>
      </c>
      <c r="AU26" s="813" t="e" cm="1">
        <f t="array" aca="1" ref="AU26" ca="1">INDIRECT($B26&amp;"!M103")+INDIRECT($B26&amp;"!M104")</f>
        <v>#REF!</v>
      </c>
      <c r="AV26" s="813" t="e" cm="1">
        <f t="array" aca="1" ref="AV26" ca="1">INDIRECT($B26&amp;"!M36")</f>
        <v>#REF!</v>
      </c>
      <c r="AW26" s="813" t="e" cm="1">
        <f t="array" aca="1" ref="AW26" ca="1">INDIRECT($B26&amp;"!M105")-AV26</f>
        <v>#REF!</v>
      </c>
      <c r="AX26" s="813" t="e">
        <f>SUMIFS([1]能源!C:C,[1]能源!A:A,D26,[1]能源!B:B,"Electricity 电费")</f>
        <v>#VALUE!</v>
      </c>
      <c r="AY26" s="813" t="e">
        <f>SUMIFS([1]能源!C:C,[1]能源!A:A,D26,[1]能源!B:B,"Steam 蒸汽费")+SUMIFS([1]能源!C:C,[1]能源!A:A,D26,[1]能源!B:B,"Geothermal water 地热水")+SUMIFS([1]能源!C:C,[1]能源!A:A,D26,[1]能源!B:B,"Water 水费")</f>
        <v>#VALUE!</v>
      </c>
      <c r="AZ26" s="813" t="e">
        <f>SUMIFS([1]能源!C:C,[1]能源!A:A,D26,[1]能源!B:B,"Gas 煤气费")+SUMIFS([1]能源!C:C,[1]能源!A:A,D26,[1]能源!B:B,"Oil 燃油费")</f>
        <v>#VALUE!</v>
      </c>
      <c r="BA26" s="813" t="e">
        <f>SUMIFS([1]能源!C:C,[1]能源!A:A,D26,[1]能源!B:B,"Heating 暖气")</f>
        <v>#VALUE!</v>
      </c>
      <c r="BB26" s="813" t="e">
        <f t="shared" si="9"/>
        <v>#VALUE!</v>
      </c>
      <c r="BC26" s="815" t="e">
        <f t="shared" ca="1" si="10"/>
        <v>#VALUE!</v>
      </c>
      <c r="BD26" s="813" t="e" cm="1">
        <f t="array" aca="1" ref="BD26" ca="1">INDIRECT($B26&amp;"!M101")-SUM(AX26:BA26)</f>
        <v>#REF!</v>
      </c>
      <c r="BG26" s="813" t="e" cm="1">
        <f t="array" aca="1" ref="BG26" ca="1">INDIRECT($B26&amp;"!M119")</f>
        <v>#REF!</v>
      </c>
      <c r="BI26" s="813" t="e" cm="1">
        <f t="array" aca="1" ref="BI26" ca="1">INDIRECT($B26&amp;"!M116")</f>
        <v>#REF!</v>
      </c>
      <c r="BK26" s="813" t="e" cm="1">
        <f t="array" aca="1" ref="BK26" ca="1">INDIRECT($B26&amp;"!M123")</f>
        <v>#REF!</v>
      </c>
      <c r="BM26" s="813" t="e" cm="1">
        <f t="array" aca="1" ref="BM26" ca="1">INDIRECT($B26&amp;"!M117")</f>
        <v>#REF!</v>
      </c>
      <c r="BN26" s="813" t="e" cm="1">
        <f t="array" aca="1" ref="BN26" ca="1">INDIRECT($B26&amp;"!M118")+INDIRECT($B26&amp;"!M120")</f>
        <v>#REF!</v>
      </c>
      <c r="BP26" s="813" t="e" cm="1">
        <f t="array" aca="1" ref="BP26" ca="1">-INDIRECT($B26&amp;"!M114")+INDIRECT($B26&amp;"!M115")-BG26-BI26-BM26-BN26</f>
        <v>#REF!</v>
      </c>
    </row>
    <row r="27" spans="1:68">
      <c r="A27" s="759" t="s">
        <v>52</v>
      </c>
      <c r="B27" s="759" t="s">
        <v>186</v>
      </c>
      <c r="C27" s="759" t="s">
        <v>52</v>
      </c>
      <c r="D27" s="770" t="s">
        <v>187</v>
      </c>
      <c r="E27" s="831" t="e">
        <f t="shared" ca="1" si="8"/>
        <v>#REF!</v>
      </c>
      <c r="F27" s="814" t="e" cm="1">
        <f t="array" aca="1" ref="F27" ca="1">INDIRECT($B27&amp;"!M16")</f>
        <v>#REF!</v>
      </c>
      <c r="G27" s="814" t="e" cm="1">
        <f t="array" aca="1" ref="G27" ca="1">INDIRECT($B27&amp;"!M43")</f>
        <v>#REF!</v>
      </c>
      <c r="H27" s="814" t="e" cm="1">
        <f t="array" aca="1" ref="H27" ca="1">INDIRECT($B27&amp;"!M52")+INDIRECT($B27&amp;"!M53")</f>
        <v>#REF!</v>
      </c>
      <c r="I27" s="814" t="e" cm="1">
        <f t="array" aca="1" ref="I27" ca="1">INDIRECT($B27&amp;"!M55")</f>
        <v>#REF!</v>
      </c>
      <c r="J27" s="814" t="e" cm="1">
        <f t="array" aca="1" ref="J27" ca="1">INDIRECT($B27&amp;"!M54")</f>
        <v>#REF!</v>
      </c>
      <c r="K27" s="814" t="e" cm="1">
        <f t="array" aca="1" ref="K27" ca="1">INDIRECT($B27&amp;"!M75")</f>
        <v>#REF!</v>
      </c>
      <c r="L27" s="814" t="e" cm="1">
        <f t="array" aca="1" ref="L27" ca="1">INDIRECT($B27&amp;"!M69")+INDIRECT($B27&amp;"!M70")</f>
        <v>#REF!</v>
      </c>
      <c r="M27" s="814" t="e" cm="1">
        <f t="array" aca="1" ref="M27" ca="1">INDIRECT($B27&amp;"!M77")-INDIRECT($B27&amp;"!M75")-INDIRECT($B27&amp;"!M69")-INDIRECT($B27&amp;"!M70")</f>
        <v>#REF!</v>
      </c>
      <c r="N27" s="814" t="e" cm="1">
        <f t="array" aca="1" ref="N27" ca="1">INDIRECT($B27&amp;"!M115")</f>
        <v>#REF!</v>
      </c>
      <c r="O27" s="814" t="e">
        <f t="shared" ca="1" si="7"/>
        <v>#REF!</v>
      </c>
      <c r="P27" s="813" t="e" cm="1">
        <f t="array" aca="1" ref="P27" ca="1">INDIRECT($B27&amp;"!M31")</f>
        <v>#REF!</v>
      </c>
      <c r="Q27" s="815" t="e">
        <f t="shared" ca="1" si="1"/>
        <v>#REF!</v>
      </c>
      <c r="R27" s="813" t="e" cm="1">
        <f t="array" aca="1" ref="R27" ca="1">INDIRECT($B27&amp;"!M34")</f>
        <v>#REF!</v>
      </c>
      <c r="S27" s="815" t="e">
        <f t="shared" ca="1" si="2"/>
        <v>#REF!</v>
      </c>
      <c r="T27" s="813" t="e" cm="1">
        <f t="array" aca="1" ref="T27" ca="1">INDIRECT($B27&amp;"!M38")</f>
        <v>#REF!</v>
      </c>
      <c r="V27" s="815" t="e">
        <f t="shared" ca="1" si="3"/>
        <v>#REF!</v>
      </c>
      <c r="W27" s="813" t="e" cm="1">
        <f t="array" aca="1" ref="W27" ca="1">INDIRECT($B27&amp;"!M36")</f>
        <v>#REF!</v>
      </c>
      <c r="X27" s="815" t="e">
        <f t="shared" ca="1" si="5"/>
        <v>#REF!</v>
      </c>
      <c r="Y27" s="813" t="e">
        <f>SUMIFS([1]客房!D:D,[1]客房!B:B,D27,[1]客房!C:C,"Reservation Fees 预订成本")</f>
        <v>#VALUE!</v>
      </c>
      <c r="Z27" s="813" t="e">
        <f>SUMIFS([1]客房!D:D,[1]客房!B:B,D27,[1]客房!C:C,"  Total Cost of Sales 总销售成本")</f>
        <v>#VALUE!</v>
      </c>
      <c r="AA27" s="813" t="e" cm="1">
        <f t="array" aca="1" ref="AA27" ca="1">INDIRECT($B27&amp;"!M44")+INDIRECT($B27&amp;"!M45")</f>
        <v>#REF!</v>
      </c>
      <c r="AB27" s="813" t="e">
        <f>SUMIFS([1]客房!D:D,[1]客房!B:B,D27,[1]客房!C:C,"Laundry 洗涤费")</f>
        <v>#VALUE!</v>
      </c>
      <c r="AC27" s="813" t="e" cm="1">
        <f t="array" aca="1" ref="AC27" ca="1">INDIRECT($B27&amp;"!M46")-Y27-Z27-AB27</f>
        <v>#REF!</v>
      </c>
      <c r="AD27" s="813" t="e" cm="1">
        <f t="array" aca="1" ref="AD27" ca="1">INDIRECT($B27&amp;"!M47")-SUM(Y27:AC27)</f>
        <v>#REF!</v>
      </c>
      <c r="AF27" s="813" t="e" cm="1">
        <f t="array" aca="1" ref="AF27" ca="1">INDIRECT($B27&amp;"!M60")</f>
        <v>#REF!</v>
      </c>
      <c r="AG27" s="813" t="e" cm="1">
        <f t="array" aca="1" ref="AG27" ca="1">INDIRECT($B27&amp;"!M61")+INDIRECT($B27&amp;"!M62")</f>
        <v>#REF!</v>
      </c>
      <c r="AH27" s="813" t="e">
        <f>SUMIFS([1]餐饮!D:D,[1]餐饮!B:B,D27,[1]餐饮!C:C,"Laundry 洗涤费")</f>
        <v>#VALUE!</v>
      </c>
      <c r="AI27" s="813" t="e" cm="1">
        <f t="array" aca="1" ref="AI27" ca="1">INDIRECT($B27&amp;"!M63")-AH27</f>
        <v>#REF!</v>
      </c>
      <c r="AJ27" s="813" t="e" cm="1">
        <f t="array" aca="1" ref="AJ27" ca="1">INDIRECT($B27&amp;"!M64")-SUM(AE27:AI27)</f>
        <v>#REF!</v>
      </c>
      <c r="AK27" s="813" t="e">
        <f>SUMIFS([1]新零售!D:D,[1]新零售!B:B,D27,[1]新零售!C:C,"Total Cost of Sales 总销售成本")</f>
        <v>#VALUE!</v>
      </c>
      <c r="AL27" s="813" t="e">
        <f>SUMIFS([1]康乐温泉!C:C,[1]康乐温泉!A:A,D27,[1]康乐温泉!B:B,"Total Cost of Sales 总销售成本")+SUMIFS([1]康乐温泉!C:C,[1]康乐温泉!A:A,D27,[1]康乐温泉!B:B,"Total Other Expenses 其他费用合计")</f>
        <v>#VALUE!</v>
      </c>
      <c r="AP27" s="813" t="e" cm="1">
        <f t="array" aca="1" ref="AP27" ca="1">INDIRECT($B27&amp;"!M91")+INDIRECT($B27&amp;"!M92")</f>
        <v>#REF!</v>
      </c>
      <c r="AQ27" s="813" t="e" cm="1">
        <f t="array" aca="1" ref="AQ27" ca="1">INDIRECT($B27&amp;"!M93")+INDIRECT($B27&amp;"!M94")+INDIRECT($B27&amp;"!M95")+INDIRECT($B27&amp;"!M96")</f>
        <v>#REF!</v>
      </c>
      <c r="AR27" s="813" t="e" cm="1">
        <f t="array" aca="1" ref="AR27" ca="1">INDIRECT($B27&amp;"!M98")+INDIRECT($B27&amp;"!M99")</f>
        <v>#REF!</v>
      </c>
      <c r="AT27" s="813" t="e" cm="1">
        <f t="array" aca="1" ref="AT27" ca="1">INDIRECT($B27&amp;"!M100")</f>
        <v>#REF!</v>
      </c>
      <c r="AU27" s="813" t="e" cm="1">
        <f t="array" aca="1" ref="AU27" ca="1">INDIRECT($B27&amp;"!M103")+INDIRECT($B27&amp;"!M104")</f>
        <v>#REF!</v>
      </c>
      <c r="AV27" s="813" t="e" cm="1">
        <f t="array" aca="1" ref="AV27" ca="1">INDIRECT($B27&amp;"!M36")</f>
        <v>#REF!</v>
      </c>
      <c r="AW27" s="813" t="e" cm="1">
        <f t="array" aca="1" ref="AW27" ca="1">INDIRECT($B27&amp;"!M105")-AV27</f>
        <v>#REF!</v>
      </c>
      <c r="AX27" s="813" t="e">
        <f>SUMIFS([1]能源!C:C,[1]能源!A:A,D27,[1]能源!B:B,"Electricity 电费")</f>
        <v>#VALUE!</v>
      </c>
      <c r="AY27" s="813" t="e">
        <f>SUMIFS([1]能源!C:C,[1]能源!A:A,D27,[1]能源!B:B,"Steam 蒸汽费")+SUMIFS([1]能源!C:C,[1]能源!A:A,D27,[1]能源!B:B,"Geothermal water 地热水")+SUMIFS([1]能源!C:C,[1]能源!A:A,D27,[1]能源!B:B,"Water 水费")</f>
        <v>#VALUE!</v>
      </c>
      <c r="AZ27" s="813" t="e">
        <f>SUMIFS([1]能源!C:C,[1]能源!A:A,D27,[1]能源!B:B,"Gas 煤气费")+SUMIFS([1]能源!C:C,[1]能源!A:A,D27,[1]能源!B:B,"Oil 燃油费")</f>
        <v>#VALUE!</v>
      </c>
      <c r="BA27" s="813" t="e">
        <f>SUMIFS([1]能源!C:C,[1]能源!A:A,D27,[1]能源!B:B,"Heating 暖气")</f>
        <v>#VALUE!</v>
      </c>
      <c r="BB27" s="813" t="e">
        <f t="shared" si="9"/>
        <v>#VALUE!</v>
      </c>
      <c r="BC27" s="815" t="e">
        <f t="shared" ca="1" si="10"/>
        <v>#VALUE!</v>
      </c>
      <c r="BD27" s="813" t="e" cm="1">
        <f t="array" aca="1" ref="BD27" ca="1">INDIRECT($B27&amp;"!M101")-SUM(AX27:BA27)</f>
        <v>#REF!</v>
      </c>
      <c r="BG27" s="813" t="e" cm="1">
        <f t="array" aca="1" ref="BG27" ca="1">INDIRECT($B27&amp;"!M119")</f>
        <v>#REF!</v>
      </c>
      <c r="BI27" s="813" t="e" cm="1">
        <f t="array" aca="1" ref="BI27" ca="1">INDIRECT($B27&amp;"!M116")</f>
        <v>#REF!</v>
      </c>
      <c r="BK27" s="813" t="e" cm="1">
        <f t="array" aca="1" ref="BK27" ca="1">INDIRECT($B27&amp;"!M123")</f>
        <v>#REF!</v>
      </c>
      <c r="BM27" s="813" t="e" cm="1">
        <f t="array" aca="1" ref="BM27" ca="1">INDIRECT($B27&amp;"!M117")</f>
        <v>#REF!</v>
      </c>
      <c r="BN27" s="813" t="e" cm="1">
        <f t="array" aca="1" ref="BN27" ca="1">INDIRECT($B27&amp;"!M118")+INDIRECT($B27&amp;"!M120")</f>
        <v>#REF!</v>
      </c>
      <c r="BP27" s="813" t="e" cm="1">
        <f t="array" aca="1" ref="BP27" ca="1">-INDIRECT($B27&amp;"!M114")+INDIRECT($B27&amp;"!M115")-BG27-BI27-BM27-BN27</f>
        <v>#REF!</v>
      </c>
    </row>
    <row r="28" spans="1:68">
      <c r="A28" s="759" t="s">
        <v>53</v>
      </c>
      <c r="B28" s="759" t="s">
        <v>188</v>
      </c>
      <c r="C28" s="759" t="s">
        <v>53</v>
      </c>
      <c r="D28" s="770" t="s">
        <v>189</v>
      </c>
      <c r="E28" s="831" t="e">
        <f t="shared" ca="1" si="8"/>
        <v>#REF!</v>
      </c>
      <c r="F28" s="814" t="e" cm="1">
        <f t="array" aca="1" ref="F28" ca="1">INDIRECT($B28&amp;"!M16")</f>
        <v>#REF!</v>
      </c>
      <c r="G28" s="814" t="e" cm="1">
        <f t="array" aca="1" ref="G28" ca="1">INDIRECT($B28&amp;"!M43")</f>
        <v>#REF!</v>
      </c>
      <c r="H28" s="814" t="e" cm="1">
        <f t="array" aca="1" ref="H28" ca="1">INDIRECT($B28&amp;"!M52")+INDIRECT($B28&amp;"!M53")</f>
        <v>#REF!</v>
      </c>
      <c r="I28" s="814" t="e" cm="1">
        <f t="array" aca="1" ref="I28" ca="1">INDIRECT($B28&amp;"!M55")</f>
        <v>#REF!</v>
      </c>
      <c r="J28" s="814" t="e" cm="1">
        <f t="array" aca="1" ref="J28" ca="1">INDIRECT($B28&amp;"!M54")</f>
        <v>#REF!</v>
      </c>
      <c r="K28" s="814" t="e" cm="1">
        <f t="array" aca="1" ref="K28" ca="1">INDIRECT($B28&amp;"!M75")</f>
        <v>#REF!</v>
      </c>
      <c r="L28" s="814" t="e" cm="1">
        <f t="array" aca="1" ref="L28" ca="1">INDIRECT($B28&amp;"!M69")+INDIRECT($B28&amp;"!M70")</f>
        <v>#REF!</v>
      </c>
      <c r="M28" s="814" t="e" cm="1">
        <f t="array" aca="1" ref="M28" ca="1">INDIRECT($B28&amp;"!M77")-INDIRECT($B28&amp;"!M75")-INDIRECT($B28&amp;"!M69")-INDIRECT($B28&amp;"!M70")</f>
        <v>#REF!</v>
      </c>
      <c r="N28" s="814" t="e" cm="1">
        <f t="array" aca="1" ref="N28" ca="1">INDIRECT($B28&amp;"!M115")</f>
        <v>#REF!</v>
      </c>
      <c r="O28" s="814" t="e">
        <f t="shared" ca="1" si="7"/>
        <v>#REF!</v>
      </c>
      <c r="P28" s="813" t="e" cm="1">
        <f t="array" aca="1" ref="P28" ca="1">INDIRECT($B28&amp;"!M31")</f>
        <v>#REF!</v>
      </c>
      <c r="Q28" s="815" t="e">
        <f t="shared" ca="1" si="1"/>
        <v>#REF!</v>
      </c>
      <c r="R28" s="813" t="e" cm="1">
        <f t="array" aca="1" ref="R28" ca="1">INDIRECT($B28&amp;"!M34")</f>
        <v>#REF!</v>
      </c>
      <c r="S28" s="815" t="e">
        <f t="shared" ca="1" si="2"/>
        <v>#REF!</v>
      </c>
      <c r="T28" s="813" t="e" cm="1">
        <f t="array" aca="1" ref="T28" ca="1">INDIRECT($B28&amp;"!M38")</f>
        <v>#REF!</v>
      </c>
      <c r="V28" s="815" t="e">
        <f t="shared" ca="1" si="3"/>
        <v>#REF!</v>
      </c>
      <c r="W28" s="813" t="e" cm="1">
        <f t="array" aca="1" ref="W28" ca="1">INDIRECT($B28&amp;"!M36")</f>
        <v>#REF!</v>
      </c>
      <c r="X28" s="815" t="e">
        <f t="shared" ca="1" si="5"/>
        <v>#REF!</v>
      </c>
      <c r="Y28" s="813" t="e">
        <f>SUMIFS([1]客房!D:D,[1]客房!B:B,D28,[1]客房!C:C,"Reservation Fees 预订成本")</f>
        <v>#VALUE!</v>
      </c>
      <c r="Z28" s="813" t="e">
        <f>SUMIFS([1]客房!D:D,[1]客房!B:B,D28,[1]客房!C:C,"  Total Cost of Sales 总销售成本")</f>
        <v>#VALUE!</v>
      </c>
      <c r="AA28" s="813" t="e" cm="1">
        <f t="array" aca="1" ref="AA28" ca="1">INDIRECT($B28&amp;"!M44")+INDIRECT($B28&amp;"!M45")</f>
        <v>#REF!</v>
      </c>
      <c r="AB28" s="813" t="e">
        <f>SUMIFS([1]客房!D:D,[1]客房!B:B,D28,[1]客房!C:C,"Laundry 洗涤费")</f>
        <v>#VALUE!</v>
      </c>
      <c r="AC28" s="813" t="e" cm="1">
        <f t="array" aca="1" ref="AC28" ca="1">INDIRECT($B28&amp;"!M46")-Y28-Z28-AB28</f>
        <v>#REF!</v>
      </c>
      <c r="AD28" s="813" t="e" cm="1">
        <f t="array" aca="1" ref="AD28" ca="1">INDIRECT($B28&amp;"!M47")-SUM(Y28:AC28)</f>
        <v>#REF!</v>
      </c>
      <c r="AF28" s="813" t="e" cm="1">
        <f t="array" aca="1" ref="AF28" ca="1">INDIRECT($B28&amp;"!M60")</f>
        <v>#REF!</v>
      </c>
      <c r="AG28" s="813" t="e" cm="1">
        <f t="array" aca="1" ref="AG28" ca="1">INDIRECT($B28&amp;"!M61")+INDIRECT($B28&amp;"!M62")</f>
        <v>#REF!</v>
      </c>
      <c r="AH28" s="813" t="e">
        <f>SUMIFS([1]餐饮!D:D,[1]餐饮!B:B,D28,[1]餐饮!C:C,"Laundry 洗涤费")</f>
        <v>#VALUE!</v>
      </c>
      <c r="AI28" s="813" t="e" cm="1">
        <f t="array" aca="1" ref="AI28" ca="1">INDIRECT($B28&amp;"!M63")-AH28</f>
        <v>#REF!</v>
      </c>
      <c r="AJ28" s="813" t="e" cm="1">
        <f t="array" aca="1" ref="AJ28" ca="1">INDIRECT($B28&amp;"!M64")-SUM(AE28:AI28)</f>
        <v>#REF!</v>
      </c>
      <c r="AK28" s="813" t="e">
        <f>SUMIFS([1]新零售!D:D,[1]新零售!B:B,D28,[1]新零售!C:C,"Total Cost of Sales 总销售成本")</f>
        <v>#VALUE!</v>
      </c>
      <c r="AL28" s="813" t="e">
        <f>SUMIFS([1]康乐温泉!C:C,[1]康乐温泉!A:A,D28,[1]康乐温泉!B:B,"Total Cost of Sales 总销售成本")+SUMIFS([1]康乐温泉!C:C,[1]康乐温泉!A:A,D28,[1]康乐温泉!B:B,"Total Other Expenses 其他费用合计")</f>
        <v>#VALUE!</v>
      </c>
      <c r="AP28" s="813" t="e" cm="1">
        <f t="array" aca="1" ref="AP28" ca="1">INDIRECT($B28&amp;"!M91")+INDIRECT($B28&amp;"!M92")</f>
        <v>#REF!</v>
      </c>
      <c r="AQ28" s="813" t="e" cm="1">
        <f t="array" aca="1" ref="AQ28" ca="1">INDIRECT($B28&amp;"!M93")+INDIRECT($B28&amp;"!M94")+INDIRECT($B28&amp;"!M95")+INDIRECT($B28&amp;"!M96")</f>
        <v>#REF!</v>
      </c>
      <c r="AR28" s="813" t="e" cm="1">
        <f t="array" aca="1" ref="AR28" ca="1">INDIRECT($B28&amp;"!M98")+INDIRECT($B28&amp;"!M99")</f>
        <v>#REF!</v>
      </c>
      <c r="AT28" s="813" t="e" cm="1">
        <f t="array" aca="1" ref="AT28" ca="1">INDIRECT($B28&amp;"!M100")</f>
        <v>#REF!</v>
      </c>
      <c r="AU28" s="813" t="e" cm="1">
        <f t="array" aca="1" ref="AU28" ca="1">INDIRECT($B28&amp;"!M103")+INDIRECT($B28&amp;"!M104")</f>
        <v>#REF!</v>
      </c>
      <c r="AV28" s="813" t="e" cm="1">
        <f t="array" aca="1" ref="AV28" ca="1">INDIRECT($B28&amp;"!M36")</f>
        <v>#REF!</v>
      </c>
      <c r="AW28" s="813" t="e" cm="1">
        <f t="array" aca="1" ref="AW28" ca="1">INDIRECT($B28&amp;"!M105")-AV28</f>
        <v>#REF!</v>
      </c>
      <c r="AX28" s="813" t="e">
        <f>SUMIFS([1]能源!C:C,[1]能源!A:A,D28,[1]能源!B:B,"Electricity 电费")</f>
        <v>#VALUE!</v>
      </c>
      <c r="AY28" s="813" t="e">
        <f>SUMIFS([1]能源!C:C,[1]能源!A:A,D28,[1]能源!B:B,"Steam 蒸汽费")+SUMIFS([1]能源!C:C,[1]能源!A:A,D28,[1]能源!B:B,"Geothermal water 地热水")+SUMIFS([1]能源!C:C,[1]能源!A:A,D28,[1]能源!B:B,"Water 水费")</f>
        <v>#VALUE!</v>
      </c>
      <c r="AZ28" s="813" t="e">
        <f>SUMIFS([1]能源!C:C,[1]能源!A:A,D28,[1]能源!B:B,"Gas 煤气费")+SUMIFS([1]能源!C:C,[1]能源!A:A,D28,[1]能源!B:B,"Oil 燃油费")</f>
        <v>#VALUE!</v>
      </c>
      <c r="BA28" s="813" t="e">
        <f>SUMIFS([1]能源!C:C,[1]能源!A:A,D28,[1]能源!B:B,"Heating 暖气")</f>
        <v>#VALUE!</v>
      </c>
      <c r="BB28" s="813" t="e">
        <f t="shared" si="9"/>
        <v>#VALUE!</v>
      </c>
      <c r="BC28" s="815" t="e">
        <f t="shared" ca="1" si="10"/>
        <v>#VALUE!</v>
      </c>
      <c r="BD28" s="813" t="e" cm="1">
        <f t="array" aca="1" ref="BD28" ca="1">INDIRECT($B28&amp;"!M101")-SUM(AX28:BA28)</f>
        <v>#REF!</v>
      </c>
      <c r="BG28" s="813" t="e" cm="1">
        <f t="array" aca="1" ref="BG28" ca="1">INDIRECT($B28&amp;"!M119")</f>
        <v>#REF!</v>
      </c>
      <c r="BI28" s="813" t="e" cm="1">
        <f t="array" aca="1" ref="BI28" ca="1">INDIRECT($B28&amp;"!M116")</f>
        <v>#REF!</v>
      </c>
      <c r="BK28" s="813" t="e" cm="1">
        <f t="array" aca="1" ref="BK28" ca="1">INDIRECT($B28&amp;"!M123")</f>
        <v>#REF!</v>
      </c>
      <c r="BM28" s="813" t="e" cm="1">
        <f t="array" aca="1" ref="BM28" ca="1">INDIRECT($B28&amp;"!M117")</f>
        <v>#REF!</v>
      </c>
      <c r="BN28" s="813" t="e" cm="1">
        <f t="array" aca="1" ref="BN28" ca="1">INDIRECT($B28&amp;"!M118")+INDIRECT($B28&amp;"!M120")</f>
        <v>#REF!</v>
      </c>
      <c r="BP28" s="813" t="e" cm="1">
        <f t="array" aca="1" ref="BP28" ca="1">-INDIRECT($B28&amp;"!M114")+INDIRECT($B28&amp;"!M115")-BG28-BI28-BM28-BN28</f>
        <v>#REF!</v>
      </c>
    </row>
    <row r="29" spans="1:68">
      <c r="A29" s="759" t="s">
        <v>54</v>
      </c>
      <c r="B29" s="759" t="s">
        <v>190</v>
      </c>
      <c r="C29" s="759" t="s">
        <v>54</v>
      </c>
      <c r="D29" s="770" t="s">
        <v>191</v>
      </c>
      <c r="E29" s="831" t="e">
        <f t="shared" ca="1" si="8"/>
        <v>#REF!</v>
      </c>
      <c r="F29" s="814" t="e" cm="1">
        <f t="array" aca="1" ref="F29" ca="1">INDIRECT($B29&amp;"!M16")</f>
        <v>#REF!</v>
      </c>
      <c r="G29" s="814" t="e" cm="1">
        <f t="array" aca="1" ref="G29" ca="1">INDIRECT($B29&amp;"!M43")</f>
        <v>#REF!</v>
      </c>
      <c r="H29" s="814" t="e" cm="1">
        <f t="array" aca="1" ref="H29" ca="1">INDIRECT($B29&amp;"!M52")+INDIRECT($B29&amp;"!M53")</f>
        <v>#REF!</v>
      </c>
      <c r="I29" s="814" t="e" cm="1">
        <f t="array" aca="1" ref="I29" ca="1">INDIRECT($B29&amp;"!M55")</f>
        <v>#REF!</v>
      </c>
      <c r="J29" s="814" t="e" cm="1">
        <f t="array" aca="1" ref="J29" ca="1">INDIRECT($B29&amp;"!M54")</f>
        <v>#REF!</v>
      </c>
      <c r="K29" s="814" t="e" cm="1">
        <f t="array" aca="1" ref="K29" ca="1">INDIRECT($B29&amp;"!M75")</f>
        <v>#REF!</v>
      </c>
      <c r="L29" s="814" t="e" cm="1">
        <f t="array" aca="1" ref="L29" ca="1">INDIRECT($B29&amp;"!M69")+INDIRECT($B29&amp;"!M70")</f>
        <v>#REF!</v>
      </c>
      <c r="M29" s="814" t="e" cm="1">
        <f t="array" aca="1" ref="M29" ca="1">INDIRECT($B29&amp;"!M77")-INDIRECT($B29&amp;"!M75")-INDIRECT($B29&amp;"!M69")-INDIRECT($B29&amp;"!M70")</f>
        <v>#REF!</v>
      </c>
      <c r="N29" s="814" t="e" cm="1">
        <f t="array" aca="1" ref="N29" ca="1">INDIRECT($B29&amp;"!M115")</f>
        <v>#REF!</v>
      </c>
      <c r="O29" s="814" t="e">
        <f t="shared" ca="1" si="7"/>
        <v>#REF!</v>
      </c>
      <c r="P29" s="813" t="e" cm="1">
        <f t="array" aca="1" ref="P29" ca="1">INDIRECT($B29&amp;"!M31")</f>
        <v>#REF!</v>
      </c>
      <c r="Q29" s="815" t="e">
        <f t="shared" ca="1" si="1"/>
        <v>#REF!</v>
      </c>
      <c r="R29" s="813" t="e" cm="1">
        <f t="array" aca="1" ref="R29" ca="1">INDIRECT($B29&amp;"!M34")</f>
        <v>#REF!</v>
      </c>
      <c r="S29" s="815" t="e">
        <f t="shared" ca="1" si="2"/>
        <v>#REF!</v>
      </c>
      <c r="T29" s="813" t="e" cm="1">
        <f t="array" aca="1" ref="T29" ca="1">INDIRECT($B29&amp;"!M38")</f>
        <v>#REF!</v>
      </c>
      <c r="V29" s="815" t="e">
        <f t="shared" ca="1" si="3"/>
        <v>#REF!</v>
      </c>
      <c r="W29" s="813" t="e" cm="1">
        <f t="array" aca="1" ref="W29" ca="1">INDIRECT($B29&amp;"!M36")</f>
        <v>#REF!</v>
      </c>
      <c r="X29" s="815" t="e">
        <f t="shared" ca="1" si="5"/>
        <v>#REF!</v>
      </c>
      <c r="Y29" s="813" t="e">
        <f>SUMIFS([1]客房!D:D,[1]客房!B:B,D29,[1]客房!C:C,"Reservation Fees 预订成本")</f>
        <v>#VALUE!</v>
      </c>
      <c r="Z29" s="813" t="e">
        <f>SUMIFS([1]客房!D:D,[1]客房!B:B,D29,[1]客房!C:C,"  Total Cost of Sales 总销售成本")</f>
        <v>#VALUE!</v>
      </c>
      <c r="AA29" s="813" t="e" cm="1">
        <f t="array" aca="1" ref="AA29" ca="1">INDIRECT($B29&amp;"!M44")+INDIRECT($B29&amp;"!M45")</f>
        <v>#REF!</v>
      </c>
      <c r="AB29" s="813" t="e">
        <f>SUMIFS([1]客房!D:D,[1]客房!B:B,D29,[1]客房!C:C,"Laundry 洗涤费")</f>
        <v>#VALUE!</v>
      </c>
      <c r="AC29" s="813" t="e" cm="1">
        <f t="array" aca="1" ref="AC29" ca="1">INDIRECT($B29&amp;"!M46")-Y29-Z29-AB29</f>
        <v>#REF!</v>
      </c>
      <c r="AD29" s="813" t="e" cm="1">
        <f t="array" aca="1" ref="AD29" ca="1">INDIRECT($B29&amp;"!M47")-SUM(Y29:AC29)</f>
        <v>#REF!</v>
      </c>
      <c r="AF29" s="813" t="e" cm="1">
        <f t="array" aca="1" ref="AF29" ca="1">INDIRECT($B29&amp;"!M60")</f>
        <v>#REF!</v>
      </c>
      <c r="AG29" s="813" t="e" cm="1">
        <f t="array" aca="1" ref="AG29" ca="1">INDIRECT($B29&amp;"!M61")+INDIRECT($B29&amp;"!M62")</f>
        <v>#REF!</v>
      </c>
      <c r="AH29" s="813" t="e">
        <f>SUMIFS([1]餐饮!D:D,[1]餐饮!B:B,D29,[1]餐饮!C:C,"Laundry 洗涤费")</f>
        <v>#VALUE!</v>
      </c>
      <c r="AI29" s="813" t="e" cm="1">
        <f t="array" aca="1" ref="AI29" ca="1">INDIRECT($B29&amp;"!M63")-AH29</f>
        <v>#REF!</v>
      </c>
      <c r="AJ29" s="813" t="e" cm="1">
        <f t="array" aca="1" ref="AJ29" ca="1">INDIRECT($B29&amp;"!M64")-SUM(AE29:AI29)</f>
        <v>#REF!</v>
      </c>
      <c r="AK29" s="813" t="e">
        <f>SUMIFS([1]新零售!D:D,[1]新零售!B:B,D29,[1]新零售!C:C,"Total Cost of Sales 总销售成本")</f>
        <v>#VALUE!</v>
      </c>
      <c r="AL29" s="813" t="e">
        <f>SUMIFS([1]康乐温泉!C:C,[1]康乐温泉!A:A,D29,[1]康乐温泉!B:B,"Total Cost of Sales 总销售成本")+SUMIFS([1]康乐温泉!C:C,[1]康乐温泉!A:A,D29,[1]康乐温泉!B:B,"Total Other Expenses 其他费用合计")</f>
        <v>#VALUE!</v>
      </c>
      <c r="AP29" s="813" t="e" cm="1">
        <f t="array" aca="1" ref="AP29" ca="1">INDIRECT($B29&amp;"!M91")+INDIRECT($B29&amp;"!M92")</f>
        <v>#REF!</v>
      </c>
      <c r="AQ29" s="813" t="e" cm="1">
        <f t="array" aca="1" ref="AQ29" ca="1">INDIRECT($B29&amp;"!M93")+INDIRECT($B29&amp;"!M94")+INDIRECT($B29&amp;"!M95")+INDIRECT($B29&amp;"!M96")</f>
        <v>#REF!</v>
      </c>
      <c r="AR29" s="813" t="e" cm="1">
        <f t="array" aca="1" ref="AR29" ca="1">INDIRECT($B29&amp;"!M98")+INDIRECT($B29&amp;"!M99")</f>
        <v>#REF!</v>
      </c>
      <c r="AT29" s="813" t="e" cm="1">
        <f t="array" aca="1" ref="AT29" ca="1">INDIRECT($B29&amp;"!M100")</f>
        <v>#REF!</v>
      </c>
      <c r="AU29" s="813" t="e" cm="1">
        <f t="array" aca="1" ref="AU29" ca="1">INDIRECT($B29&amp;"!M103")+INDIRECT($B29&amp;"!M104")</f>
        <v>#REF!</v>
      </c>
      <c r="AV29" s="813" t="e" cm="1">
        <f t="array" aca="1" ref="AV29" ca="1">INDIRECT($B29&amp;"!M36")</f>
        <v>#REF!</v>
      </c>
      <c r="AW29" s="813" t="e" cm="1">
        <f t="array" aca="1" ref="AW29" ca="1">INDIRECT($B29&amp;"!M105")-AV29</f>
        <v>#REF!</v>
      </c>
      <c r="AX29" s="813" t="e">
        <f>SUMIFS([1]能源!C:C,[1]能源!A:A,D29,[1]能源!B:B,"Electricity 电费")</f>
        <v>#VALUE!</v>
      </c>
      <c r="AY29" s="813" t="e">
        <f>SUMIFS([1]能源!C:C,[1]能源!A:A,D29,[1]能源!B:B,"Steam 蒸汽费")+SUMIFS([1]能源!C:C,[1]能源!A:A,D29,[1]能源!B:B,"Geothermal water 地热水")+SUMIFS([1]能源!C:C,[1]能源!A:A,D29,[1]能源!B:B,"Water 水费")</f>
        <v>#VALUE!</v>
      </c>
      <c r="AZ29" s="813" t="e">
        <f>SUMIFS([1]能源!C:C,[1]能源!A:A,D29,[1]能源!B:B,"Gas 煤气费")+SUMIFS([1]能源!C:C,[1]能源!A:A,D29,[1]能源!B:B,"Oil 燃油费")</f>
        <v>#VALUE!</v>
      </c>
      <c r="BA29" s="813" t="e">
        <f>SUMIFS([1]能源!C:C,[1]能源!A:A,D29,[1]能源!B:B,"Heating 暖气")</f>
        <v>#VALUE!</v>
      </c>
      <c r="BB29" s="813" t="e">
        <f t="shared" si="9"/>
        <v>#VALUE!</v>
      </c>
      <c r="BC29" s="815" t="e">
        <f t="shared" ca="1" si="10"/>
        <v>#VALUE!</v>
      </c>
      <c r="BD29" s="813" t="e" cm="1">
        <f t="array" aca="1" ref="BD29" ca="1">INDIRECT($B29&amp;"!M101")-SUM(AX29:BA29)</f>
        <v>#REF!</v>
      </c>
      <c r="BG29" s="813" t="e" cm="1">
        <f t="array" aca="1" ref="BG29" ca="1">INDIRECT($B29&amp;"!M119")</f>
        <v>#REF!</v>
      </c>
      <c r="BI29" s="813" t="e" cm="1">
        <f t="array" aca="1" ref="BI29" ca="1">INDIRECT($B29&amp;"!M116")</f>
        <v>#REF!</v>
      </c>
      <c r="BK29" s="813" t="e" cm="1">
        <f t="array" aca="1" ref="BK29" ca="1">INDIRECT($B29&amp;"!M123")</f>
        <v>#REF!</v>
      </c>
      <c r="BM29" s="813" t="e" cm="1">
        <f t="array" aca="1" ref="BM29" ca="1">INDIRECT($B29&amp;"!M117")</f>
        <v>#REF!</v>
      </c>
      <c r="BN29" s="813" t="e" cm="1">
        <f t="array" aca="1" ref="BN29" ca="1">INDIRECT($B29&amp;"!M118")+INDIRECT($B29&amp;"!M120")</f>
        <v>#REF!</v>
      </c>
      <c r="BP29" s="813" t="e" cm="1">
        <f t="array" aca="1" ref="BP29" ca="1">-INDIRECT($B29&amp;"!M114")+INDIRECT($B29&amp;"!M115")-BG29-BI29-BM29-BN29</f>
        <v>#REF!</v>
      </c>
    </row>
    <row r="30" spans="1:68">
      <c r="A30" s="759" t="s">
        <v>55</v>
      </c>
      <c r="B30" s="759" t="s">
        <v>192</v>
      </c>
      <c r="C30" s="759" t="s">
        <v>55</v>
      </c>
      <c r="D30" s="770" t="s">
        <v>193</v>
      </c>
      <c r="E30" s="831" t="e">
        <f t="shared" ca="1" si="8"/>
        <v>#REF!</v>
      </c>
      <c r="F30" s="814" t="e" cm="1">
        <f t="array" aca="1" ref="F30" ca="1">INDIRECT($B30&amp;"!M16")</f>
        <v>#REF!</v>
      </c>
      <c r="G30" s="814" t="e" cm="1">
        <f t="array" aca="1" ref="G30" ca="1">INDIRECT($B30&amp;"!M43")</f>
        <v>#REF!</v>
      </c>
      <c r="H30" s="814" t="e" cm="1">
        <f t="array" aca="1" ref="H30" ca="1">INDIRECT($B30&amp;"!M52")+INDIRECT($B30&amp;"!M53")</f>
        <v>#REF!</v>
      </c>
      <c r="I30" s="814" t="e" cm="1">
        <f t="array" aca="1" ref="I30" ca="1">INDIRECT($B30&amp;"!M55")</f>
        <v>#REF!</v>
      </c>
      <c r="J30" s="814" t="e" cm="1">
        <f t="array" aca="1" ref="J30" ca="1">INDIRECT($B30&amp;"!M54")</f>
        <v>#REF!</v>
      </c>
      <c r="K30" s="814" t="e" cm="1">
        <f t="array" aca="1" ref="K30" ca="1">INDIRECT($B30&amp;"!M75")</f>
        <v>#REF!</v>
      </c>
      <c r="L30" s="814" t="e" cm="1">
        <f t="array" aca="1" ref="L30" ca="1">INDIRECT($B30&amp;"!M69")+INDIRECT($B30&amp;"!M70")</f>
        <v>#REF!</v>
      </c>
      <c r="M30" s="814" t="e" cm="1">
        <f t="array" aca="1" ref="M30" ca="1">INDIRECT($B30&amp;"!M77")-INDIRECT($B30&amp;"!M75")-INDIRECT($B30&amp;"!M69")-INDIRECT($B30&amp;"!M70")</f>
        <v>#REF!</v>
      </c>
      <c r="N30" s="814" t="e" cm="1">
        <f t="array" aca="1" ref="N30" ca="1">INDIRECT($B30&amp;"!M115")</f>
        <v>#REF!</v>
      </c>
      <c r="O30" s="814" t="e">
        <f t="shared" ca="1" si="7"/>
        <v>#REF!</v>
      </c>
      <c r="P30" s="813" t="e" cm="1">
        <f t="array" aca="1" ref="P30" ca="1">INDIRECT($B30&amp;"!M31")</f>
        <v>#REF!</v>
      </c>
      <c r="Q30" s="815" t="e">
        <f t="shared" ca="1" si="1"/>
        <v>#REF!</v>
      </c>
      <c r="R30" s="813" t="e" cm="1">
        <f t="array" aca="1" ref="R30" ca="1">INDIRECT($B30&amp;"!M34")</f>
        <v>#REF!</v>
      </c>
      <c r="S30" s="815" t="e">
        <f t="shared" ca="1" si="2"/>
        <v>#REF!</v>
      </c>
      <c r="T30" s="813" t="e" cm="1">
        <f t="array" aca="1" ref="T30" ca="1">INDIRECT($B30&amp;"!M38")</f>
        <v>#REF!</v>
      </c>
      <c r="V30" s="815" t="e">
        <f t="shared" ca="1" si="3"/>
        <v>#REF!</v>
      </c>
      <c r="W30" s="813" t="e" cm="1">
        <f t="array" aca="1" ref="W30" ca="1">INDIRECT($B30&amp;"!M36")</f>
        <v>#REF!</v>
      </c>
      <c r="X30" s="815" t="e">
        <f t="shared" ca="1" si="5"/>
        <v>#REF!</v>
      </c>
      <c r="Y30" s="813" t="e">
        <f>SUMIFS([1]客房!D:D,[1]客房!B:B,D30,[1]客房!C:C,"Reservation Fees 预订成本")</f>
        <v>#VALUE!</v>
      </c>
      <c r="Z30" s="813" t="e">
        <f>SUMIFS([1]客房!D:D,[1]客房!B:B,D30,[1]客房!C:C,"  Total Cost of Sales 总销售成本")</f>
        <v>#VALUE!</v>
      </c>
      <c r="AA30" s="813" t="e" cm="1">
        <f t="array" aca="1" ref="AA30" ca="1">INDIRECT($B30&amp;"!M44")+INDIRECT($B30&amp;"!M45")</f>
        <v>#REF!</v>
      </c>
      <c r="AB30" s="813" t="e">
        <f>SUMIFS([1]客房!D:D,[1]客房!B:B,D30,[1]客房!C:C,"Laundry 洗涤费")</f>
        <v>#VALUE!</v>
      </c>
      <c r="AC30" s="813" t="e" cm="1">
        <f t="array" aca="1" ref="AC30" ca="1">INDIRECT($B30&amp;"!M46")-Y30-Z30-AB30</f>
        <v>#REF!</v>
      </c>
      <c r="AD30" s="813" t="e" cm="1">
        <f t="array" aca="1" ref="AD30" ca="1">INDIRECT($B30&amp;"!M47")-SUM(Y30:AC30)</f>
        <v>#REF!</v>
      </c>
      <c r="AF30" s="813" t="e" cm="1">
        <f t="array" aca="1" ref="AF30" ca="1">INDIRECT($B30&amp;"!M60")</f>
        <v>#REF!</v>
      </c>
      <c r="AG30" s="813" t="e" cm="1">
        <f t="array" aca="1" ref="AG30" ca="1">INDIRECT($B30&amp;"!M61")+INDIRECT($B30&amp;"!M62")</f>
        <v>#REF!</v>
      </c>
      <c r="AH30" s="813" t="e">
        <f>SUMIFS([1]餐饮!D:D,[1]餐饮!B:B,D30,[1]餐饮!C:C,"Laundry 洗涤费")</f>
        <v>#VALUE!</v>
      </c>
      <c r="AI30" s="813" t="e" cm="1">
        <f t="array" aca="1" ref="AI30" ca="1">INDIRECT($B30&amp;"!M63")-AH30</f>
        <v>#REF!</v>
      </c>
      <c r="AJ30" s="813" t="e" cm="1">
        <f t="array" aca="1" ref="AJ30" ca="1">INDIRECT($B30&amp;"!M64")-SUM(AE30:AI30)</f>
        <v>#REF!</v>
      </c>
      <c r="AK30" s="813" t="e">
        <f>SUMIFS([1]新零售!D:D,[1]新零售!B:B,D30,[1]新零售!C:C,"Total Cost of Sales 总销售成本")</f>
        <v>#VALUE!</v>
      </c>
      <c r="AL30" s="813" t="e">
        <f>SUMIFS([1]康乐温泉!C:C,[1]康乐温泉!A:A,D30,[1]康乐温泉!B:B,"Total Cost of Sales 总销售成本")+SUMIFS([1]康乐温泉!C:C,[1]康乐温泉!A:A,D30,[1]康乐温泉!B:B,"Total Other Expenses 其他费用合计")</f>
        <v>#VALUE!</v>
      </c>
      <c r="AP30" s="813" t="e" cm="1">
        <f t="array" aca="1" ref="AP30" ca="1">INDIRECT($B30&amp;"!M91")+INDIRECT($B30&amp;"!M92")</f>
        <v>#REF!</v>
      </c>
      <c r="AQ30" s="813" t="e" cm="1">
        <f t="array" aca="1" ref="AQ30" ca="1">INDIRECT($B30&amp;"!M93")+INDIRECT($B30&amp;"!M94")+INDIRECT($B30&amp;"!M95")+INDIRECT($B30&amp;"!M96")</f>
        <v>#REF!</v>
      </c>
      <c r="AR30" s="813" t="e" cm="1">
        <f t="array" aca="1" ref="AR30" ca="1">INDIRECT($B30&amp;"!M98")+INDIRECT($B30&amp;"!M99")</f>
        <v>#REF!</v>
      </c>
      <c r="AT30" s="813" t="e" cm="1">
        <f t="array" aca="1" ref="AT30" ca="1">INDIRECT($B30&amp;"!M100")</f>
        <v>#REF!</v>
      </c>
      <c r="AU30" s="813" t="e" cm="1">
        <f t="array" aca="1" ref="AU30" ca="1">INDIRECT($B30&amp;"!M103")+INDIRECT($B30&amp;"!M104")</f>
        <v>#REF!</v>
      </c>
      <c r="AV30" s="813" t="e" cm="1">
        <f t="array" aca="1" ref="AV30" ca="1">INDIRECT($B30&amp;"!M36")</f>
        <v>#REF!</v>
      </c>
      <c r="AW30" s="813" t="e" cm="1">
        <f t="array" aca="1" ref="AW30" ca="1">INDIRECT($B30&amp;"!M105")-AV30</f>
        <v>#REF!</v>
      </c>
      <c r="AX30" s="813" t="e">
        <f>SUMIFS([1]能源!C:C,[1]能源!A:A,D30,[1]能源!B:B,"Electricity 电费")</f>
        <v>#VALUE!</v>
      </c>
      <c r="AY30" s="813" t="e">
        <f>SUMIFS([1]能源!C:C,[1]能源!A:A,D30,[1]能源!B:B,"Steam 蒸汽费")+SUMIFS([1]能源!C:C,[1]能源!A:A,D30,[1]能源!B:B,"Geothermal water 地热水")+SUMIFS([1]能源!C:C,[1]能源!A:A,D30,[1]能源!B:B,"Water 水费")</f>
        <v>#VALUE!</v>
      </c>
      <c r="AZ30" s="813" t="e">
        <f>SUMIFS([1]能源!C:C,[1]能源!A:A,D30,[1]能源!B:B,"Gas 煤气费")+SUMIFS([1]能源!C:C,[1]能源!A:A,D30,[1]能源!B:B,"Oil 燃油费")</f>
        <v>#VALUE!</v>
      </c>
      <c r="BA30" s="813" t="e">
        <f>SUMIFS([1]能源!C:C,[1]能源!A:A,D30,[1]能源!B:B,"Heating 暖气")</f>
        <v>#VALUE!</v>
      </c>
      <c r="BB30" s="813" t="e">
        <f t="shared" si="9"/>
        <v>#VALUE!</v>
      </c>
      <c r="BC30" s="815" t="e">
        <f t="shared" ca="1" si="10"/>
        <v>#VALUE!</v>
      </c>
      <c r="BD30" s="813" t="e" cm="1">
        <f t="array" aca="1" ref="BD30" ca="1">INDIRECT($B30&amp;"!M101")-SUM(AX30:BA30)</f>
        <v>#REF!</v>
      </c>
      <c r="BG30" s="813" t="e" cm="1">
        <f t="array" aca="1" ref="BG30" ca="1">INDIRECT($B30&amp;"!M119")</f>
        <v>#REF!</v>
      </c>
      <c r="BI30" s="813" t="e" cm="1">
        <f t="array" aca="1" ref="BI30" ca="1">INDIRECT($B30&amp;"!M116")</f>
        <v>#REF!</v>
      </c>
      <c r="BK30" s="813" t="e" cm="1">
        <f t="array" aca="1" ref="BK30" ca="1">INDIRECT($B30&amp;"!M123")</f>
        <v>#REF!</v>
      </c>
      <c r="BM30" s="813" t="e" cm="1">
        <f t="array" aca="1" ref="BM30" ca="1">INDIRECT($B30&amp;"!M117")</f>
        <v>#REF!</v>
      </c>
      <c r="BN30" s="813" t="e" cm="1">
        <f t="array" aca="1" ref="BN30" ca="1">INDIRECT($B30&amp;"!M118")+INDIRECT($B30&amp;"!M120")</f>
        <v>#REF!</v>
      </c>
      <c r="BP30" s="813" t="e" cm="1">
        <f t="array" aca="1" ref="BP30" ca="1">-INDIRECT($B30&amp;"!M114")+INDIRECT($B30&amp;"!M115")-BG30-BI30-BM30-BN30</f>
        <v>#REF!</v>
      </c>
    </row>
    <row r="31" spans="1:68">
      <c r="A31" s="759" t="s">
        <v>68</v>
      </c>
      <c r="B31" s="759" t="s">
        <v>194</v>
      </c>
      <c r="C31" s="759" t="s">
        <v>195</v>
      </c>
      <c r="D31" s="770" t="s">
        <v>196</v>
      </c>
      <c r="E31" s="831" t="e">
        <f t="shared" ca="1" si="8"/>
        <v>#REF!</v>
      </c>
      <c r="F31" s="814" t="e" cm="1">
        <f t="array" aca="1" ref="F31" ca="1">INDIRECT($B31&amp;"!M16")</f>
        <v>#REF!</v>
      </c>
      <c r="G31" s="814" t="e" cm="1">
        <f t="array" aca="1" ref="G31" ca="1">INDIRECT($B31&amp;"!M43")</f>
        <v>#REF!</v>
      </c>
      <c r="H31" s="814" t="e" cm="1">
        <f t="array" aca="1" ref="H31" ca="1">INDIRECT($B31&amp;"!M52")+INDIRECT($B31&amp;"!M53")</f>
        <v>#REF!</v>
      </c>
      <c r="I31" s="814" t="e" cm="1">
        <f t="array" aca="1" ref="I31" ca="1">INDIRECT($B31&amp;"!M55")</f>
        <v>#REF!</v>
      </c>
      <c r="J31" s="814" t="e" cm="1">
        <f t="array" aca="1" ref="J31" ca="1">INDIRECT($B31&amp;"!M54")</f>
        <v>#REF!</v>
      </c>
      <c r="K31" s="814" t="e" cm="1">
        <f t="array" aca="1" ref="K31" ca="1">INDIRECT($B31&amp;"!M75")</f>
        <v>#REF!</v>
      </c>
      <c r="L31" s="814" t="e" cm="1">
        <f t="array" aca="1" ref="L31" ca="1">INDIRECT($B31&amp;"!M69")+INDIRECT($B31&amp;"!M70")</f>
        <v>#REF!</v>
      </c>
      <c r="M31" s="814" t="e" cm="1">
        <f t="array" aca="1" ref="M31" ca="1">INDIRECT($B31&amp;"!M77")-INDIRECT($B31&amp;"!M75")-INDIRECT($B31&amp;"!M69")-INDIRECT($B31&amp;"!M70")</f>
        <v>#REF!</v>
      </c>
      <c r="N31" s="814" t="e" cm="1">
        <f t="array" aca="1" ref="N31" ca="1">INDIRECT($B31&amp;"!M115")</f>
        <v>#REF!</v>
      </c>
      <c r="O31" s="814" t="e">
        <f t="shared" ca="1" si="7"/>
        <v>#REF!</v>
      </c>
      <c r="P31" s="813" t="e" cm="1">
        <f t="array" aca="1" ref="P31" ca="1">INDIRECT($B31&amp;"!M31")</f>
        <v>#REF!</v>
      </c>
      <c r="Q31" s="815" t="e">
        <f t="shared" ca="1" si="1"/>
        <v>#REF!</v>
      </c>
      <c r="R31" s="813" t="e" cm="1">
        <f t="array" aca="1" ref="R31" ca="1">INDIRECT($B31&amp;"!M34")</f>
        <v>#REF!</v>
      </c>
      <c r="S31" s="815" t="e">
        <f t="shared" ca="1" si="2"/>
        <v>#REF!</v>
      </c>
      <c r="T31" s="813" t="e" cm="1">
        <f t="array" aca="1" ref="T31" ca="1">INDIRECT($B31&amp;"!M38")</f>
        <v>#REF!</v>
      </c>
      <c r="V31" s="815" t="e">
        <f t="shared" ca="1" si="3"/>
        <v>#REF!</v>
      </c>
      <c r="W31" s="813" t="e" cm="1">
        <f t="array" aca="1" ref="W31" ca="1">INDIRECT($B31&amp;"!M36")</f>
        <v>#REF!</v>
      </c>
      <c r="X31" s="815" t="e">
        <f t="shared" ca="1" si="5"/>
        <v>#REF!</v>
      </c>
      <c r="Y31" s="813" t="e">
        <f>SUMIFS([1]客房!D:D,[1]客房!B:B,D31,[1]客房!C:C,"Reservation Fees 预订成本")</f>
        <v>#VALUE!</v>
      </c>
      <c r="Z31" s="813" t="e">
        <f>SUMIFS([1]客房!D:D,[1]客房!B:B,D31,[1]客房!C:C,"  Total Cost of Sales 总销售成本")</f>
        <v>#VALUE!</v>
      </c>
      <c r="AA31" s="813" t="e" cm="1">
        <f t="array" aca="1" ref="AA31" ca="1">INDIRECT($B31&amp;"!M44")+INDIRECT($B31&amp;"!M45")</f>
        <v>#REF!</v>
      </c>
      <c r="AB31" s="813" t="e">
        <f>SUMIFS([1]客房!D:D,[1]客房!B:B,D31,[1]客房!C:C,"Laundry 洗涤费")</f>
        <v>#VALUE!</v>
      </c>
      <c r="AC31" s="813" t="e" cm="1">
        <f t="array" aca="1" ref="AC31" ca="1">INDIRECT($B31&amp;"!M46")-Y31-Z31-AB31</f>
        <v>#REF!</v>
      </c>
      <c r="AD31" s="813" t="e" cm="1">
        <f t="array" aca="1" ref="AD31" ca="1">INDIRECT($B31&amp;"!M47")-SUM(Y31:AC31)</f>
        <v>#REF!</v>
      </c>
      <c r="AF31" s="813" t="e" cm="1">
        <f t="array" aca="1" ref="AF31" ca="1">INDIRECT($B31&amp;"!M60")</f>
        <v>#REF!</v>
      </c>
      <c r="AG31" s="813" t="e" cm="1">
        <f t="array" aca="1" ref="AG31" ca="1">INDIRECT($B31&amp;"!M61")+INDIRECT($B31&amp;"!M62")</f>
        <v>#REF!</v>
      </c>
      <c r="AH31" s="813" t="e">
        <f>SUMIFS([1]餐饮!D:D,[1]餐饮!B:B,D31,[1]餐饮!C:C,"Laundry 洗涤费")</f>
        <v>#VALUE!</v>
      </c>
      <c r="AI31" s="813" t="e" cm="1">
        <f t="array" aca="1" ref="AI31" ca="1">INDIRECT($B31&amp;"!M63")-AH31</f>
        <v>#REF!</v>
      </c>
      <c r="AJ31" s="813" t="e" cm="1">
        <f t="array" aca="1" ref="AJ31" ca="1">INDIRECT($B31&amp;"!M64")-SUM(AE31:AI31)</f>
        <v>#REF!</v>
      </c>
      <c r="AK31" s="813" t="e">
        <f>SUMIFS([1]新零售!D:D,[1]新零售!B:B,D31,[1]新零售!C:C,"Total Cost of Sales 总销售成本")</f>
        <v>#VALUE!</v>
      </c>
      <c r="AL31" s="813" t="e">
        <f>SUMIFS([1]康乐温泉!C:C,[1]康乐温泉!A:A,D31,[1]康乐温泉!B:B,"Total Cost of Sales 总销售成本")+SUMIFS([1]康乐温泉!C:C,[1]康乐温泉!A:A,D31,[1]康乐温泉!B:B,"Total Other Expenses 其他费用合计")</f>
        <v>#VALUE!</v>
      </c>
      <c r="AP31" s="813" t="e" cm="1">
        <f t="array" aca="1" ref="AP31" ca="1">INDIRECT($B31&amp;"!M91")+INDIRECT($B31&amp;"!M92")</f>
        <v>#REF!</v>
      </c>
      <c r="AQ31" s="813" t="e" cm="1">
        <f t="array" aca="1" ref="AQ31" ca="1">INDIRECT($B31&amp;"!M93")+INDIRECT($B31&amp;"!M94")+INDIRECT($B31&amp;"!M95")+INDIRECT($B31&amp;"!M96")</f>
        <v>#REF!</v>
      </c>
      <c r="AR31" s="813" t="e" cm="1">
        <f t="array" aca="1" ref="AR31" ca="1">INDIRECT($B31&amp;"!M98")+INDIRECT($B31&amp;"!M99")</f>
        <v>#REF!</v>
      </c>
      <c r="AT31" s="813" t="e" cm="1">
        <f t="array" aca="1" ref="AT31" ca="1">INDIRECT($B31&amp;"!M100")</f>
        <v>#REF!</v>
      </c>
      <c r="AU31" s="813" t="e" cm="1">
        <f t="array" aca="1" ref="AU31" ca="1">INDIRECT($B31&amp;"!M103")+INDIRECT($B31&amp;"!M104")</f>
        <v>#REF!</v>
      </c>
      <c r="AV31" s="813" t="e" cm="1">
        <f t="array" aca="1" ref="AV31" ca="1">INDIRECT($B31&amp;"!M36")</f>
        <v>#REF!</v>
      </c>
      <c r="AW31" s="813" t="e" cm="1">
        <f t="array" aca="1" ref="AW31" ca="1">INDIRECT($B31&amp;"!M105")-AV31</f>
        <v>#REF!</v>
      </c>
      <c r="AX31" s="813" t="e">
        <f>SUMIFS([1]能源!C:C,[1]能源!A:A,D31,[1]能源!B:B,"Electricity 电费")</f>
        <v>#VALUE!</v>
      </c>
      <c r="AY31" s="813" t="e">
        <f>SUMIFS([1]能源!C:C,[1]能源!A:A,D31,[1]能源!B:B,"Steam 蒸汽费")+SUMIFS([1]能源!C:C,[1]能源!A:A,D31,[1]能源!B:B,"Geothermal water 地热水")+SUMIFS([1]能源!C:C,[1]能源!A:A,D31,[1]能源!B:B,"Water 水费")</f>
        <v>#VALUE!</v>
      </c>
      <c r="AZ31" s="813" t="e">
        <f>SUMIFS([1]能源!C:C,[1]能源!A:A,D31,[1]能源!B:B,"Gas 煤气费")+SUMIFS([1]能源!C:C,[1]能源!A:A,D31,[1]能源!B:B,"Oil 燃油费")</f>
        <v>#VALUE!</v>
      </c>
      <c r="BA31" s="813" t="e">
        <f>SUMIFS([1]能源!C:C,[1]能源!A:A,D31,[1]能源!B:B,"Heating 暖气")</f>
        <v>#VALUE!</v>
      </c>
      <c r="BB31" s="813" t="e">
        <f t="shared" si="9"/>
        <v>#VALUE!</v>
      </c>
      <c r="BC31" s="815" t="e">
        <f t="shared" ca="1" si="10"/>
        <v>#VALUE!</v>
      </c>
      <c r="BD31" s="813" t="e" cm="1">
        <f t="array" aca="1" ref="BD31" ca="1">INDIRECT($B31&amp;"!M101")-SUM(AX31:BA31)</f>
        <v>#REF!</v>
      </c>
      <c r="BG31" s="813" t="e" cm="1">
        <f t="array" aca="1" ref="BG31" ca="1">INDIRECT($B31&amp;"!M119")</f>
        <v>#REF!</v>
      </c>
      <c r="BI31" s="813" t="e" cm="1">
        <f t="array" aca="1" ref="BI31" ca="1">INDIRECT($B31&amp;"!M116")</f>
        <v>#REF!</v>
      </c>
      <c r="BK31" s="813" t="e" cm="1">
        <f t="array" aca="1" ref="BK31" ca="1">INDIRECT($B31&amp;"!M123")</f>
        <v>#REF!</v>
      </c>
      <c r="BM31" s="813" t="e" cm="1">
        <f t="array" aca="1" ref="BM31" ca="1">INDIRECT($B31&amp;"!M117")</f>
        <v>#REF!</v>
      </c>
      <c r="BN31" s="813" t="e" cm="1">
        <f t="array" aca="1" ref="BN31" ca="1">INDIRECT($B31&amp;"!M118")+INDIRECT($B31&amp;"!M120")</f>
        <v>#REF!</v>
      </c>
      <c r="BP31" s="813" t="e" cm="1">
        <f t="array" aca="1" ref="BP31" ca="1">-INDIRECT($B31&amp;"!M114")+INDIRECT($B31&amp;"!M115")-BG31-BI31-BM31-BN31</f>
        <v>#REF!</v>
      </c>
    </row>
    <row r="32" spans="1:68">
      <c r="A32" s="759" t="s">
        <v>57</v>
      </c>
      <c r="B32" s="759" t="s">
        <v>197</v>
      </c>
      <c r="C32" s="759" t="s">
        <v>198</v>
      </c>
      <c r="D32" s="770" t="s">
        <v>199</v>
      </c>
      <c r="E32" s="831" t="e">
        <f t="shared" ca="1" si="8"/>
        <v>#REF!</v>
      </c>
      <c r="F32" s="814" t="e" cm="1">
        <f t="array" aca="1" ref="F32" ca="1">INDIRECT($B32&amp;"!M16")</f>
        <v>#REF!</v>
      </c>
      <c r="G32" s="814" t="e" cm="1">
        <f t="array" aca="1" ref="G32" ca="1">INDIRECT($B32&amp;"!M43")</f>
        <v>#REF!</v>
      </c>
      <c r="H32" s="814" t="e" cm="1">
        <f t="array" aca="1" ref="H32" ca="1">INDIRECT($B32&amp;"!M52")+INDIRECT($B32&amp;"!M53")</f>
        <v>#REF!</v>
      </c>
      <c r="I32" s="814" t="e" cm="1">
        <f t="array" aca="1" ref="I32" ca="1">INDIRECT($B32&amp;"!M55")</f>
        <v>#REF!</v>
      </c>
      <c r="J32" s="814" t="e" cm="1">
        <f t="array" aca="1" ref="J32" ca="1">INDIRECT($B32&amp;"!M54")</f>
        <v>#REF!</v>
      </c>
      <c r="K32" s="814" t="e" cm="1">
        <f t="array" aca="1" ref="K32" ca="1">INDIRECT($B32&amp;"!M75")</f>
        <v>#REF!</v>
      </c>
      <c r="L32" s="814" t="e" cm="1">
        <f t="array" aca="1" ref="L32" ca="1">INDIRECT($B32&amp;"!M69")+INDIRECT($B32&amp;"!M70")</f>
        <v>#REF!</v>
      </c>
      <c r="M32" s="814" t="e" cm="1">
        <f t="array" aca="1" ref="M32" ca="1">INDIRECT($B32&amp;"!M77")-INDIRECT($B32&amp;"!M75")-INDIRECT($B32&amp;"!M69")-INDIRECT($B32&amp;"!M70")</f>
        <v>#REF!</v>
      </c>
      <c r="N32" s="814" t="e" cm="1">
        <f t="array" aca="1" ref="N32" ca="1">INDIRECT($B32&amp;"!M115")</f>
        <v>#REF!</v>
      </c>
      <c r="O32" s="814" t="e">
        <f t="shared" ca="1" si="7"/>
        <v>#REF!</v>
      </c>
      <c r="P32" s="813" t="e" cm="1">
        <f t="array" aca="1" ref="P32" ca="1">INDIRECT($B32&amp;"!M31")</f>
        <v>#REF!</v>
      </c>
      <c r="Q32" s="815" t="e">
        <f t="shared" ca="1" si="1"/>
        <v>#REF!</v>
      </c>
      <c r="R32" s="813" t="e" cm="1">
        <f t="array" aca="1" ref="R32" ca="1">INDIRECT($B32&amp;"!M34")</f>
        <v>#REF!</v>
      </c>
      <c r="S32" s="815" t="e">
        <f t="shared" ca="1" si="2"/>
        <v>#REF!</v>
      </c>
      <c r="T32" s="813" t="e" cm="1">
        <f t="array" aca="1" ref="T32" ca="1">INDIRECT($B32&amp;"!M38")</f>
        <v>#REF!</v>
      </c>
      <c r="V32" s="815" t="e">
        <f t="shared" ca="1" si="3"/>
        <v>#REF!</v>
      </c>
      <c r="W32" s="813" t="e" cm="1">
        <f t="array" aca="1" ref="W32" ca="1">INDIRECT($B32&amp;"!M36")</f>
        <v>#REF!</v>
      </c>
      <c r="X32" s="815" t="e">
        <f t="shared" ca="1" si="5"/>
        <v>#REF!</v>
      </c>
      <c r="Y32" s="813" t="e">
        <f>SUMIFS([1]客房!D:D,[1]客房!B:B,D32,[1]客房!C:C,"Reservation Fees 预订成本")</f>
        <v>#VALUE!</v>
      </c>
      <c r="Z32" s="813" t="e">
        <f>SUMIFS([1]客房!D:D,[1]客房!B:B,D32,[1]客房!C:C,"  Total Cost of Sales 总销售成本")</f>
        <v>#VALUE!</v>
      </c>
      <c r="AA32" s="813" t="e" cm="1">
        <f t="array" aca="1" ref="AA32" ca="1">INDIRECT($B32&amp;"!M44")+INDIRECT($B32&amp;"!M45")</f>
        <v>#REF!</v>
      </c>
      <c r="AB32" s="813" t="e">
        <f>SUMIFS([1]客房!D:D,[1]客房!B:B,D32,[1]客房!C:C,"Laundry 洗涤费")</f>
        <v>#VALUE!</v>
      </c>
      <c r="AC32" s="813" t="e" cm="1">
        <f t="array" aca="1" ref="AC32" ca="1">INDIRECT($B32&amp;"!M46")-Y32-Z32-AB32</f>
        <v>#REF!</v>
      </c>
      <c r="AD32" s="813" t="e" cm="1">
        <f t="array" aca="1" ref="AD32" ca="1">INDIRECT($B32&amp;"!M47")-SUM(Y32:AC32)</f>
        <v>#REF!</v>
      </c>
      <c r="AF32" s="813" t="e" cm="1">
        <f t="array" aca="1" ref="AF32" ca="1">INDIRECT($B32&amp;"!M60")</f>
        <v>#REF!</v>
      </c>
      <c r="AG32" s="813" t="e" cm="1">
        <f t="array" aca="1" ref="AG32" ca="1">INDIRECT($B32&amp;"!M61")+INDIRECT($B32&amp;"!M62")</f>
        <v>#REF!</v>
      </c>
      <c r="AH32" s="813" t="e">
        <f>SUMIFS([1]餐饮!D:D,[1]餐饮!B:B,D32,[1]餐饮!C:C,"Laundry 洗涤费")</f>
        <v>#VALUE!</v>
      </c>
      <c r="AI32" s="813" t="e" cm="1">
        <f t="array" aca="1" ref="AI32" ca="1">INDIRECT($B32&amp;"!M63")-AH32</f>
        <v>#REF!</v>
      </c>
      <c r="AJ32" s="813" t="e" cm="1">
        <f t="array" aca="1" ref="AJ32" ca="1">INDIRECT($B32&amp;"!M64")-SUM(AE32:AI32)</f>
        <v>#REF!</v>
      </c>
      <c r="AK32" s="813" t="e">
        <f>SUMIFS([1]新零售!D:D,[1]新零售!B:B,D32,[1]新零售!C:C,"Total Cost of Sales 总销售成本")</f>
        <v>#VALUE!</v>
      </c>
      <c r="AL32" s="813" t="e">
        <f>SUMIFS([1]康乐温泉!C:C,[1]康乐温泉!A:A,D32,[1]康乐温泉!B:B,"Total Cost of Sales 总销售成本")+SUMIFS([1]康乐温泉!C:C,[1]康乐温泉!A:A,D32,[1]康乐温泉!B:B,"Total Other Expenses 其他费用合计")</f>
        <v>#VALUE!</v>
      </c>
      <c r="AP32" s="813" t="e" cm="1">
        <f t="array" aca="1" ref="AP32" ca="1">INDIRECT($B32&amp;"!M91")+INDIRECT($B32&amp;"!M92")</f>
        <v>#REF!</v>
      </c>
      <c r="AQ32" s="813" t="e" cm="1">
        <f t="array" aca="1" ref="AQ32" ca="1">INDIRECT($B32&amp;"!M93")+INDIRECT($B32&amp;"!M94")+INDIRECT($B32&amp;"!M95")+INDIRECT($B32&amp;"!M96")</f>
        <v>#REF!</v>
      </c>
      <c r="AR32" s="813" t="e" cm="1">
        <f t="array" aca="1" ref="AR32" ca="1">INDIRECT($B32&amp;"!M98")+INDIRECT($B32&amp;"!M99")</f>
        <v>#REF!</v>
      </c>
      <c r="AT32" s="813" t="e" cm="1">
        <f t="array" aca="1" ref="AT32" ca="1">INDIRECT($B32&amp;"!M100")</f>
        <v>#REF!</v>
      </c>
      <c r="AU32" s="813" t="e" cm="1">
        <f t="array" aca="1" ref="AU32" ca="1">INDIRECT($B32&amp;"!M103")+INDIRECT($B32&amp;"!M104")</f>
        <v>#REF!</v>
      </c>
      <c r="AV32" s="813" t="e" cm="1">
        <f t="array" aca="1" ref="AV32" ca="1">INDIRECT($B32&amp;"!M36")</f>
        <v>#REF!</v>
      </c>
      <c r="AW32" s="813" t="e" cm="1">
        <f t="array" aca="1" ref="AW32" ca="1">INDIRECT($B32&amp;"!M105")-AV32</f>
        <v>#REF!</v>
      </c>
      <c r="AX32" s="813" t="e">
        <f>SUMIFS([1]能源!C:C,[1]能源!A:A,D32,[1]能源!B:B,"Electricity 电费")</f>
        <v>#VALUE!</v>
      </c>
      <c r="AY32" s="813" t="e">
        <f>SUMIFS([1]能源!C:C,[1]能源!A:A,D32,[1]能源!B:B,"Steam 蒸汽费")+SUMIFS([1]能源!C:C,[1]能源!A:A,D32,[1]能源!B:B,"Geothermal water 地热水")+SUMIFS([1]能源!C:C,[1]能源!A:A,D32,[1]能源!B:B,"Water 水费")</f>
        <v>#VALUE!</v>
      </c>
      <c r="AZ32" s="813" t="e">
        <f>SUMIFS([1]能源!C:C,[1]能源!A:A,D32,[1]能源!B:B,"Gas 煤气费")+SUMIFS([1]能源!C:C,[1]能源!A:A,D32,[1]能源!B:B,"Oil 燃油费")</f>
        <v>#VALUE!</v>
      </c>
      <c r="BA32" s="813" t="e">
        <f>SUMIFS([1]能源!C:C,[1]能源!A:A,D32,[1]能源!B:B,"Heating 暖气")</f>
        <v>#VALUE!</v>
      </c>
      <c r="BB32" s="813" t="e">
        <f t="shared" si="9"/>
        <v>#VALUE!</v>
      </c>
      <c r="BC32" s="815" t="e">
        <f t="shared" ca="1" si="10"/>
        <v>#VALUE!</v>
      </c>
      <c r="BD32" s="813" t="e" cm="1">
        <f t="array" aca="1" ref="BD32" ca="1">INDIRECT($B32&amp;"!M101")-SUM(AX32:BA32)</f>
        <v>#REF!</v>
      </c>
      <c r="BG32" s="813" t="e" cm="1">
        <f t="array" aca="1" ref="BG32" ca="1">INDIRECT($B32&amp;"!M119")</f>
        <v>#REF!</v>
      </c>
      <c r="BI32" s="813" t="e" cm="1">
        <f t="array" aca="1" ref="BI32" ca="1">INDIRECT($B32&amp;"!M116")</f>
        <v>#REF!</v>
      </c>
      <c r="BK32" s="813" t="e" cm="1">
        <f t="array" aca="1" ref="BK32" ca="1">INDIRECT($B32&amp;"!M123")</f>
        <v>#REF!</v>
      </c>
      <c r="BM32" s="813" t="e" cm="1">
        <f t="array" aca="1" ref="BM32" ca="1">INDIRECT($B32&amp;"!M117")</f>
        <v>#REF!</v>
      </c>
      <c r="BN32" s="813" t="e" cm="1">
        <f t="array" aca="1" ref="BN32" ca="1">INDIRECT($B32&amp;"!M118")+INDIRECT($B32&amp;"!M120")</f>
        <v>#REF!</v>
      </c>
      <c r="BP32" s="813" t="e" cm="1">
        <f t="array" aca="1" ref="BP32" ca="1">-INDIRECT($B32&amp;"!M114")+INDIRECT($B32&amp;"!M115")-BG32-BI32-BM32-BN32</f>
        <v>#REF!</v>
      </c>
    </row>
    <row r="33" spans="1:68">
      <c r="A33" s="759" t="s">
        <v>58</v>
      </c>
      <c r="B33" s="759" t="s">
        <v>200</v>
      </c>
      <c r="C33" s="759" t="s">
        <v>58</v>
      </c>
      <c r="D33" s="770" t="s">
        <v>201</v>
      </c>
      <c r="E33" s="831" t="e">
        <f t="shared" ca="1" si="8"/>
        <v>#REF!</v>
      </c>
      <c r="F33" s="814" t="e" cm="1">
        <f t="array" aca="1" ref="F33" ca="1">INDIRECT($B33&amp;"!M16")</f>
        <v>#REF!</v>
      </c>
      <c r="G33" s="814" t="e" cm="1">
        <f t="array" aca="1" ref="G33" ca="1">INDIRECT($B33&amp;"!M43")</f>
        <v>#REF!</v>
      </c>
      <c r="H33" s="814" t="e" cm="1">
        <f t="array" aca="1" ref="H33" ca="1">INDIRECT($B33&amp;"!M52")+INDIRECT($B33&amp;"!M53")</f>
        <v>#REF!</v>
      </c>
      <c r="I33" s="814" t="e" cm="1">
        <f t="array" aca="1" ref="I33" ca="1">INDIRECT($B33&amp;"!M55")</f>
        <v>#REF!</v>
      </c>
      <c r="J33" s="814" t="e" cm="1">
        <f t="array" aca="1" ref="J33" ca="1">INDIRECT($B33&amp;"!M54")</f>
        <v>#REF!</v>
      </c>
      <c r="K33" s="814" t="e" cm="1">
        <f t="array" aca="1" ref="K33" ca="1">INDIRECT($B33&amp;"!M75")</f>
        <v>#REF!</v>
      </c>
      <c r="L33" s="814" t="e" cm="1">
        <f t="array" aca="1" ref="L33" ca="1">INDIRECT($B33&amp;"!M69")+INDIRECT($B33&amp;"!M70")</f>
        <v>#REF!</v>
      </c>
      <c r="M33" s="814" t="e" cm="1">
        <f t="array" aca="1" ref="M33" ca="1">INDIRECT($B33&amp;"!M77")-INDIRECT($B33&amp;"!M75")-INDIRECT($B33&amp;"!M69")-INDIRECT($B33&amp;"!M70")</f>
        <v>#REF!</v>
      </c>
      <c r="N33" s="814" t="e" cm="1">
        <f t="array" aca="1" ref="N33" ca="1">INDIRECT($B33&amp;"!M115")</f>
        <v>#REF!</v>
      </c>
      <c r="O33" s="814" t="e">
        <f t="shared" ca="1" si="7"/>
        <v>#REF!</v>
      </c>
      <c r="P33" s="813" t="e" cm="1">
        <f t="array" aca="1" ref="P33" ca="1">INDIRECT($B33&amp;"!M31")</f>
        <v>#REF!</v>
      </c>
      <c r="Q33" s="815" t="e">
        <f t="shared" ca="1" si="1"/>
        <v>#REF!</v>
      </c>
      <c r="R33" s="813" t="e" cm="1">
        <f t="array" aca="1" ref="R33" ca="1">INDIRECT($B33&amp;"!M34")</f>
        <v>#REF!</v>
      </c>
      <c r="S33" s="815" t="e">
        <f t="shared" ca="1" si="2"/>
        <v>#REF!</v>
      </c>
      <c r="T33" s="813" t="e" cm="1">
        <f t="array" aca="1" ref="T33" ca="1">INDIRECT($B33&amp;"!M38")</f>
        <v>#REF!</v>
      </c>
      <c r="V33" s="815" t="e">
        <f t="shared" ca="1" si="3"/>
        <v>#REF!</v>
      </c>
      <c r="W33" s="813" t="e" cm="1">
        <f t="array" aca="1" ref="W33" ca="1">INDIRECT($B33&amp;"!M36")</f>
        <v>#REF!</v>
      </c>
      <c r="X33" s="815" t="e">
        <f t="shared" ca="1" si="5"/>
        <v>#REF!</v>
      </c>
      <c r="Y33" s="813" t="e">
        <f>SUMIFS([1]客房!D:D,[1]客房!B:B,D33,[1]客房!C:C,"Reservation Fees 预订成本")</f>
        <v>#VALUE!</v>
      </c>
      <c r="Z33" s="813" t="e">
        <f>SUMIFS([1]客房!D:D,[1]客房!B:B,D33,[1]客房!C:C,"  Total Cost of Sales 总销售成本")</f>
        <v>#VALUE!</v>
      </c>
      <c r="AA33" s="813" t="e" cm="1">
        <f t="array" aca="1" ref="AA33" ca="1">INDIRECT($B33&amp;"!M44")+INDIRECT($B33&amp;"!M45")</f>
        <v>#REF!</v>
      </c>
      <c r="AB33" s="813" t="e">
        <f>SUMIFS([1]客房!D:D,[1]客房!B:B,D33,[1]客房!C:C,"Laundry 洗涤费")</f>
        <v>#VALUE!</v>
      </c>
      <c r="AC33" s="813" t="e" cm="1">
        <f t="array" aca="1" ref="AC33" ca="1">INDIRECT($B33&amp;"!M46")-Y33-Z33-AB33</f>
        <v>#REF!</v>
      </c>
      <c r="AD33" s="813" t="e" cm="1">
        <f t="array" aca="1" ref="AD33" ca="1">INDIRECT($B33&amp;"!M47")-SUM(Y33:AC33)</f>
        <v>#REF!</v>
      </c>
      <c r="AF33" s="813" t="e" cm="1">
        <f t="array" aca="1" ref="AF33" ca="1">INDIRECT($B33&amp;"!M60")</f>
        <v>#REF!</v>
      </c>
      <c r="AG33" s="813" t="e" cm="1">
        <f t="array" aca="1" ref="AG33" ca="1">INDIRECT($B33&amp;"!M61")+INDIRECT($B33&amp;"!M62")</f>
        <v>#REF!</v>
      </c>
      <c r="AH33" s="813" t="e">
        <f>SUMIFS([1]餐饮!D:D,[1]餐饮!B:B,D33,[1]餐饮!C:C,"Laundry 洗涤费")</f>
        <v>#VALUE!</v>
      </c>
      <c r="AI33" s="813" t="e" cm="1">
        <f t="array" aca="1" ref="AI33" ca="1">INDIRECT($B33&amp;"!M63")-AH33</f>
        <v>#REF!</v>
      </c>
      <c r="AJ33" s="813" t="e" cm="1">
        <f t="array" aca="1" ref="AJ33" ca="1">INDIRECT($B33&amp;"!M64")-SUM(AE33:AI33)</f>
        <v>#REF!</v>
      </c>
      <c r="AK33" s="813" t="e">
        <f>SUMIFS([1]新零售!D:D,[1]新零售!B:B,D33,[1]新零售!C:C,"Total Cost of Sales 总销售成本")</f>
        <v>#VALUE!</v>
      </c>
      <c r="AL33" s="813" t="e">
        <f>SUMIFS([1]康乐温泉!C:C,[1]康乐温泉!A:A,D33,[1]康乐温泉!B:B,"Total Cost of Sales 总销售成本")+SUMIFS([1]康乐温泉!C:C,[1]康乐温泉!A:A,D33,[1]康乐温泉!B:B,"Total Other Expenses 其他费用合计")</f>
        <v>#VALUE!</v>
      </c>
      <c r="AP33" s="813" t="e" cm="1">
        <f t="array" aca="1" ref="AP33" ca="1">INDIRECT($B33&amp;"!M91")+INDIRECT($B33&amp;"!M92")</f>
        <v>#REF!</v>
      </c>
      <c r="AQ33" s="813" t="e" cm="1">
        <f t="array" aca="1" ref="AQ33" ca="1">INDIRECT($B33&amp;"!M93")+INDIRECT($B33&amp;"!M94")+INDIRECT($B33&amp;"!M95")+INDIRECT($B33&amp;"!M96")</f>
        <v>#REF!</v>
      </c>
      <c r="AR33" s="813" t="e" cm="1">
        <f t="array" aca="1" ref="AR33" ca="1">INDIRECT($B33&amp;"!M98")+INDIRECT($B33&amp;"!M99")</f>
        <v>#REF!</v>
      </c>
      <c r="AT33" s="813" t="e" cm="1">
        <f t="array" aca="1" ref="AT33" ca="1">INDIRECT($B33&amp;"!M100")</f>
        <v>#REF!</v>
      </c>
      <c r="AU33" s="813" t="e" cm="1">
        <f t="array" aca="1" ref="AU33" ca="1">INDIRECT($B33&amp;"!M103")+INDIRECT($B33&amp;"!M104")</f>
        <v>#REF!</v>
      </c>
      <c r="AV33" s="813" t="e" cm="1">
        <f t="array" aca="1" ref="AV33" ca="1">INDIRECT($B33&amp;"!M36")</f>
        <v>#REF!</v>
      </c>
      <c r="AW33" s="813" t="e" cm="1">
        <f t="array" aca="1" ref="AW33" ca="1">INDIRECT($B33&amp;"!M105")-AV33</f>
        <v>#REF!</v>
      </c>
      <c r="AX33" s="813" t="e">
        <f>SUMIFS([1]能源!C:C,[1]能源!A:A,D33,[1]能源!B:B,"Electricity 电费")</f>
        <v>#VALUE!</v>
      </c>
      <c r="AY33" s="813" t="e">
        <f>SUMIFS([1]能源!C:C,[1]能源!A:A,D33,[1]能源!B:B,"Steam 蒸汽费")+SUMIFS([1]能源!C:C,[1]能源!A:A,D33,[1]能源!B:B,"Geothermal water 地热水")+SUMIFS([1]能源!C:C,[1]能源!A:A,D33,[1]能源!B:B,"Water 水费")</f>
        <v>#VALUE!</v>
      </c>
      <c r="AZ33" s="813" t="e">
        <f>SUMIFS([1]能源!C:C,[1]能源!A:A,D33,[1]能源!B:B,"Gas 煤气费")+SUMIFS([1]能源!C:C,[1]能源!A:A,D33,[1]能源!B:B,"Oil 燃油费")</f>
        <v>#VALUE!</v>
      </c>
      <c r="BA33" s="813" t="e">
        <f>SUMIFS([1]能源!C:C,[1]能源!A:A,D33,[1]能源!B:B,"Heating 暖气")</f>
        <v>#VALUE!</v>
      </c>
      <c r="BB33" s="813" t="e">
        <f t="shared" si="9"/>
        <v>#VALUE!</v>
      </c>
      <c r="BC33" s="815" t="e">
        <f t="shared" ca="1" si="10"/>
        <v>#VALUE!</v>
      </c>
      <c r="BD33" s="813" t="e" cm="1">
        <f t="array" aca="1" ref="BD33" ca="1">INDIRECT($B33&amp;"!M101")-SUM(AX33:BA33)</f>
        <v>#REF!</v>
      </c>
      <c r="BG33" s="813" t="e" cm="1">
        <f t="array" aca="1" ref="BG33" ca="1">INDIRECT($B33&amp;"!M119")</f>
        <v>#REF!</v>
      </c>
      <c r="BI33" s="813" t="e" cm="1">
        <f t="array" aca="1" ref="BI33" ca="1">INDIRECT($B33&amp;"!M116")</f>
        <v>#REF!</v>
      </c>
      <c r="BK33" s="813" t="e" cm="1">
        <f t="array" aca="1" ref="BK33" ca="1">INDIRECT($B33&amp;"!M123")</f>
        <v>#REF!</v>
      </c>
      <c r="BM33" s="813" t="e" cm="1">
        <f t="array" aca="1" ref="BM33" ca="1">INDIRECT($B33&amp;"!M117")</f>
        <v>#REF!</v>
      </c>
      <c r="BN33" s="813" t="e" cm="1">
        <f t="array" aca="1" ref="BN33" ca="1">INDIRECT($B33&amp;"!M118")+INDIRECT($B33&amp;"!M120")</f>
        <v>#REF!</v>
      </c>
      <c r="BP33" s="813" t="e" cm="1">
        <f t="array" aca="1" ref="BP33" ca="1">-INDIRECT($B33&amp;"!M114")+INDIRECT($B33&amp;"!M115")-BG33-BI33-BM33-BN33</f>
        <v>#REF!</v>
      </c>
    </row>
    <row r="34" spans="1:68">
      <c r="A34" s="759" t="s">
        <v>60</v>
      </c>
      <c r="B34" s="759" t="s">
        <v>202</v>
      </c>
      <c r="C34" s="759" t="s">
        <v>60</v>
      </c>
      <c r="D34" s="770" t="s">
        <v>203</v>
      </c>
      <c r="E34" s="831" t="e">
        <f t="shared" ca="1" si="8"/>
        <v>#REF!</v>
      </c>
      <c r="F34" s="814" t="e" cm="1">
        <f t="array" aca="1" ref="F34" ca="1">INDIRECT($B34&amp;"!M16")</f>
        <v>#REF!</v>
      </c>
      <c r="G34" s="814" t="e" cm="1">
        <f t="array" aca="1" ref="G34" ca="1">INDIRECT($B34&amp;"!M43")</f>
        <v>#REF!</v>
      </c>
      <c r="H34" s="814" t="e" cm="1">
        <f t="array" aca="1" ref="H34" ca="1">INDIRECT($B34&amp;"!M52")+INDIRECT($B34&amp;"!M53")</f>
        <v>#REF!</v>
      </c>
      <c r="I34" s="814" t="e" cm="1">
        <f t="array" aca="1" ref="I34" ca="1">INDIRECT($B34&amp;"!M55")</f>
        <v>#REF!</v>
      </c>
      <c r="J34" s="814" t="e" cm="1">
        <f t="array" aca="1" ref="J34" ca="1">INDIRECT($B34&amp;"!M54")</f>
        <v>#REF!</v>
      </c>
      <c r="K34" s="814" t="e" cm="1">
        <f t="array" aca="1" ref="K34" ca="1">INDIRECT($B34&amp;"!M75")</f>
        <v>#REF!</v>
      </c>
      <c r="L34" s="814" t="e" cm="1">
        <f t="array" aca="1" ref="L34" ca="1">INDIRECT($B34&amp;"!M69")+INDIRECT($B34&amp;"!M70")</f>
        <v>#REF!</v>
      </c>
      <c r="M34" s="814" t="e" cm="1">
        <f t="array" aca="1" ref="M34" ca="1">INDIRECT($B34&amp;"!M77")-INDIRECT($B34&amp;"!M75")-INDIRECT($B34&amp;"!M69")-INDIRECT($B34&amp;"!M70")</f>
        <v>#REF!</v>
      </c>
      <c r="N34" s="814" t="e" cm="1">
        <f t="array" aca="1" ref="N34" ca="1">INDIRECT($B34&amp;"!M115")</f>
        <v>#REF!</v>
      </c>
      <c r="O34" s="814" t="e">
        <f t="shared" ca="1" si="7"/>
        <v>#REF!</v>
      </c>
      <c r="P34" s="813" t="e" cm="1">
        <f t="array" aca="1" ref="P34" ca="1">INDIRECT($B34&amp;"!M31")</f>
        <v>#REF!</v>
      </c>
      <c r="Q34" s="815" t="e">
        <f t="shared" ca="1" si="1"/>
        <v>#REF!</v>
      </c>
      <c r="R34" s="813" t="e" cm="1">
        <f t="array" aca="1" ref="R34" ca="1">INDIRECT($B34&amp;"!M34")</f>
        <v>#REF!</v>
      </c>
      <c r="S34" s="815" t="e">
        <f t="shared" ca="1" si="2"/>
        <v>#REF!</v>
      </c>
      <c r="T34" s="813" t="e" cm="1">
        <f t="array" aca="1" ref="T34" ca="1">INDIRECT($B34&amp;"!M38")</f>
        <v>#REF!</v>
      </c>
      <c r="V34" s="815" t="e">
        <f t="shared" ca="1" si="3"/>
        <v>#REF!</v>
      </c>
      <c r="W34" s="813" t="e" cm="1">
        <f t="array" aca="1" ref="W34" ca="1">INDIRECT($B34&amp;"!M36")</f>
        <v>#REF!</v>
      </c>
      <c r="X34" s="815" t="e">
        <f t="shared" ca="1" si="5"/>
        <v>#REF!</v>
      </c>
      <c r="Y34" s="813" t="e">
        <f>SUMIFS([1]客房!D:D,[1]客房!B:B,D34,[1]客房!C:C,"Reservation Fees 预订成本")</f>
        <v>#VALUE!</v>
      </c>
      <c r="Z34" s="813" t="e">
        <f>SUMIFS([1]客房!D:D,[1]客房!B:B,D34,[1]客房!C:C,"  Total Cost of Sales 总销售成本")</f>
        <v>#VALUE!</v>
      </c>
      <c r="AA34" s="813" t="e" cm="1">
        <f t="array" aca="1" ref="AA34" ca="1">INDIRECT($B34&amp;"!M44")+INDIRECT($B34&amp;"!M45")</f>
        <v>#REF!</v>
      </c>
      <c r="AB34" s="813" t="e">
        <f>SUMIFS([1]客房!D:D,[1]客房!B:B,D34,[1]客房!C:C,"Laundry 洗涤费")</f>
        <v>#VALUE!</v>
      </c>
      <c r="AC34" s="813" t="e" cm="1">
        <f t="array" aca="1" ref="AC34" ca="1">INDIRECT($B34&amp;"!M46")-Y34-Z34-AB34</f>
        <v>#REF!</v>
      </c>
      <c r="AD34" s="813" t="e" cm="1">
        <f t="array" aca="1" ref="AD34" ca="1">INDIRECT($B34&amp;"!M47")-SUM(Y34:AC34)</f>
        <v>#REF!</v>
      </c>
      <c r="AF34" s="813" t="e" cm="1">
        <f t="array" aca="1" ref="AF34" ca="1">INDIRECT($B34&amp;"!M60")</f>
        <v>#REF!</v>
      </c>
      <c r="AG34" s="813" t="e" cm="1">
        <f t="array" aca="1" ref="AG34" ca="1">INDIRECT($B34&amp;"!M61")+INDIRECT($B34&amp;"!M62")</f>
        <v>#REF!</v>
      </c>
      <c r="AH34" s="813" t="e">
        <f>SUMIFS([1]餐饮!D:D,[1]餐饮!B:B,D34,[1]餐饮!C:C,"Laundry 洗涤费")</f>
        <v>#VALUE!</v>
      </c>
      <c r="AI34" s="813" t="e" cm="1">
        <f t="array" aca="1" ref="AI34" ca="1">INDIRECT($B34&amp;"!M63")-AH34</f>
        <v>#REF!</v>
      </c>
      <c r="AJ34" s="813" t="e" cm="1">
        <f t="array" aca="1" ref="AJ34" ca="1">INDIRECT($B34&amp;"!M64")-SUM(AE34:AI34)</f>
        <v>#REF!</v>
      </c>
      <c r="AK34" s="813" t="e">
        <f>SUMIFS([1]新零售!D:D,[1]新零售!B:B,D34,[1]新零售!C:C,"Total Cost of Sales 总销售成本")</f>
        <v>#VALUE!</v>
      </c>
      <c r="AL34" s="813" t="e">
        <f>SUMIFS([1]康乐温泉!C:C,[1]康乐温泉!A:A,D34,[1]康乐温泉!B:B,"Total Cost of Sales 总销售成本")+SUMIFS([1]康乐温泉!C:C,[1]康乐温泉!A:A,D34,[1]康乐温泉!B:B,"Total Other Expenses 其他费用合计")</f>
        <v>#VALUE!</v>
      </c>
      <c r="AP34" s="813" t="e" cm="1">
        <f t="array" aca="1" ref="AP34" ca="1">INDIRECT($B34&amp;"!M91")+INDIRECT($B34&amp;"!M92")</f>
        <v>#REF!</v>
      </c>
      <c r="AQ34" s="813" t="e" cm="1">
        <f t="array" aca="1" ref="AQ34" ca="1">INDIRECT($B34&amp;"!M93")+INDIRECT($B34&amp;"!M94")+INDIRECT($B34&amp;"!M95")+INDIRECT($B34&amp;"!M96")</f>
        <v>#REF!</v>
      </c>
      <c r="AR34" s="813" t="e" cm="1">
        <f t="array" aca="1" ref="AR34" ca="1">INDIRECT($B34&amp;"!M98")+INDIRECT($B34&amp;"!M99")</f>
        <v>#REF!</v>
      </c>
      <c r="AT34" s="813" t="e" cm="1">
        <f t="array" aca="1" ref="AT34" ca="1">INDIRECT($B34&amp;"!M100")</f>
        <v>#REF!</v>
      </c>
      <c r="AU34" s="813" t="e" cm="1">
        <f t="array" aca="1" ref="AU34" ca="1">INDIRECT($B34&amp;"!M103")+INDIRECT($B34&amp;"!M104")</f>
        <v>#REF!</v>
      </c>
      <c r="AV34" s="813" t="e" cm="1">
        <f t="array" aca="1" ref="AV34" ca="1">INDIRECT($B34&amp;"!M36")</f>
        <v>#REF!</v>
      </c>
      <c r="AW34" s="813" t="e" cm="1">
        <f t="array" aca="1" ref="AW34" ca="1">INDIRECT($B34&amp;"!M105")-AV34</f>
        <v>#REF!</v>
      </c>
      <c r="AX34" s="813" t="e">
        <f>SUMIFS([1]能源!C:C,[1]能源!A:A,D34,[1]能源!B:B,"Electricity 电费")</f>
        <v>#VALUE!</v>
      </c>
      <c r="AY34" s="813" t="e">
        <f>SUMIFS([1]能源!C:C,[1]能源!A:A,D34,[1]能源!B:B,"Steam 蒸汽费")+SUMIFS([1]能源!C:C,[1]能源!A:A,D34,[1]能源!B:B,"Geothermal water 地热水")+SUMIFS([1]能源!C:C,[1]能源!A:A,D34,[1]能源!B:B,"Water 水费")</f>
        <v>#VALUE!</v>
      </c>
      <c r="AZ34" s="813" t="e">
        <f>SUMIFS([1]能源!C:C,[1]能源!A:A,D34,[1]能源!B:B,"Gas 煤气费")+SUMIFS([1]能源!C:C,[1]能源!A:A,D34,[1]能源!B:B,"Oil 燃油费")</f>
        <v>#VALUE!</v>
      </c>
      <c r="BA34" s="813" t="e">
        <f>SUMIFS([1]能源!C:C,[1]能源!A:A,D34,[1]能源!B:B,"Heating 暖气")</f>
        <v>#VALUE!</v>
      </c>
      <c r="BB34" s="813" t="e">
        <f t="shared" si="9"/>
        <v>#VALUE!</v>
      </c>
      <c r="BC34" s="815" t="e">
        <f t="shared" ca="1" si="10"/>
        <v>#VALUE!</v>
      </c>
      <c r="BD34" s="813" t="e" cm="1">
        <f t="array" aca="1" ref="BD34" ca="1">INDIRECT($B34&amp;"!M101")-SUM(AX34:BA34)</f>
        <v>#REF!</v>
      </c>
      <c r="BG34" s="813" t="e" cm="1">
        <f t="array" aca="1" ref="BG34" ca="1">INDIRECT($B34&amp;"!M119")</f>
        <v>#REF!</v>
      </c>
      <c r="BI34" s="813" t="e" cm="1">
        <f t="array" aca="1" ref="BI34" ca="1">INDIRECT($B34&amp;"!M116")</f>
        <v>#REF!</v>
      </c>
      <c r="BK34" s="813" t="e" cm="1">
        <f t="array" aca="1" ref="BK34" ca="1">INDIRECT($B34&amp;"!M123")</f>
        <v>#REF!</v>
      </c>
      <c r="BM34" s="813" t="e" cm="1">
        <f t="array" aca="1" ref="BM34" ca="1">INDIRECT($B34&amp;"!M117")</f>
        <v>#REF!</v>
      </c>
      <c r="BN34" s="813" t="e" cm="1">
        <f t="array" aca="1" ref="BN34" ca="1">INDIRECT($B34&amp;"!M118")+INDIRECT($B34&amp;"!M120")</f>
        <v>#REF!</v>
      </c>
      <c r="BP34" s="813" t="e" cm="1">
        <f t="array" aca="1" ref="BP34" ca="1">-INDIRECT($B34&amp;"!M114")+INDIRECT($B34&amp;"!M115")-BG34-BI34-BM34-BN34</f>
        <v>#REF!</v>
      </c>
    </row>
    <row r="35" spans="1:68">
      <c r="A35" s="759" t="s">
        <v>61</v>
      </c>
      <c r="B35" s="759" t="s">
        <v>204</v>
      </c>
      <c r="C35" s="759" t="s">
        <v>61</v>
      </c>
      <c r="D35" s="770" t="s">
        <v>205</v>
      </c>
      <c r="E35" s="831" t="e">
        <f t="shared" ca="1" si="8"/>
        <v>#REF!</v>
      </c>
      <c r="F35" s="814" t="e" cm="1">
        <f t="array" aca="1" ref="F35" ca="1">INDIRECT($B35&amp;"!M16")</f>
        <v>#REF!</v>
      </c>
      <c r="G35" s="814" t="e" cm="1">
        <f t="array" aca="1" ref="G35" ca="1">INDIRECT($B35&amp;"!M43")</f>
        <v>#REF!</v>
      </c>
      <c r="H35" s="814" t="e" cm="1">
        <f t="array" aca="1" ref="H35" ca="1">INDIRECT($B35&amp;"!M52")+INDIRECT($B35&amp;"!M53")</f>
        <v>#REF!</v>
      </c>
      <c r="I35" s="814" t="e" cm="1">
        <f t="array" aca="1" ref="I35" ca="1">INDIRECT($B35&amp;"!M55")</f>
        <v>#REF!</v>
      </c>
      <c r="J35" s="814" t="e" cm="1">
        <f t="array" aca="1" ref="J35" ca="1">INDIRECT($B35&amp;"!M54")</f>
        <v>#REF!</v>
      </c>
      <c r="K35" s="814" t="e" cm="1">
        <f t="array" aca="1" ref="K35" ca="1">INDIRECT($B35&amp;"!M75")</f>
        <v>#REF!</v>
      </c>
      <c r="L35" s="814" t="e" cm="1">
        <f t="array" aca="1" ref="L35" ca="1">INDIRECT($B35&amp;"!M69")+INDIRECT($B35&amp;"!M70")</f>
        <v>#REF!</v>
      </c>
      <c r="M35" s="814" t="e" cm="1">
        <f t="array" aca="1" ref="M35" ca="1">INDIRECT($B35&amp;"!M77")-INDIRECT($B35&amp;"!M75")-INDIRECT($B35&amp;"!M69")-INDIRECT($B35&amp;"!M70")</f>
        <v>#REF!</v>
      </c>
      <c r="N35" s="814" t="e" cm="1">
        <f t="array" aca="1" ref="N35" ca="1">INDIRECT($B35&amp;"!M115")</f>
        <v>#REF!</v>
      </c>
      <c r="O35" s="814" t="e">
        <f t="shared" ca="1" si="7"/>
        <v>#REF!</v>
      </c>
      <c r="P35" s="813" t="e" cm="1">
        <f t="array" aca="1" ref="P35" ca="1">INDIRECT($B35&amp;"!M31")</f>
        <v>#REF!</v>
      </c>
      <c r="Q35" s="815" t="e">
        <f t="shared" ca="1" si="1"/>
        <v>#REF!</v>
      </c>
      <c r="R35" s="813" t="e" cm="1">
        <f t="array" aca="1" ref="R35" ca="1">INDIRECT($B35&amp;"!M34")</f>
        <v>#REF!</v>
      </c>
      <c r="S35" s="815" t="e">
        <f t="shared" ca="1" si="2"/>
        <v>#REF!</v>
      </c>
      <c r="T35" s="813" t="e" cm="1">
        <f t="array" aca="1" ref="T35" ca="1">INDIRECT($B35&amp;"!M38")</f>
        <v>#REF!</v>
      </c>
      <c r="V35" s="815" t="e">
        <f t="shared" ca="1" si="3"/>
        <v>#REF!</v>
      </c>
      <c r="W35" s="813" t="e" cm="1">
        <f t="array" aca="1" ref="W35" ca="1">INDIRECT($B35&amp;"!M36")</f>
        <v>#REF!</v>
      </c>
      <c r="X35" s="815" t="e">
        <f t="shared" ca="1" si="5"/>
        <v>#REF!</v>
      </c>
      <c r="Y35" s="813" t="e">
        <f>SUMIFS([1]客房!D:D,[1]客房!B:B,D35,[1]客房!C:C,"Reservation Fees 预订成本")</f>
        <v>#VALUE!</v>
      </c>
      <c r="Z35" s="813" t="e">
        <f>SUMIFS([1]客房!D:D,[1]客房!B:B,D35,[1]客房!C:C,"  Total Cost of Sales 总销售成本")</f>
        <v>#VALUE!</v>
      </c>
      <c r="AA35" s="813" t="e" cm="1">
        <f t="array" aca="1" ref="AA35" ca="1">INDIRECT($B35&amp;"!M44")+INDIRECT($B35&amp;"!M45")</f>
        <v>#REF!</v>
      </c>
      <c r="AB35" s="813" t="e">
        <f>SUMIFS([1]客房!D:D,[1]客房!B:B,D35,[1]客房!C:C,"Laundry 洗涤费")</f>
        <v>#VALUE!</v>
      </c>
      <c r="AC35" s="813" t="e" cm="1">
        <f t="array" aca="1" ref="AC35" ca="1">INDIRECT($B35&amp;"!M46")-Y35-Z35-AB35</f>
        <v>#REF!</v>
      </c>
      <c r="AD35" s="813" t="e" cm="1">
        <f t="array" aca="1" ref="AD35" ca="1">INDIRECT($B35&amp;"!M47")-SUM(Y35:AC35)</f>
        <v>#REF!</v>
      </c>
      <c r="AF35" s="813" t="e" cm="1">
        <f t="array" aca="1" ref="AF35" ca="1">INDIRECT($B35&amp;"!M60")</f>
        <v>#REF!</v>
      </c>
      <c r="AG35" s="813" t="e" cm="1">
        <f t="array" aca="1" ref="AG35" ca="1">INDIRECT($B35&amp;"!M61")+INDIRECT($B35&amp;"!M62")</f>
        <v>#REF!</v>
      </c>
      <c r="AH35" s="813" t="e">
        <f>SUMIFS([1]餐饮!D:D,[1]餐饮!B:B,D35,[1]餐饮!C:C,"Laundry 洗涤费")</f>
        <v>#VALUE!</v>
      </c>
      <c r="AI35" s="813" t="e" cm="1">
        <f t="array" aca="1" ref="AI35" ca="1">INDIRECT($B35&amp;"!M63")-AH35</f>
        <v>#REF!</v>
      </c>
      <c r="AJ35" s="813" t="e" cm="1">
        <f t="array" aca="1" ref="AJ35" ca="1">INDIRECT($B35&amp;"!M64")-SUM(AE35:AI35)</f>
        <v>#REF!</v>
      </c>
      <c r="AK35" s="813" t="e">
        <f>SUMIFS([1]新零售!D:D,[1]新零售!B:B,D35,[1]新零售!C:C,"Total Cost of Sales 总销售成本")</f>
        <v>#VALUE!</v>
      </c>
      <c r="AL35" s="813" t="e">
        <f>SUMIFS([1]康乐温泉!C:C,[1]康乐温泉!A:A,D35,[1]康乐温泉!B:B,"Total Cost of Sales 总销售成本")+SUMIFS([1]康乐温泉!C:C,[1]康乐温泉!A:A,D35,[1]康乐温泉!B:B,"Total Other Expenses 其他费用合计")</f>
        <v>#VALUE!</v>
      </c>
      <c r="AP35" s="813" t="e" cm="1">
        <f t="array" aca="1" ref="AP35" ca="1">INDIRECT($B35&amp;"!M91")+INDIRECT($B35&amp;"!M92")</f>
        <v>#REF!</v>
      </c>
      <c r="AQ35" s="813" t="e" cm="1">
        <f t="array" aca="1" ref="AQ35" ca="1">INDIRECT($B35&amp;"!M93")+INDIRECT($B35&amp;"!M94")+INDIRECT($B35&amp;"!M95")+INDIRECT($B35&amp;"!M96")</f>
        <v>#REF!</v>
      </c>
      <c r="AR35" s="813" t="e" cm="1">
        <f t="array" aca="1" ref="AR35" ca="1">INDIRECT($B35&amp;"!M98")+INDIRECT($B35&amp;"!M99")</f>
        <v>#REF!</v>
      </c>
      <c r="AT35" s="813" t="e" cm="1">
        <f t="array" aca="1" ref="AT35" ca="1">INDIRECT($B35&amp;"!M100")</f>
        <v>#REF!</v>
      </c>
      <c r="AU35" s="813" t="e" cm="1">
        <f t="array" aca="1" ref="AU35" ca="1">INDIRECT($B35&amp;"!M103")+INDIRECT($B35&amp;"!M104")</f>
        <v>#REF!</v>
      </c>
      <c r="AV35" s="813" t="e" cm="1">
        <f t="array" aca="1" ref="AV35" ca="1">INDIRECT($B35&amp;"!M36")</f>
        <v>#REF!</v>
      </c>
      <c r="AW35" s="813" t="e" cm="1">
        <f t="array" aca="1" ref="AW35" ca="1">INDIRECT($B35&amp;"!M105")-AV35</f>
        <v>#REF!</v>
      </c>
      <c r="AX35" s="813" t="e">
        <f>SUMIFS([1]能源!C:C,[1]能源!A:A,D35,[1]能源!B:B,"Electricity 电费")</f>
        <v>#VALUE!</v>
      </c>
      <c r="AY35" s="813" t="e">
        <f>SUMIFS([1]能源!C:C,[1]能源!A:A,D35,[1]能源!B:B,"Steam 蒸汽费")+SUMIFS([1]能源!C:C,[1]能源!A:A,D35,[1]能源!B:B,"Geothermal water 地热水")+SUMIFS([1]能源!C:C,[1]能源!A:A,D35,[1]能源!B:B,"Water 水费")</f>
        <v>#VALUE!</v>
      </c>
      <c r="AZ35" s="813" t="e">
        <f>SUMIFS([1]能源!C:C,[1]能源!A:A,D35,[1]能源!B:B,"Gas 煤气费")+SUMIFS([1]能源!C:C,[1]能源!A:A,D35,[1]能源!B:B,"Oil 燃油费")</f>
        <v>#VALUE!</v>
      </c>
      <c r="BA35" s="813" t="e">
        <f>SUMIFS([1]能源!C:C,[1]能源!A:A,D35,[1]能源!B:B,"Heating 暖气")</f>
        <v>#VALUE!</v>
      </c>
      <c r="BB35" s="813" t="e">
        <f t="shared" si="9"/>
        <v>#VALUE!</v>
      </c>
      <c r="BC35" s="815" t="e">
        <f t="shared" ca="1" si="10"/>
        <v>#VALUE!</v>
      </c>
      <c r="BD35" s="813" t="e" cm="1">
        <f t="array" aca="1" ref="BD35" ca="1">INDIRECT($B35&amp;"!M101")-SUM(AX35:BA35)</f>
        <v>#REF!</v>
      </c>
      <c r="BG35" s="813" t="e" cm="1">
        <f t="array" aca="1" ref="BG35" ca="1">INDIRECT($B35&amp;"!M119")</f>
        <v>#REF!</v>
      </c>
      <c r="BI35" s="813" t="e" cm="1">
        <f t="array" aca="1" ref="BI35" ca="1">INDIRECT($B35&amp;"!M116")</f>
        <v>#REF!</v>
      </c>
      <c r="BK35" s="813" t="e" cm="1">
        <f t="array" aca="1" ref="BK35" ca="1">INDIRECT($B35&amp;"!M123")</f>
        <v>#REF!</v>
      </c>
      <c r="BM35" s="813" t="e" cm="1">
        <f t="array" aca="1" ref="BM35" ca="1">INDIRECT($B35&amp;"!M117")</f>
        <v>#REF!</v>
      </c>
      <c r="BN35" s="813" t="e" cm="1">
        <f t="array" aca="1" ref="BN35" ca="1">INDIRECT($B35&amp;"!M118")+INDIRECT($B35&amp;"!M120")</f>
        <v>#REF!</v>
      </c>
      <c r="BP35" s="813" t="e" cm="1">
        <f t="array" aca="1" ref="BP35" ca="1">-INDIRECT($B35&amp;"!M114")+INDIRECT($B35&amp;"!M115")-BG35-BI35-BM35-BN35</f>
        <v>#REF!</v>
      </c>
    </row>
    <row r="36" spans="1:68">
      <c r="A36" s="759" t="s">
        <v>62</v>
      </c>
      <c r="B36" s="759" t="s">
        <v>206</v>
      </c>
      <c r="C36" s="759" t="s">
        <v>62</v>
      </c>
      <c r="D36" s="770" t="s">
        <v>207</v>
      </c>
      <c r="E36" s="831" t="e">
        <f t="shared" ca="1" si="8"/>
        <v>#REF!</v>
      </c>
      <c r="F36" s="814" t="e" cm="1">
        <f t="array" aca="1" ref="F36" ca="1">INDIRECT($B36&amp;"!M16")</f>
        <v>#REF!</v>
      </c>
      <c r="G36" s="814" t="e" cm="1">
        <f t="array" aca="1" ref="G36" ca="1">INDIRECT($B36&amp;"!M43")</f>
        <v>#REF!</v>
      </c>
      <c r="H36" s="814" t="e" cm="1">
        <f t="array" aca="1" ref="H36" ca="1">INDIRECT($B36&amp;"!M52")+INDIRECT($B36&amp;"!M53")</f>
        <v>#REF!</v>
      </c>
      <c r="I36" s="814" t="e" cm="1">
        <f t="array" aca="1" ref="I36" ca="1">INDIRECT($B36&amp;"!M55")</f>
        <v>#REF!</v>
      </c>
      <c r="J36" s="814" t="e" cm="1">
        <f t="array" aca="1" ref="J36" ca="1">INDIRECT($B36&amp;"!M54")</f>
        <v>#REF!</v>
      </c>
      <c r="K36" s="814" t="e" cm="1">
        <f t="array" aca="1" ref="K36" ca="1">INDIRECT($B36&amp;"!M75")</f>
        <v>#REF!</v>
      </c>
      <c r="L36" s="814" t="e" cm="1">
        <f t="array" aca="1" ref="L36" ca="1">INDIRECT($B36&amp;"!M69")+INDIRECT($B36&amp;"!M70")</f>
        <v>#REF!</v>
      </c>
      <c r="M36" s="814" t="e" cm="1">
        <f t="array" aca="1" ref="M36" ca="1">INDIRECT($B36&amp;"!M77")-INDIRECT($B36&amp;"!M75")-INDIRECT($B36&amp;"!M69")-INDIRECT($B36&amp;"!M70")</f>
        <v>#REF!</v>
      </c>
      <c r="N36" s="814" t="e" cm="1">
        <f t="array" aca="1" ref="N36" ca="1">INDIRECT($B36&amp;"!M115")</f>
        <v>#REF!</v>
      </c>
      <c r="O36" s="814" t="e">
        <f t="shared" ca="1" si="7"/>
        <v>#REF!</v>
      </c>
      <c r="P36" s="813" t="e" cm="1">
        <f t="array" aca="1" ref="P36" ca="1">INDIRECT($B36&amp;"!M31")</f>
        <v>#REF!</v>
      </c>
      <c r="Q36" s="815" t="e">
        <f t="shared" ca="1" si="1"/>
        <v>#REF!</v>
      </c>
      <c r="R36" s="813" t="e" cm="1">
        <f t="array" aca="1" ref="R36" ca="1">INDIRECT($B36&amp;"!M34")</f>
        <v>#REF!</v>
      </c>
      <c r="S36" s="815" t="e">
        <f t="shared" ca="1" si="2"/>
        <v>#REF!</v>
      </c>
      <c r="T36" s="813" t="e" cm="1">
        <f t="array" aca="1" ref="T36" ca="1">INDIRECT($B36&amp;"!M38")</f>
        <v>#REF!</v>
      </c>
      <c r="V36" s="815" t="e">
        <f t="shared" ca="1" si="3"/>
        <v>#REF!</v>
      </c>
      <c r="W36" s="813" t="e" cm="1">
        <f t="array" aca="1" ref="W36" ca="1">INDIRECT($B36&amp;"!M36")</f>
        <v>#REF!</v>
      </c>
      <c r="X36" s="815" t="e">
        <f t="shared" ca="1" si="5"/>
        <v>#REF!</v>
      </c>
      <c r="Y36" s="813" t="e">
        <f>SUMIFS([1]客房!D:D,[1]客房!B:B,D36,[1]客房!C:C,"Reservation Fees 预订成本")</f>
        <v>#VALUE!</v>
      </c>
      <c r="Z36" s="813" t="e">
        <f>SUMIFS([1]客房!D:D,[1]客房!B:B,D36,[1]客房!C:C,"  Total Cost of Sales 总销售成本")</f>
        <v>#VALUE!</v>
      </c>
      <c r="AA36" s="813" t="e" cm="1">
        <f t="array" aca="1" ref="AA36" ca="1">INDIRECT($B36&amp;"!M44")+INDIRECT($B36&amp;"!M45")</f>
        <v>#REF!</v>
      </c>
      <c r="AB36" s="813" t="e">
        <f>SUMIFS([1]客房!D:D,[1]客房!B:B,D36,[1]客房!C:C,"Laundry 洗涤费")</f>
        <v>#VALUE!</v>
      </c>
      <c r="AC36" s="813" t="e" cm="1">
        <f t="array" aca="1" ref="AC36" ca="1">INDIRECT($B36&amp;"!M46")-Y36-Z36-AB36</f>
        <v>#REF!</v>
      </c>
      <c r="AD36" s="813" t="e" cm="1">
        <f t="array" aca="1" ref="AD36" ca="1">INDIRECT($B36&amp;"!M47")-SUM(Y36:AC36)</f>
        <v>#REF!</v>
      </c>
      <c r="AF36" s="813" t="e" cm="1">
        <f t="array" aca="1" ref="AF36" ca="1">INDIRECT($B36&amp;"!M60")</f>
        <v>#REF!</v>
      </c>
      <c r="AG36" s="813" t="e" cm="1">
        <f t="array" aca="1" ref="AG36" ca="1">INDIRECT($B36&amp;"!M61")+INDIRECT($B36&amp;"!M62")</f>
        <v>#REF!</v>
      </c>
      <c r="AH36" s="813" t="e">
        <f>SUMIFS([1]餐饮!D:D,[1]餐饮!B:B,D36,[1]餐饮!C:C,"Laundry 洗涤费")</f>
        <v>#VALUE!</v>
      </c>
      <c r="AI36" s="813" t="e" cm="1">
        <f t="array" aca="1" ref="AI36" ca="1">INDIRECT($B36&amp;"!M63")-AH36</f>
        <v>#REF!</v>
      </c>
      <c r="AJ36" s="813" t="e" cm="1">
        <f t="array" aca="1" ref="AJ36" ca="1">INDIRECT($B36&amp;"!M64")-SUM(AE36:AI36)</f>
        <v>#REF!</v>
      </c>
      <c r="AK36" s="813" t="e">
        <f>SUMIFS([1]新零售!D:D,[1]新零售!B:B,D36,[1]新零售!C:C,"Total Cost of Sales 总销售成本")</f>
        <v>#VALUE!</v>
      </c>
      <c r="AL36" s="813" t="e">
        <f>SUMIFS([1]康乐温泉!C:C,[1]康乐温泉!A:A,D36,[1]康乐温泉!B:B,"Total Cost of Sales 总销售成本")+SUMIFS([1]康乐温泉!C:C,[1]康乐温泉!A:A,D36,[1]康乐温泉!B:B,"Total Other Expenses 其他费用合计")</f>
        <v>#VALUE!</v>
      </c>
      <c r="AP36" s="813" t="e" cm="1">
        <f t="array" aca="1" ref="AP36" ca="1">INDIRECT($B36&amp;"!M91")+INDIRECT($B36&amp;"!M92")</f>
        <v>#REF!</v>
      </c>
      <c r="AQ36" s="813" t="e" cm="1">
        <f t="array" aca="1" ref="AQ36" ca="1">INDIRECT($B36&amp;"!M93")+INDIRECT($B36&amp;"!M94")+INDIRECT($B36&amp;"!M95")+INDIRECT($B36&amp;"!M96")</f>
        <v>#REF!</v>
      </c>
      <c r="AR36" s="813" t="e" cm="1">
        <f t="array" aca="1" ref="AR36" ca="1">INDIRECT($B36&amp;"!M98")+INDIRECT($B36&amp;"!M99")</f>
        <v>#REF!</v>
      </c>
      <c r="AT36" s="813" t="e" cm="1">
        <f t="array" aca="1" ref="AT36" ca="1">INDIRECT($B36&amp;"!M100")</f>
        <v>#REF!</v>
      </c>
      <c r="AU36" s="813" t="e" cm="1">
        <f t="array" aca="1" ref="AU36" ca="1">INDIRECT($B36&amp;"!M103")+INDIRECT($B36&amp;"!M104")</f>
        <v>#REF!</v>
      </c>
      <c r="AV36" s="813" t="e" cm="1">
        <f t="array" aca="1" ref="AV36" ca="1">INDIRECT($B36&amp;"!M36")</f>
        <v>#REF!</v>
      </c>
      <c r="AW36" s="813" t="e" cm="1">
        <f t="array" aca="1" ref="AW36" ca="1">INDIRECT($B36&amp;"!M105")-AV36</f>
        <v>#REF!</v>
      </c>
      <c r="AX36" s="813" t="e">
        <f>SUMIFS([1]能源!C:C,[1]能源!A:A,D36,[1]能源!B:B,"Electricity 电费")</f>
        <v>#VALUE!</v>
      </c>
      <c r="AY36" s="813" t="e">
        <f>SUMIFS([1]能源!C:C,[1]能源!A:A,D36,[1]能源!B:B,"Steam 蒸汽费")+SUMIFS([1]能源!C:C,[1]能源!A:A,D36,[1]能源!B:B,"Geothermal water 地热水")+SUMIFS([1]能源!C:C,[1]能源!A:A,D36,[1]能源!B:B,"Water 水费")</f>
        <v>#VALUE!</v>
      </c>
      <c r="AZ36" s="813" t="e">
        <f>SUMIFS([1]能源!C:C,[1]能源!A:A,D36,[1]能源!B:B,"Gas 煤气费")+SUMIFS([1]能源!C:C,[1]能源!A:A,D36,[1]能源!B:B,"Oil 燃油费")</f>
        <v>#VALUE!</v>
      </c>
      <c r="BA36" s="813" t="e">
        <f>SUMIFS([1]能源!C:C,[1]能源!A:A,D36,[1]能源!B:B,"Heating 暖气")</f>
        <v>#VALUE!</v>
      </c>
      <c r="BB36" s="813" t="e">
        <f t="shared" si="9"/>
        <v>#VALUE!</v>
      </c>
      <c r="BC36" s="815" t="e">
        <f t="shared" ca="1" si="10"/>
        <v>#VALUE!</v>
      </c>
      <c r="BD36" s="813" t="e" cm="1">
        <f t="array" aca="1" ref="BD36" ca="1">INDIRECT($B36&amp;"!M101")-SUM(AX36:BA36)</f>
        <v>#REF!</v>
      </c>
      <c r="BG36" s="813" t="e" cm="1">
        <f t="array" aca="1" ref="BG36" ca="1">INDIRECT($B36&amp;"!M119")</f>
        <v>#REF!</v>
      </c>
      <c r="BI36" s="813" t="e" cm="1">
        <f t="array" aca="1" ref="BI36" ca="1">INDIRECT($B36&amp;"!M116")</f>
        <v>#REF!</v>
      </c>
      <c r="BK36" s="813" t="e" cm="1">
        <f t="array" aca="1" ref="BK36" ca="1">INDIRECT($B36&amp;"!M123")</f>
        <v>#REF!</v>
      </c>
      <c r="BM36" s="813" t="e" cm="1">
        <f t="array" aca="1" ref="BM36" ca="1">INDIRECT($B36&amp;"!M117")</f>
        <v>#REF!</v>
      </c>
      <c r="BN36" s="813" t="e" cm="1">
        <f t="array" aca="1" ref="BN36" ca="1">INDIRECT($B36&amp;"!M118")+INDIRECT($B36&amp;"!M120")</f>
        <v>#REF!</v>
      </c>
      <c r="BP36" s="813" t="e" cm="1">
        <f t="array" aca="1" ref="BP36" ca="1">-INDIRECT($B36&amp;"!M114")+INDIRECT($B36&amp;"!M115")-BG36-BI36-BM36-BN36</f>
        <v>#REF!</v>
      </c>
    </row>
    <row r="37" spans="1:68">
      <c r="A37" s="759" t="s">
        <v>64</v>
      </c>
      <c r="B37" s="833" t="s">
        <v>64</v>
      </c>
      <c r="C37" s="833" t="s">
        <v>64</v>
      </c>
      <c r="D37" s="834" t="s">
        <v>208</v>
      </c>
      <c r="E37" s="831" t="e">
        <f t="shared" ca="1" si="8"/>
        <v>#REF!</v>
      </c>
      <c r="F37" s="814" t="e" cm="1">
        <f t="array" aca="1" ref="F37" ca="1">INDIRECT($B37&amp;"!M16")</f>
        <v>#REF!</v>
      </c>
      <c r="G37" s="814" t="e" cm="1">
        <f t="array" aca="1" ref="G37" ca="1">INDIRECT($B37&amp;"!M43")</f>
        <v>#REF!</v>
      </c>
      <c r="H37" s="835"/>
      <c r="I37" s="835"/>
      <c r="J37" s="835" t="e" cm="1">
        <f t="array" aca="1" ref="J37" ca="1">INDIRECT($B37&amp;"!M54")</f>
        <v>#REF!</v>
      </c>
      <c r="K37" s="814" t="e" cm="1">
        <f t="array" aca="1" ref="K37" ca="1">INDIRECT($B37&amp;"!M75")</f>
        <v>#REF!</v>
      </c>
      <c r="L37" s="814" t="e" cm="1">
        <f t="array" aca="1" ref="L37" ca="1">INDIRECT($B37&amp;"!M69")+INDIRECT($B37&amp;"!M70")</f>
        <v>#REF!</v>
      </c>
      <c r="M37" s="814" t="e" cm="1">
        <f t="array" aca="1" ref="M37" ca="1">INDIRECT($B37&amp;"!M77")-INDIRECT($B37&amp;"!M75")-INDIRECT($B37&amp;"!M69")-INDIRECT($B37&amp;"!M70")</f>
        <v>#REF!</v>
      </c>
      <c r="N37" s="814" t="e" cm="1">
        <f t="array" aca="1" ref="N37" ca="1">INDIRECT($B37&amp;"!M115")</f>
        <v>#REF!</v>
      </c>
      <c r="O37" s="814" t="e">
        <f t="shared" ca="1" si="7"/>
        <v>#REF!</v>
      </c>
      <c r="P37" s="813" t="e" cm="1">
        <f t="array" aca="1" ref="P37" ca="1">INDIRECT($B37&amp;"!M31")</f>
        <v>#REF!</v>
      </c>
      <c r="Q37" s="815" t="e">
        <f t="shared" ca="1" si="1"/>
        <v>#REF!</v>
      </c>
      <c r="R37" s="813" t="e" cm="1">
        <f t="array" aca="1" ref="R37" ca="1">INDIRECT($B37&amp;"!M34")</f>
        <v>#REF!</v>
      </c>
      <c r="S37" s="815" t="e">
        <f t="shared" ca="1" si="2"/>
        <v>#REF!</v>
      </c>
      <c r="T37" s="812" t="e" cm="1">
        <f t="array" aca="1" ref="T37" ca="1">INDIRECT($B37&amp;"!M38")</f>
        <v>#REF!</v>
      </c>
      <c r="V37" s="815" t="e">
        <f t="shared" ca="1" si="3"/>
        <v>#REF!</v>
      </c>
      <c r="W37" s="813" t="e" cm="1">
        <f t="array" aca="1" ref="W37" ca="1">INDIRECT($B37&amp;"!M36")</f>
        <v>#REF!</v>
      </c>
      <c r="X37" s="815" t="e">
        <f t="shared" ca="1" si="5"/>
        <v>#REF!</v>
      </c>
      <c r="Y37" s="812" t="e">
        <f>SUMIFS([1]客房!D:D,[1]客房!B:B,D37,[1]客房!C:C,"Reservation Fees 预订成本")</f>
        <v>#VALUE!</v>
      </c>
      <c r="Z37" s="812" t="e">
        <f>SUMIFS([1]客房!D:D,[1]客房!B:B,D37,[1]客房!C:C,"  Total Cost of Sales 总销售成本")</f>
        <v>#VALUE!</v>
      </c>
      <c r="AA37" s="813" t="e" cm="1">
        <f t="array" aca="1" ref="AA37" ca="1">INDIRECT($B37&amp;"!M44")+INDIRECT($B37&amp;"!M45")</f>
        <v>#REF!</v>
      </c>
      <c r="AB37" s="812" t="e">
        <f>SUMIFS([1]客房!D:D,[1]客房!B:B,D37,[1]客房!C:C,"Laundry 洗涤费")</f>
        <v>#VALUE!</v>
      </c>
      <c r="AC37" s="813" t="e" cm="1">
        <f t="array" aca="1" ref="AC37" ca="1">INDIRECT($B37&amp;"!M46")-Y37-Z37-AB37</f>
        <v>#REF!</v>
      </c>
      <c r="AD37" s="813" t="e" cm="1">
        <f t="array" aca="1" ref="AD37" ca="1">INDIRECT($B37&amp;"!M47")-SUM(Y37:AC37)</f>
        <v>#REF!</v>
      </c>
      <c r="AF37" s="813" t="e" cm="1">
        <f t="array" aca="1" ref="AF37" ca="1">INDIRECT($B37&amp;"!M60")</f>
        <v>#REF!</v>
      </c>
      <c r="AG37" s="813" t="e" cm="1">
        <f t="array" aca="1" ref="AG37" ca="1">INDIRECT($B37&amp;"!M61")+INDIRECT($B37&amp;"!M62")</f>
        <v>#REF!</v>
      </c>
      <c r="AH37" s="812" t="e">
        <f>SUMIFS([1]餐饮!D:D,[1]餐饮!B:B,D37,[1]餐饮!C:C,"Laundry 洗涤费")</f>
        <v>#VALUE!</v>
      </c>
      <c r="AI37" s="813" t="e" cm="1">
        <f t="array" aca="1" ref="AI37" ca="1">INDIRECT($B37&amp;"!M63")-AH37</f>
        <v>#REF!</v>
      </c>
      <c r="AJ37" s="813" t="e" cm="1">
        <f t="array" aca="1" ref="AJ37" ca="1">INDIRECT($B37&amp;"!M64")-SUM(AE37:AI37)</f>
        <v>#REF!</v>
      </c>
      <c r="AK37" s="812" t="e">
        <f>SUMIFS([1]新零售!D:D,[1]新零售!B:B,D37,[1]新零售!C:C,"Total Cost of Sales 总销售成本")</f>
        <v>#VALUE!</v>
      </c>
      <c r="AL37" s="812" t="e">
        <f>SUMIFS([1]康乐温泉!C:C,[1]康乐温泉!A:A,D37,[1]康乐温泉!B:B,"Total Cost of Sales 总销售成本")+SUMIFS([1]康乐温泉!C:C,[1]康乐温泉!A:A,D37,[1]康乐温泉!B:B,"Total Other Expenses 其他费用合计")</f>
        <v>#VALUE!</v>
      </c>
      <c r="AP37" s="813" t="e" cm="1">
        <f t="array" aca="1" ref="AP37" ca="1">INDIRECT($B37&amp;"!M91")+INDIRECT($B37&amp;"!M92")</f>
        <v>#REF!</v>
      </c>
      <c r="AQ37" s="813" t="e" cm="1">
        <f t="array" aca="1" ref="AQ37" ca="1">INDIRECT($B37&amp;"!M93")+INDIRECT($B37&amp;"!M94")+INDIRECT($B37&amp;"!M95")+INDIRECT($B37&amp;"!M96")</f>
        <v>#REF!</v>
      </c>
      <c r="AR37" s="813" t="e" cm="1">
        <f t="array" aca="1" ref="AR37" ca="1">INDIRECT($B37&amp;"!M98")+INDIRECT($B37&amp;"!M99")</f>
        <v>#REF!</v>
      </c>
      <c r="AT37" s="813" t="e" cm="1">
        <f t="array" aca="1" ref="AT37" ca="1">INDIRECT($B37&amp;"!M100")</f>
        <v>#REF!</v>
      </c>
      <c r="AU37" s="813" t="e" cm="1">
        <f t="array" aca="1" ref="AU37" ca="1">INDIRECT($B37&amp;"!M103")+INDIRECT($B37&amp;"!M104")</f>
        <v>#REF!</v>
      </c>
      <c r="AV37" s="813" t="e" cm="1">
        <f t="array" aca="1" ref="AV37" ca="1">INDIRECT($B37&amp;"!M36")</f>
        <v>#REF!</v>
      </c>
      <c r="AW37" s="812" t="e" cm="1">
        <f t="array" aca="1" ref="AW37" ca="1">INDIRECT($B37&amp;"!M105")-AV37</f>
        <v>#REF!</v>
      </c>
      <c r="AX37" s="812" t="e">
        <f>SUMIFS([1]能源!C:C,[1]能源!A:A,D37,[1]能源!B:B,"Electricity 电费")</f>
        <v>#VALUE!</v>
      </c>
      <c r="AY37" s="812" t="e">
        <f>SUMIFS([1]能源!C:C,[1]能源!A:A,D37,[1]能源!B:B,"Steam 蒸汽费")+SUMIFS([1]能源!C:C,[1]能源!A:A,D37,[1]能源!B:B,"Geothermal water 地热水")+SUMIFS([1]能源!C:C,[1]能源!A:A,D37,[1]能源!B:B,"Water 水费")</f>
        <v>#VALUE!</v>
      </c>
      <c r="AZ37" s="812" t="e">
        <f>SUMIFS([1]能源!C:C,[1]能源!A:A,D37,[1]能源!B:B,"Gas 煤气费")+SUMIFS([1]能源!C:C,[1]能源!A:A,D37,[1]能源!B:B,"Oil 燃油费")</f>
        <v>#VALUE!</v>
      </c>
      <c r="BA37" s="812" t="e">
        <f>SUMIFS([1]能源!C:C,[1]能源!A:A,D37,[1]能源!B:B,"Heating 暖气")</f>
        <v>#VALUE!</v>
      </c>
      <c r="BB37" s="812" t="e">
        <f t="shared" si="9"/>
        <v>#VALUE!</v>
      </c>
      <c r="BC37" s="815" t="e">
        <f t="shared" ca="1" si="10"/>
        <v>#VALUE!</v>
      </c>
      <c r="BD37" s="813" t="e" cm="1">
        <f t="array" aca="1" ref="BD37" ca="1">INDIRECT($B37&amp;"!M101")-SUM(AX37:BA37)</f>
        <v>#REF!</v>
      </c>
      <c r="BG37" s="813" t="e" cm="1">
        <f t="array" aca="1" ref="BG37" ca="1">INDIRECT($B37&amp;"!M119")</f>
        <v>#REF!</v>
      </c>
      <c r="BI37" s="813" t="e" cm="1">
        <f t="array" aca="1" ref="BI37" ca="1">INDIRECT($B37&amp;"!M116")</f>
        <v>#REF!</v>
      </c>
      <c r="BK37" s="813" t="e" cm="1">
        <f t="array" aca="1" ref="BK37" ca="1">INDIRECT($B37&amp;"!M123")</f>
        <v>#REF!</v>
      </c>
      <c r="BM37" s="813" t="e" cm="1">
        <f t="array" aca="1" ref="BM37" ca="1">INDIRECT($B37&amp;"!M117")</f>
        <v>#REF!</v>
      </c>
      <c r="BN37" s="813" t="e" cm="1">
        <f t="array" aca="1" ref="BN37" ca="1">INDIRECT($B37&amp;"!M118")+INDIRECT($B37&amp;"!M120")</f>
        <v>#REF!</v>
      </c>
      <c r="BP37" s="813" t="e" cm="1">
        <f t="array" aca="1" ref="BP37" ca="1">-INDIRECT($B37&amp;"!M114")+INDIRECT($B37&amp;"!M115")-BG37-BI37-BM37-BN37</f>
        <v>#REF!</v>
      </c>
    </row>
    <row r="38" spans="1:68">
      <c r="A38" s="759" t="s">
        <v>65</v>
      </c>
      <c r="B38" s="833" t="s">
        <v>65</v>
      </c>
      <c r="C38" s="833" t="s">
        <v>65</v>
      </c>
      <c r="D38" s="834" t="s">
        <v>209</v>
      </c>
      <c r="E38" s="831" t="e">
        <f t="shared" ca="1" si="8"/>
        <v>#REF!</v>
      </c>
      <c r="F38" s="814" t="e" cm="1">
        <f t="array" aca="1" ref="F38" ca="1">INDIRECT($B38&amp;"!M16")</f>
        <v>#REF!</v>
      </c>
      <c r="G38" s="814" t="e" cm="1">
        <f t="array" aca="1" ref="G38" ca="1">INDIRECT($B38&amp;"!M43")</f>
        <v>#REF!</v>
      </c>
      <c r="H38" s="835"/>
      <c r="I38" s="835"/>
      <c r="J38" s="835" t="e" cm="1">
        <f t="array" aca="1" ref="J38" ca="1">INDIRECT($B38&amp;"!M54")</f>
        <v>#REF!</v>
      </c>
      <c r="K38" s="814" t="e" cm="1">
        <f t="array" aca="1" ref="K38" ca="1">INDIRECT($B38&amp;"!M75")</f>
        <v>#REF!</v>
      </c>
      <c r="L38" s="814" t="e" cm="1">
        <f t="array" aca="1" ref="L38" ca="1">INDIRECT($B38&amp;"!M69")+INDIRECT($B38&amp;"!M70")</f>
        <v>#REF!</v>
      </c>
      <c r="M38" s="814" t="e" cm="1">
        <f t="array" aca="1" ref="M38" ca="1">INDIRECT($B38&amp;"!M77")-INDIRECT($B38&amp;"!M75")-INDIRECT($B38&amp;"!M69")-INDIRECT($B38&amp;"!M70")</f>
        <v>#REF!</v>
      </c>
      <c r="N38" s="814" t="e" cm="1">
        <f t="array" aca="1" ref="N38" ca="1">INDIRECT($B38&amp;"!M115")</f>
        <v>#REF!</v>
      </c>
      <c r="O38" s="814" t="e">
        <f t="shared" ca="1" si="7"/>
        <v>#REF!</v>
      </c>
      <c r="P38" s="813" t="e" cm="1">
        <f t="array" aca="1" ref="P38" ca="1">INDIRECT($B38&amp;"!M31")</f>
        <v>#REF!</v>
      </c>
      <c r="Q38" s="815" t="e">
        <f t="shared" ca="1" si="1"/>
        <v>#REF!</v>
      </c>
      <c r="R38" s="813" t="e" cm="1">
        <f t="array" aca="1" ref="R38" ca="1">INDIRECT($B38&amp;"!M34")</f>
        <v>#REF!</v>
      </c>
      <c r="S38" s="815" t="e">
        <f t="shared" ca="1" si="2"/>
        <v>#REF!</v>
      </c>
      <c r="T38" s="812" t="e" cm="1">
        <f t="array" aca="1" ref="T38" ca="1">INDIRECT($B38&amp;"!M38")</f>
        <v>#REF!</v>
      </c>
      <c r="V38" s="815" t="e">
        <f t="shared" ca="1" si="3"/>
        <v>#REF!</v>
      </c>
      <c r="W38" s="813" t="e" cm="1">
        <f t="array" aca="1" ref="W38" ca="1">INDIRECT($B38&amp;"!M36")</f>
        <v>#REF!</v>
      </c>
      <c r="X38" s="815" t="e">
        <f t="shared" ca="1" si="5"/>
        <v>#REF!</v>
      </c>
      <c r="Y38" s="812" t="e">
        <f>SUMIFS([1]客房!D:D,[1]客房!B:B,D38,[1]客房!C:C,"Reservation Fees 预订成本")</f>
        <v>#VALUE!</v>
      </c>
      <c r="Z38" s="812" t="e">
        <f>SUMIFS([1]客房!D:D,[1]客房!B:B,D38,[1]客房!C:C,"  Total Cost of Sales 总销售成本")</f>
        <v>#VALUE!</v>
      </c>
      <c r="AA38" s="813" t="e" cm="1">
        <f t="array" aca="1" ref="AA38" ca="1">INDIRECT($B38&amp;"!M44")+INDIRECT($B38&amp;"!M45")</f>
        <v>#REF!</v>
      </c>
      <c r="AB38" s="812" t="e">
        <f>SUMIFS([1]客房!D:D,[1]客房!B:B,D38,[1]客房!C:C,"Laundry 洗涤费")</f>
        <v>#VALUE!</v>
      </c>
      <c r="AC38" s="813" t="e" cm="1">
        <f t="array" aca="1" ref="AC38" ca="1">INDIRECT($B38&amp;"!M46")-Y38-Z38-AB38</f>
        <v>#REF!</v>
      </c>
      <c r="AD38" s="813" t="e" cm="1">
        <f t="array" aca="1" ref="AD38" ca="1">INDIRECT($B38&amp;"!M47")-SUM(Y38:AC38)</f>
        <v>#REF!</v>
      </c>
      <c r="AF38" s="813" t="e" cm="1">
        <f t="array" aca="1" ref="AF38" ca="1">INDIRECT($B38&amp;"!M60")</f>
        <v>#REF!</v>
      </c>
      <c r="AG38" s="813" t="e" cm="1">
        <f t="array" aca="1" ref="AG38" ca="1">INDIRECT($B38&amp;"!M61")+INDIRECT($B38&amp;"!M62")</f>
        <v>#REF!</v>
      </c>
      <c r="AH38" s="812" t="e">
        <f>SUMIFS([1]餐饮!D:D,[1]餐饮!B:B,D38,[1]餐饮!C:C,"Laundry 洗涤费")</f>
        <v>#VALUE!</v>
      </c>
      <c r="AI38" s="813" t="e" cm="1">
        <f t="array" aca="1" ref="AI38" ca="1">INDIRECT($B38&amp;"!M63")-AH38</f>
        <v>#REF!</v>
      </c>
      <c r="AJ38" s="813" t="e" cm="1">
        <f t="array" aca="1" ref="AJ38" ca="1">INDIRECT($B38&amp;"!M64")-SUM(AE38:AI38)</f>
        <v>#REF!</v>
      </c>
      <c r="AK38" s="812" t="e">
        <f>SUMIFS([1]新零售!D:D,[1]新零售!B:B,D38,[1]新零售!C:C,"Total Cost of Sales 总销售成本")</f>
        <v>#VALUE!</v>
      </c>
      <c r="AL38" s="812" t="e">
        <f>SUMIFS([1]康乐温泉!C:C,[1]康乐温泉!A:A,D38,[1]康乐温泉!B:B,"Total Cost of Sales 总销售成本")+SUMIFS([1]康乐温泉!C:C,[1]康乐温泉!A:A,D38,[1]康乐温泉!B:B,"Total Other Expenses 其他费用合计")</f>
        <v>#VALUE!</v>
      </c>
      <c r="AP38" s="813" t="e" cm="1">
        <f t="array" aca="1" ref="AP38" ca="1">INDIRECT($B38&amp;"!M91")+INDIRECT($B38&amp;"!M92")</f>
        <v>#REF!</v>
      </c>
      <c r="AQ38" s="813" t="e" cm="1">
        <f t="array" aca="1" ref="AQ38" ca="1">INDIRECT($B38&amp;"!M93")+INDIRECT($B38&amp;"!M94")+INDIRECT($B38&amp;"!M95")+INDIRECT($B38&amp;"!M96")</f>
        <v>#REF!</v>
      </c>
      <c r="AR38" s="813" t="e" cm="1">
        <f t="array" aca="1" ref="AR38" ca="1">INDIRECT($B38&amp;"!M98")+INDIRECT($B38&amp;"!M99")</f>
        <v>#REF!</v>
      </c>
      <c r="AT38" s="813" t="e" cm="1">
        <f t="array" aca="1" ref="AT38" ca="1">INDIRECT($B38&amp;"!M100")</f>
        <v>#REF!</v>
      </c>
      <c r="AU38" s="813" t="e" cm="1">
        <f t="array" aca="1" ref="AU38" ca="1">INDIRECT($B38&amp;"!M103")+INDIRECT($B38&amp;"!M104")</f>
        <v>#REF!</v>
      </c>
      <c r="AV38" s="813" t="e" cm="1">
        <f t="array" aca="1" ref="AV38" ca="1">INDIRECT($B38&amp;"!M36")</f>
        <v>#REF!</v>
      </c>
      <c r="AW38" s="812" t="e" cm="1">
        <f t="array" aca="1" ref="AW38" ca="1">INDIRECT($B38&amp;"!M105")-AV38</f>
        <v>#REF!</v>
      </c>
      <c r="AX38" s="812" t="e">
        <f>SUMIFS([1]能源!C:C,[1]能源!A:A,D38,[1]能源!B:B,"Electricity 电费")</f>
        <v>#VALUE!</v>
      </c>
      <c r="AY38" s="812" t="e">
        <f>SUMIFS([1]能源!C:C,[1]能源!A:A,D38,[1]能源!B:B,"Steam 蒸汽费")+SUMIFS([1]能源!C:C,[1]能源!A:A,D38,[1]能源!B:B,"Geothermal water 地热水")+SUMIFS([1]能源!C:C,[1]能源!A:A,D38,[1]能源!B:B,"Water 水费")</f>
        <v>#VALUE!</v>
      </c>
      <c r="AZ38" s="812" t="e">
        <f>SUMIFS([1]能源!C:C,[1]能源!A:A,D38,[1]能源!B:B,"Gas 煤气费")+SUMIFS([1]能源!C:C,[1]能源!A:A,D38,[1]能源!B:B,"Oil 燃油费")</f>
        <v>#VALUE!</v>
      </c>
      <c r="BA38" s="812" t="e">
        <f>SUMIFS([1]能源!C:C,[1]能源!A:A,D38,[1]能源!B:B,"Heating 暖气")</f>
        <v>#VALUE!</v>
      </c>
      <c r="BB38" s="812" t="e">
        <f t="shared" si="9"/>
        <v>#VALUE!</v>
      </c>
      <c r="BC38" s="815" t="e">
        <f t="shared" ca="1" si="10"/>
        <v>#VALUE!</v>
      </c>
      <c r="BD38" s="813" t="e" cm="1">
        <f t="array" aca="1" ref="BD38" ca="1">INDIRECT($B38&amp;"!M101")-SUM(AX38:BA38)</f>
        <v>#REF!</v>
      </c>
      <c r="BG38" s="813" t="e" cm="1">
        <f t="array" aca="1" ref="BG38" ca="1">INDIRECT($B38&amp;"!M119")</f>
        <v>#REF!</v>
      </c>
      <c r="BI38" s="813" t="e" cm="1">
        <f t="array" aca="1" ref="BI38" ca="1">INDIRECT($B38&amp;"!M116")</f>
        <v>#REF!</v>
      </c>
      <c r="BK38" s="813" t="e" cm="1">
        <f t="array" aca="1" ref="BK38" ca="1">INDIRECT($B38&amp;"!M123")</f>
        <v>#REF!</v>
      </c>
      <c r="BM38" s="813" t="e" cm="1">
        <f t="array" aca="1" ref="BM38" ca="1">INDIRECT($B38&amp;"!M117")</f>
        <v>#REF!</v>
      </c>
      <c r="BN38" s="813" t="e" cm="1">
        <f t="array" aca="1" ref="BN38" ca="1">INDIRECT($B38&amp;"!M118")+INDIRECT($B38&amp;"!M120")</f>
        <v>#REF!</v>
      </c>
      <c r="BP38" s="813" t="e" cm="1">
        <f t="array" aca="1" ref="BP38" ca="1">-INDIRECT($B38&amp;"!M114")+INDIRECT($B38&amp;"!M115")-BG38-BI38-BM38-BN38</f>
        <v>#REF!</v>
      </c>
    </row>
  </sheetData>
  <mergeCells count="8">
    <mergeCell ref="BE2:BF2"/>
    <mergeCell ref="B1:B2"/>
    <mergeCell ref="B3:B4"/>
    <mergeCell ref="C3:C4"/>
    <mergeCell ref="D3:D4"/>
    <mergeCell ref="N2:N3"/>
    <mergeCell ref="O2:O3"/>
    <mergeCell ref="AO2:AO3"/>
  </mergeCells>
  <phoneticPr fontId="54" type="noConversion"/>
  <conditionalFormatting sqref="Q4:Q38 F5:F38 B5:D38">
    <cfRule type="duplicateValues" dxfId="56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124"/>
  <sheetViews>
    <sheetView topLeftCell="B1" zoomScale="90" zoomScaleNormal="90" workbookViewId="0">
      <pane ySplit="4" topLeftCell="A5" activePane="bottomLeft" state="frozen"/>
      <selection activeCell="H21" sqref="H21"/>
      <selection pane="bottomLeft" activeCell="E27" sqref="E27"/>
    </sheetView>
  </sheetViews>
  <sheetFormatPr defaultColWidth="9.140625" defaultRowHeight="16.399999999999999" customHeight="1"/>
  <cols>
    <col min="1" max="1" width="12.35546875" style="780" hidden="1" customWidth="1"/>
    <col min="2" max="2" width="13.640625" style="780" customWidth="1"/>
    <col min="3" max="4" width="16.35546875" style="803" customWidth="1"/>
    <col min="5" max="5" width="9.35546875" style="782" customWidth="1"/>
    <col min="6" max="6" width="15.140625" style="803" customWidth="1"/>
    <col min="7" max="7" width="9.35546875" style="782" customWidth="1"/>
    <col min="8" max="8" width="15.140625" style="803" customWidth="1"/>
    <col min="9" max="9" width="17.35546875" style="803" customWidth="1"/>
    <col min="10" max="10" width="11.640625" style="782" customWidth="1"/>
    <col min="11" max="11" width="14.85546875" style="803" customWidth="1"/>
    <col min="12" max="12" width="9.35546875" style="782" customWidth="1"/>
    <col min="13" max="13" width="16.35546875" style="803" customWidth="1"/>
    <col min="14" max="14" width="16.2109375" style="803" customWidth="1"/>
    <col min="15" max="15" width="9.35546875" style="782" customWidth="1"/>
    <col min="16" max="16" width="16" style="803" customWidth="1"/>
    <col min="17" max="17" width="9.35546875" style="782" customWidth="1"/>
    <col min="18" max="18" width="9.35546875" style="803" customWidth="1"/>
    <col min="19" max="20" width="9.35546875" style="782" customWidth="1"/>
    <col min="21" max="21" width="11.35546875" style="803" customWidth="1"/>
    <col min="22" max="23" width="9.35546875" style="803" customWidth="1"/>
    <col min="24" max="25" width="9.35546875" style="782" customWidth="1"/>
    <col min="26" max="26" width="9.35546875" style="803" customWidth="1"/>
    <col min="27" max="28" width="9.35546875" style="782" customWidth="1"/>
    <col min="29" max="29" width="9.35546875" style="803" customWidth="1"/>
    <col min="30" max="30" width="9.35546875" style="782" customWidth="1"/>
    <col min="31" max="31" width="14.35546875" style="782" customWidth="1"/>
    <col min="32" max="32" width="9.140625" style="780" customWidth="1"/>
    <col min="33" max="33" width="15.2109375" style="783" customWidth="1"/>
    <col min="34" max="34" width="15.85546875" style="783" customWidth="1"/>
    <col min="35" max="35" width="12.85546875" style="783" customWidth="1"/>
    <col min="36" max="36" width="15.35546875" style="783" customWidth="1"/>
    <col min="37" max="37" width="15.140625" style="783" customWidth="1"/>
    <col min="38" max="38" width="15.2109375" style="783" customWidth="1"/>
    <col min="39" max="39" width="12.85546875" style="783" customWidth="1"/>
    <col min="40" max="40" width="13.140625" style="783" customWidth="1"/>
    <col min="41" max="41" width="14.2109375" style="783" customWidth="1"/>
    <col min="42" max="42" width="14" style="783" customWidth="1"/>
    <col min="43" max="43" width="12.140625" style="783" customWidth="1"/>
    <col min="44" max="44" width="14" style="783" customWidth="1"/>
    <col min="45" max="46" width="11.640625" style="780" customWidth="1"/>
    <col min="47" max="47" width="11.35546875" style="780" customWidth="1"/>
    <col min="48" max="48" width="4.35546875" style="780" customWidth="1"/>
    <col min="49" max="49" width="14.85546875" style="780" customWidth="1"/>
    <col min="50" max="50" width="14.140625" style="780" customWidth="1"/>
    <col min="51" max="51" width="3.640625" style="780" customWidth="1"/>
    <col min="52" max="52" width="14.35546875" style="780" customWidth="1"/>
    <col min="53" max="53" width="15.2109375" style="780" customWidth="1"/>
    <col min="54" max="54" width="15" style="780" customWidth="1"/>
    <col min="55" max="55" width="15.35546875" style="780" customWidth="1"/>
    <col min="56" max="56" width="4" style="780" customWidth="1"/>
    <col min="57" max="60" width="11.85546875" style="780" customWidth="1"/>
    <col min="61" max="61" width="3.640625" style="780" customWidth="1"/>
    <col min="62" max="62" width="14.140625" style="780" customWidth="1"/>
    <col min="63" max="63" width="15" style="780" customWidth="1"/>
    <col min="64" max="64" width="16.7109375" style="803" customWidth="1"/>
    <col min="65" max="65" width="17.640625" style="803" customWidth="1"/>
    <col min="66" max="66" width="15.85546875" style="803" customWidth="1"/>
    <col min="67" max="67" width="20.140625" style="803" customWidth="1"/>
    <col min="68" max="68" width="15.85546875" style="803" customWidth="1"/>
    <col min="69" max="69" width="18.640625" style="803" customWidth="1"/>
    <col min="70" max="71" width="16.35546875" style="803" customWidth="1"/>
    <col min="72" max="72" width="14" style="780" customWidth="1"/>
    <col min="73" max="73" width="14.2109375" style="780" customWidth="1"/>
    <col min="74" max="74" width="9.140625" style="780" customWidth="1"/>
    <col min="75" max="75" width="12.640625" style="780" customWidth="1"/>
    <col min="76" max="76" width="14.85546875" style="780" customWidth="1"/>
    <col min="77" max="77" width="13.140625" style="780" customWidth="1"/>
    <col min="78" max="79" width="15.85546875" style="780" customWidth="1"/>
    <col min="80" max="80" width="9.140625" style="780"/>
    <col min="81" max="82" width="13.35546875" style="780" customWidth="1"/>
    <col min="83" max="16384" width="9.140625" style="780"/>
  </cols>
  <sheetData>
    <row r="1" spans="1:82" ht="16.399999999999999" customHeight="1">
      <c r="B1" s="881" t="s">
        <v>1</v>
      </c>
      <c r="C1" s="879" t="s">
        <v>2</v>
      </c>
      <c r="D1" s="880"/>
      <c r="E1" s="880"/>
      <c r="F1" s="880"/>
      <c r="G1" s="880"/>
      <c r="H1" s="889" t="s">
        <v>210</v>
      </c>
      <c r="I1" s="878"/>
      <c r="J1" s="878"/>
      <c r="K1" s="878"/>
      <c r="L1" s="878"/>
      <c r="M1" s="879" t="s">
        <v>4</v>
      </c>
      <c r="N1" s="880"/>
      <c r="O1" s="880"/>
      <c r="P1" s="880"/>
      <c r="Q1" s="880"/>
      <c r="R1" s="889" t="s">
        <v>5</v>
      </c>
      <c r="S1" s="889"/>
      <c r="T1" s="890" t="s">
        <v>6</v>
      </c>
      <c r="U1" s="890"/>
      <c r="V1" s="890"/>
      <c r="W1" s="890"/>
      <c r="X1" s="890"/>
      <c r="Y1" s="877" t="s">
        <v>7</v>
      </c>
      <c r="Z1" s="878"/>
      <c r="AA1" s="878"/>
      <c r="AB1" s="879" t="s">
        <v>8</v>
      </c>
      <c r="AC1" s="880"/>
      <c r="AD1" s="880"/>
      <c r="AE1" s="880"/>
      <c r="AG1" s="783" t="s">
        <v>211</v>
      </c>
      <c r="AH1" s="783" t="s">
        <v>6</v>
      </c>
      <c r="AK1" s="783" t="s">
        <v>7</v>
      </c>
      <c r="AO1" s="783" t="s">
        <v>8</v>
      </c>
      <c r="AU1" s="804">
        <v>30</v>
      </c>
      <c r="AZ1" s="759" t="s">
        <v>212</v>
      </c>
      <c r="BA1" s="759" t="s">
        <v>212</v>
      </c>
      <c r="BB1" s="759" t="s">
        <v>213</v>
      </c>
      <c r="BC1" s="759" t="s">
        <v>213</v>
      </c>
      <c r="BE1" s="759" t="s">
        <v>214</v>
      </c>
      <c r="BF1" s="759" t="s">
        <v>215</v>
      </c>
      <c r="BG1" s="759" t="s">
        <v>216</v>
      </c>
      <c r="BH1" s="759" t="s">
        <v>217</v>
      </c>
      <c r="BJ1" s="759" t="s">
        <v>214</v>
      </c>
      <c r="BK1" s="759" t="s">
        <v>216</v>
      </c>
      <c r="BL1" s="766" t="s">
        <v>218</v>
      </c>
      <c r="BM1" s="766" t="s">
        <v>219</v>
      </c>
      <c r="BN1" s="766" t="s">
        <v>220</v>
      </c>
      <c r="BO1" s="766" t="s">
        <v>221</v>
      </c>
      <c r="BP1" s="766" t="s">
        <v>222</v>
      </c>
      <c r="BQ1" s="766" t="s">
        <v>223</v>
      </c>
      <c r="BR1" s="780" t="s">
        <v>224</v>
      </c>
      <c r="BS1" s="780" t="s">
        <v>224</v>
      </c>
      <c r="BT1" s="780" t="s">
        <v>225</v>
      </c>
      <c r="BU1" s="780" t="s">
        <v>225</v>
      </c>
      <c r="BW1" s="759" t="s">
        <v>214</v>
      </c>
      <c r="BX1" s="766" t="s">
        <v>219</v>
      </c>
      <c r="BY1" s="876" t="s">
        <v>476</v>
      </c>
      <c r="BZ1" s="759" t="s">
        <v>214</v>
      </c>
      <c r="CA1" s="766" t="s">
        <v>219</v>
      </c>
      <c r="CC1" s="759" t="s">
        <v>214</v>
      </c>
      <c r="CD1" s="766" t="s">
        <v>219</v>
      </c>
    </row>
    <row r="2" spans="1:82" ht="16.399999999999999" customHeight="1">
      <c r="B2" s="882"/>
      <c r="C2" s="805" t="s">
        <v>9</v>
      </c>
      <c r="D2" s="805" t="s">
        <v>10</v>
      </c>
      <c r="E2" s="785" t="s">
        <v>11</v>
      </c>
      <c r="F2" s="805" t="s">
        <v>12</v>
      </c>
      <c r="G2" s="785" t="s">
        <v>13</v>
      </c>
      <c r="H2" s="806" t="s">
        <v>9</v>
      </c>
      <c r="I2" s="806" t="s">
        <v>10</v>
      </c>
      <c r="J2" s="787" t="s">
        <v>11</v>
      </c>
      <c r="K2" s="806" t="s">
        <v>12</v>
      </c>
      <c r="L2" s="787" t="s">
        <v>13</v>
      </c>
      <c r="M2" s="805" t="s">
        <v>9</v>
      </c>
      <c r="N2" s="805" t="s">
        <v>10</v>
      </c>
      <c r="O2" s="785" t="s">
        <v>11</v>
      </c>
      <c r="P2" s="805" t="s">
        <v>12</v>
      </c>
      <c r="Q2" s="785" t="s">
        <v>13</v>
      </c>
      <c r="R2" s="806" t="s">
        <v>226</v>
      </c>
      <c r="S2" s="788" t="s">
        <v>15</v>
      </c>
      <c r="T2" s="789" t="s">
        <v>16</v>
      </c>
      <c r="U2" s="805" t="s">
        <v>227</v>
      </c>
      <c r="V2" s="805" t="s">
        <v>228</v>
      </c>
      <c r="W2" s="805" t="s">
        <v>226</v>
      </c>
      <c r="X2" s="789" t="s">
        <v>19</v>
      </c>
      <c r="Y2" s="788" t="s">
        <v>20</v>
      </c>
      <c r="Z2" s="806" t="s">
        <v>226</v>
      </c>
      <c r="AA2" s="788" t="s">
        <v>21</v>
      </c>
      <c r="AB2" s="789" t="s">
        <v>22</v>
      </c>
      <c r="AC2" s="805" t="s">
        <v>226</v>
      </c>
      <c r="AD2" s="789" t="s">
        <v>23</v>
      </c>
      <c r="AE2" s="789" t="s">
        <v>24</v>
      </c>
      <c r="AG2" s="783" t="s">
        <v>229</v>
      </c>
      <c r="AH2" s="783" t="s">
        <v>2</v>
      </c>
      <c r="AI2" s="783" t="s">
        <v>229</v>
      </c>
      <c r="AJ2" s="783" t="s">
        <v>230</v>
      </c>
      <c r="AK2" s="783" t="s">
        <v>2</v>
      </c>
      <c r="AL2" s="783" t="s">
        <v>231</v>
      </c>
      <c r="AM2" s="783" t="s">
        <v>229</v>
      </c>
      <c r="AN2" s="783" t="s">
        <v>230</v>
      </c>
      <c r="AO2" s="783" t="s">
        <v>78</v>
      </c>
      <c r="AP2" s="783" t="s">
        <v>229</v>
      </c>
      <c r="AQ2" s="783" t="s">
        <v>232</v>
      </c>
      <c r="AR2" s="783" t="s">
        <v>233</v>
      </c>
      <c r="AS2" s="780" t="s">
        <v>234</v>
      </c>
      <c r="AT2" s="780" t="s">
        <v>235</v>
      </c>
      <c r="AU2" s="780" t="s">
        <v>236</v>
      </c>
      <c r="AW2" s="780" t="s">
        <v>237</v>
      </c>
      <c r="AX2" s="780" t="s">
        <v>238</v>
      </c>
      <c r="AZ2" s="759" t="s">
        <v>239</v>
      </c>
      <c r="BA2" s="759" t="s">
        <v>240</v>
      </c>
      <c r="BB2" s="759" t="s">
        <v>239</v>
      </c>
      <c r="BC2" s="759" t="s">
        <v>240</v>
      </c>
      <c r="BE2" s="759" t="s">
        <v>83</v>
      </c>
      <c r="BF2" s="759" t="s">
        <v>83</v>
      </c>
      <c r="BG2" s="759" t="s">
        <v>83</v>
      </c>
      <c r="BH2" s="759" t="s">
        <v>83</v>
      </c>
      <c r="BJ2" s="759" t="s">
        <v>241</v>
      </c>
      <c r="BK2" s="759" t="s">
        <v>241</v>
      </c>
      <c r="BL2" s="766" t="s">
        <v>242</v>
      </c>
      <c r="BM2" s="766" t="s">
        <v>242</v>
      </c>
      <c r="BN2" s="766" t="s">
        <v>242</v>
      </c>
      <c r="BO2" s="766" t="s">
        <v>242</v>
      </c>
      <c r="BP2" s="766" t="s">
        <v>242</v>
      </c>
      <c r="BQ2" s="766" t="s">
        <v>242</v>
      </c>
      <c r="BR2" s="780" t="s">
        <v>212</v>
      </c>
      <c r="BS2" s="759" t="s">
        <v>213</v>
      </c>
      <c r="BT2" s="780" t="s">
        <v>212</v>
      </c>
      <c r="BU2" s="759" t="s">
        <v>213</v>
      </c>
      <c r="BW2" s="759" t="s">
        <v>90</v>
      </c>
      <c r="BX2" s="759" t="s">
        <v>90</v>
      </c>
      <c r="BY2" s="759" t="s">
        <v>90</v>
      </c>
      <c r="BZ2" s="759" t="s">
        <v>243</v>
      </c>
      <c r="CA2" s="759" t="s">
        <v>243</v>
      </c>
      <c r="CC2" s="759" t="s">
        <v>244</v>
      </c>
      <c r="CD2" s="759" t="s">
        <v>244</v>
      </c>
    </row>
    <row r="3" spans="1:82" s="778" customFormat="1" ht="16.399999999999999" customHeight="1">
      <c r="A3" s="790" t="s">
        <v>25</v>
      </c>
      <c r="B3" s="791" t="s">
        <v>478</v>
      </c>
      <c r="C3" s="807">
        <f ca="1">SUM(C5:C7)</f>
        <v>4097415.6100000003</v>
      </c>
      <c r="D3" s="807">
        <f ca="1">SUM(D5:D7)</f>
        <v>4483405.87</v>
      </c>
      <c r="E3" s="793">
        <f ca="1">C3/D3</f>
        <v>0.91390691113138067</v>
      </c>
      <c r="F3" s="807">
        <f ca="1">SUM(F5:F7)</f>
        <v>5001951.29</v>
      </c>
      <c r="G3" s="793">
        <f ca="1">C3/F3-1</f>
        <v>-0.18083656308456364</v>
      </c>
      <c r="H3" s="807">
        <f ca="1">SUM(H5:H7)</f>
        <v>-646980.90999999992</v>
      </c>
      <c r="I3" s="807">
        <f ca="1">SUM(I5:I7)</f>
        <v>-468430.93000000011</v>
      </c>
      <c r="J3" s="793">
        <f ca="1">H3/I3</f>
        <v>1.3811660771418313</v>
      </c>
      <c r="K3" s="807">
        <f ca="1">SUM(K5:K7)</f>
        <v>-712127.33</v>
      </c>
      <c r="L3" s="793">
        <f ca="1">IF(K3&gt;0,H3/K3-1,IF(K3&lt;0,1-H3/K3,""))</f>
        <v>9.1481420885784592E-2</v>
      </c>
      <c r="M3" s="807">
        <f ca="1">SUM(M5:M7)</f>
        <v>-1023395.44</v>
      </c>
      <c r="N3" s="807">
        <f ca="1">SUM(N5:N7)</f>
        <v>-853700.55</v>
      </c>
      <c r="O3" s="793">
        <f ca="1">IF(N3&lt;0,2-M3/N3,M3/N3)</f>
        <v>0.80122434031464551</v>
      </c>
      <c r="P3" s="807">
        <f ca="1">SUM(P5:P7)</f>
        <v>-1166285.47</v>
      </c>
      <c r="Q3" s="793">
        <f ca="1">IF(P3&gt;0,M3/P3-1,IF(P3&lt;0,1-M3/P3,""))</f>
        <v>0.12251719984130471</v>
      </c>
      <c r="R3" s="807">
        <f ca="1">C3/AG3</f>
        <v>2.1563776834758666</v>
      </c>
      <c r="S3" s="795">
        <f ca="1">H3/C3</f>
        <v>-0.15789975232705278</v>
      </c>
      <c r="T3" s="795">
        <f ca="1">AT3/AS3</f>
        <v>0.21552662967380595</v>
      </c>
      <c r="U3" s="807"/>
      <c r="V3" s="807"/>
      <c r="W3" s="807">
        <f ca="1">AH3/AI3</f>
        <v>3.6946796631592345</v>
      </c>
      <c r="X3" s="795">
        <f ca="1">AJ3/AH3</f>
        <v>0.54364998132708486</v>
      </c>
      <c r="Y3" s="795">
        <f ca="1">AL3/AK3</f>
        <v>0.55209861393617865</v>
      </c>
      <c r="Z3" s="807">
        <f ca="1">AK3/AM3</f>
        <v>3.9033234121976275</v>
      </c>
      <c r="AA3" s="795">
        <f ca="1">AN3/AK3</f>
        <v>0.26807803203142405</v>
      </c>
      <c r="AB3" s="795">
        <f ca="1">AO3/C3</f>
        <v>0.29535062224259007</v>
      </c>
      <c r="AC3" s="807">
        <f ca="1">C3/AP3</f>
        <v>4.7004373498582295</v>
      </c>
      <c r="AD3" s="795">
        <f ca="1">AQ3/C3</f>
        <v>2.7139482684794117E-2</v>
      </c>
      <c r="AE3" s="795">
        <f ca="1">AR3/C3</f>
        <v>0.56572204790326308</v>
      </c>
      <c r="AF3" s="779"/>
      <c r="AG3" s="796">
        <f ca="1">SUM(AG5:AG7)</f>
        <v>1900138.1999999988</v>
      </c>
      <c r="AH3" s="796">
        <f ca="1">SUM(AH5:AH7)</f>
        <v>1706401.99</v>
      </c>
      <c r="AI3" s="796">
        <f ca="1">SUM(AI5:AI7)</f>
        <v>461853.84000000026</v>
      </c>
      <c r="AJ3" s="796">
        <f ca="1">SUM(AJ5:AJ7)</f>
        <v>927685.41000000038</v>
      </c>
      <c r="AK3" s="796">
        <f ca="1">SUM(AK5:AK7)</f>
        <v>2211525.15</v>
      </c>
      <c r="AL3" s="796">
        <f ca="1">SUM(AL5:AL7)</f>
        <v>1220979.9699999995</v>
      </c>
      <c r="AM3" s="796">
        <f ca="1">SUM(AM5:AM7)</f>
        <v>566574.92000000051</v>
      </c>
      <c r="AN3" s="796">
        <f ca="1">SUM(AN5:AN7)</f>
        <v>592861.30999999982</v>
      </c>
      <c r="AO3" s="796">
        <f ca="1">SUM(AO5:AO7)</f>
        <v>1210174.2500000019</v>
      </c>
      <c r="AP3" s="796">
        <f ca="1">SUM(AP5:AP7)</f>
        <v>871709.43999999983</v>
      </c>
      <c r="AQ3" s="796">
        <f ca="1">SUM(AQ5:AQ7)</f>
        <v>111201.74000000014</v>
      </c>
      <c r="AR3" s="796">
        <f ca="1">SUM(AR5:AR7)</f>
        <v>2317998.3499999982</v>
      </c>
      <c r="AS3" s="796">
        <f ca="1">SUM(AS5:AS7)</f>
        <v>38566</v>
      </c>
      <c r="AT3" s="796">
        <f ca="1">SUM(AT5:AT7)</f>
        <v>8312</v>
      </c>
      <c r="AU3" s="796">
        <f ca="1">SUM(AU5:AU7)</f>
        <v>1290.6333333333334</v>
      </c>
      <c r="AV3" s="779"/>
      <c r="AW3" s="779"/>
      <c r="AX3" s="779"/>
      <c r="AY3" s="779"/>
      <c r="AZ3" s="808"/>
      <c r="BA3" s="808"/>
      <c r="BB3" s="808"/>
      <c r="BC3" s="808"/>
      <c r="BD3" s="779"/>
      <c r="BE3" s="808"/>
      <c r="BF3" s="808"/>
      <c r="BG3" s="808"/>
      <c r="BH3" s="808"/>
      <c r="BI3" s="779"/>
      <c r="BJ3" s="808"/>
      <c r="BK3" s="808"/>
      <c r="BL3" s="809">
        <f ca="1">SUM(BL5:BL7)</f>
        <v>-2331107.58</v>
      </c>
      <c r="BM3" s="809">
        <f ca="1">SUM(BM5:BM7)</f>
        <v>-2331107.58</v>
      </c>
      <c r="BN3" s="809">
        <f ca="1">SUM(BN5:BN7)</f>
        <v>-2149806.96</v>
      </c>
      <c r="BO3" s="809">
        <f ca="1">SUM(BO5:BO7)</f>
        <v>-2149806.96</v>
      </c>
      <c r="BP3" s="809">
        <f ca="1">SUM(BP5:BP7)</f>
        <v>-2767586.37</v>
      </c>
      <c r="BQ3" s="809">
        <f ca="1">SUM(BQ5:BQ7)</f>
        <v>-2767586.37</v>
      </c>
      <c r="BR3" s="809">
        <f ca="1">SUM(BR5:BR7)</f>
        <v>589904.35</v>
      </c>
      <c r="BS3" s="809">
        <f ca="1">SUM(BS5:BS7)</f>
        <v>589904.35</v>
      </c>
      <c r="BT3" s="809">
        <f ca="1">SUM(BT5:BT7)</f>
        <v>594993.27</v>
      </c>
      <c r="BU3" s="809">
        <f ca="1">SUM(BU5:BU7)</f>
        <v>594993.27</v>
      </c>
      <c r="BV3" s="779"/>
      <c r="BW3" s="779"/>
      <c r="BX3" s="779"/>
    </row>
    <row r="4" spans="1:82" s="779" customFormat="1" ht="16.399999999999999" hidden="1" customHeight="1">
      <c r="A4" s="797" t="s">
        <v>26</v>
      </c>
      <c r="B4" s="791" t="s">
        <v>26</v>
      </c>
      <c r="C4" s="807">
        <f ca="1">SUM(C5:C7)</f>
        <v>4097415.6100000003</v>
      </c>
      <c r="D4" s="807">
        <f ca="1">SUM(D5:D7)</f>
        <v>4483405.87</v>
      </c>
      <c r="E4" s="793">
        <f ca="1">C4/D4</f>
        <v>0.91390691113138067</v>
      </c>
      <c r="F4" s="807">
        <f ca="1">SUM(F5:F7)</f>
        <v>5001951.29</v>
      </c>
      <c r="G4" s="793">
        <f ca="1">C4/F4-1</f>
        <v>-0.18083656308456364</v>
      </c>
      <c r="H4" s="807">
        <f ca="1">SUM(H5:H7)</f>
        <v>-646980.90999999992</v>
      </c>
      <c r="I4" s="807">
        <f ca="1">SUM(I5:I7)</f>
        <v>-468430.93000000011</v>
      </c>
      <c r="J4" s="793">
        <f ca="1">H4/I4</f>
        <v>1.3811660771418313</v>
      </c>
      <c r="K4" s="807">
        <f ca="1">SUM(K5:K7)</f>
        <v>-712127.33</v>
      </c>
      <c r="L4" s="793">
        <f ca="1">IF(K4&gt;0,H4/K4-1,IF(K4&lt;0,1-H4/K4,""))</f>
        <v>9.1481420885784592E-2</v>
      </c>
      <c r="M4" s="807">
        <f ca="1">SUM(M5:M7)</f>
        <v>-1023395.44</v>
      </c>
      <c r="N4" s="807">
        <f ca="1">SUM(N5:N7)</f>
        <v>-853700.55</v>
      </c>
      <c r="O4" s="793">
        <f ca="1">IF(N4&lt;0,2-M4/N4,M4/N4)</f>
        <v>0.80122434031464551</v>
      </c>
      <c r="P4" s="807">
        <f ca="1">SUM(P5:P7)</f>
        <v>-1166285.47</v>
      </c>
      <c r="Q4" s="793">
        <f ca="1">IF(P4&gt;0,M4/P4-1,IF(P4&lt;0,1-M4/P4,""))</f>
        <v>0.12251719984130471</v>
      </c>
      <c r="R4" s="807">
        <f ca="1">C4/AG4</f>
        <v>2.1563776834758666</v>
      </c>
      <c r="S4" s="795">
        <f ca="1">H4/C4</f>
        <v>-0.15789975232705278</v>
      </c>
      <c r="T4" s="795">
        <f ca="1">AT4/AS4</f>
        <v>0.21552662967380595</v>
      </c>
      <c r="U4" s="807"/>
      <c r="V4" s="807"/>
      <c r="W4" s="807">
        <f ca="1">AH4/AI4</f>
        <v>3.6946796631592345</v>
      </c>
      <c r="X4" s="795">
        <f ca="1">AJ4/AH4</f>
        <v>0.54364998132708486</v>
      </c>
      <c r="Y4" s="795">
        <f ca="1">AL4/AK4</f>
        <v>0.55209861393617865</v>
      </c>
      <c r="Z4" s="807">
        <f t="shared" ref="Z4" ca="1" si="0">AK4/AM4</f>
        <v>3.9033234121976275</v>
      </c>
      <c r="AA4" s="795">
        <f ca="1">AN4/AK4</f>
        <v>0.26807803203142405</v>
      </c>
      <c r="AB4" s="795">
        <f ca="1">AO4/C4</f>
        <v>0.29535062224259007</v>
      </c>
      <c r="AC4" s="807">
        <f ca="1">C4/AP4</f>
        <v>4.7004373498582295</v>
      </c>
      <c r="AD4" s="795">
        <f ca="1">AQ4/C4</f>
        <v>2.7139482684794117E-2</v>
      </c>
      <c r="AE4" s="795">
        <f ca="1">AR4/C4</f>
        <v>0.56572204790326308</v>
      </c>
      <c r="AG4" s="807">
        <f ca="1">SUM(AG5:AG7)</f>
        <v>1900138.1999999988</v>
      </c>
      <c r="AH4" s="807">
        <f ca="1">SUM(AH5:AH7)</f>
        <v>1706401.99</v>
      </c>
      <c r="AI4" s="807">
        <f ca="1">SUM(AI5:AI7)</f>
        <v>461853.84000000026</v>
      </c>
      <c r="AJ4" s="807">
        <f ca="1">SUM(AJ5:AJ7)</f>
        <v>927685.41000000038</v>
      </c>
      <c r="AK4" s="807">
        <f ca="1">SUM(AK5:AK7)</f>
        <v>2211525.15</v>
      </c>
      <c r="AL4" s="807">
        <f ca="1">SUM(AL5:AL7)</f>
        <v>1220979.9699999995</v>
      </c>
      <c r="AM4" s="807">
        <f ca="1">SUM(AM5:AM7)</f>
        <v>566574.92000000051</v>
      </c>
      <c r="AN4" s="807">
        <f ca="1">SUM(AN5:AN7)</f>
        <v>592861.30999999982</v>
      </c>
      <c r="AO4" s="807">
        <f ca="1">SUM(AO5:AO7)</f>
        <v>1210174.2500000019</v>
      </c>
      <c r="AP4" s="807">
        <f ca="1">SUM(AP5:AP7)</f>
        <v>871709.43999999983</v>
      </c>
      <c r="AQ4" s="807">
        <f ca="1">SUM(AQ5:AQ7)</f>
        <v>111201.74000000014</v>
      </c>
      <c r="AR4" s="807">
        <f ca="1">SUM(AR5:AR7)</f>
        <v>2317998.3499999982</v>
      </c>
      <c r="AS4" s="807">
        <f ca="1">SUM(AS5:AS7)</f>
        <v>38566</v>
      </c>
      <c r="AT4" s="807">
        <f ca="1">SUM(AT5:AT7)</f>
        <v>8312</v>
      </c>
      <c r="AU4" s="807">
        <f ca="1">SUM(AU5:AU7)</f>
        <v>1290.6333333333334</v>
      </c>
      <c r="AZ4" s="808"/>
      <c r="BA4" s="808"/>
      <c r="BB4" s="808"/>
      <c r="BC4" s="808"/>
      <c r="BE4" s="808"/>
      <c r="BF4" s="808"/>
      <c r="BG4" s="808"/>
      <c r="BH4" s="808"/>
      <c r="BJ4" s="808"/>
      <c r="BK4" s="808"/>
      <c r="BL4" s="807">
        <f ca="1">SUM(BL5:BL7)</f>
        <v>-2331107.58</v>
      </c>
      <c r="BM4" s="807">
        <f ca="1">SUM(BM5:BM7)</f>
        <v>-2331107.58</v>
      </c>
      <c r="BN4" s="807">
        <f ca="1">SUM(BN5:BN7)</f>
        <v>-2149806.96</v>
      </c>
      <c r="BO4" s="807">
        <f ca="1">SUM(BO5:BO7)</f>
        <v>-2149806.96</v>
      </c>
      <c r="BP4" s="807">
        <f ca="1">SUM(BP5:BP7)</f>
        <v>-2767586.37</v>
      </c>
      <c r="BQ4" s="807">
        <f ca="1">SUM(BQ5:BQ7)</f>
        <v>-2767586.37</v>
      </c>
      <c r="BR4" s="807"/>
      <c r="BS4" s="807"/>
      <c r="BW4" s="807">
        <f ca="1">SUM(BW5:BW7)</f>
        <v>103771.03694999999</v>
      </c>
      <c r="BX4" s="807">
        <f ca="1">SUM(BX5:BX7)</f>
        <v>103771.03694999999</v>
      </c>
      <c r="BY4" s="807">
        <f ca="1">SUM(BY5:BY7)</f>
        <v>1361952.4604</v>
      </c>
      <c r="BZ4" s="807">
        <f ca="1">SUM(BZ5:BZ7)</f>
        <v>0</v>
      </c>
      <c r="CA4" s="807">
        <f ca="1">SUM(CA5:CA7)</f>
        <v>0</v>
      </c>
      <c r="CB4" s="807">
        <f>SUM(CB5:CB7)</f>
        <v>0</v>
      </c>
      <c r="CC4" s="807">
        <f ca="1">SUM(CC5:CC7)</f>
        <v>0</v>
      </c>
      <c r="CD4" s="807">
        <f ca="1">SUM(CD5:CD7)</f>
        <v>0</v>
      </c>
    </row>
    <row r="5" spans="1:82" ht="16.399999999999999" customHeight="1">
      <c r="A5" s="759" t="s">
        <v>28</v>
      </c>
      <c r="B5" s="759" t="s">
        <v>140</v>
      </c>
      <c r="C5" s="801" cm="1">
        <f t="array" aca="1" ref="C5" ca="1">INDIRECT($B5&amp;"!H158")</f>
        <v>2831815.91</v>
      </c>
      <c r="D5" s="801" cm="1">
        <f t="array" aca="1" ref="D5" ca="1">INDIRECT($B5&amp;"!I158")</f>
        <v>2691281.43</v>
      </c>
      <c r="E5" s="799" cm="1">
        <f t="array" aca="1" ref="E5" ca="1">INDIRECT($B5&amp;"!J158")</f>
        <v>1.0522184259265699</v>
      </c>
      <c r="F5" s="801" cm="1">
        <f t="array" aca="1" ref="F5" ca="1">INDIRECT($B5&amp;"!K158")</f>
        <v>2941734.5</v>
      </c>
      <c r="G5" s="799" cm="1">
        <f t="array" aca="1" ref="G5" ca="1">INDIRECT($B5&amp;"!L158")</f>
        <v>-3.7365231294666297E-2</v>
      </c>
      <c r="H5" s="801" cm="1">
        <f t="array" aca="1" ref="H5" ca="1">INDIRECT($B5&amp;"!M158")</f>
        <v>-343047.74</v>
      </c>
      <c r="I5" s="801" cm="1">
        <f t="array" aca="1" ref="I5" ca="1">INDIRECT($B5&amp;"!N158")</f>
        <v>-251910.2</v>
      </c>
      <c r="J5" s="799" cm="1">
        <f t="array" aca="1" ref="J5" ca="1">INDIRECT($B5&amp;"!O158")</f>
        <v>0.63821417314582496</v>
      </c>
      <c r="K5" s="801" cm="1">
        <f t="array" aca="1" ref="K5" ca="1">INDIRECT($B5&amp;"!P158")</f>
        <v>-556666.38</v>
      </c>
      <c r="L5" s="799" cm="1">
        <f t="array" aca="1" ref="L5" ca="1">INDIRECT($B5&amp;"!Q158")</f>
        <v>0.38374625749807301</v>
      </c>
      <c r="M5" s="801" cm="1">
        <f t="array" aca="1" ref="M5" ca="1">INDIRECT($B5&amp;"!R158")</f>
        <v>-587351.47</v>
      </c>
      <c r="N5" s="801" cm="1">
        <f t="array" aca="1" ref="N5" ca="1">INDIRECT($B5&amp;"!S158")</f>
        <v>-512203.25</v>
      </c>
      <c r="O5" s="799" cm="1">
        <f t="array" aca="1" ref="O5" ca="1">INDIRECT($B5&amp;"!T158")</f>
        <v>0.85328437490390796</v>
      </c>
      <c r="P5" s="801" cm="1">
        <f t="array" aca="1" ref="P5" ca="1">INDIRECT($B5&amp;"!U158")</f>
        <v>-847994.68</v>
      </c>
      <c r="Q5" s="799" cm="1">
        <f t="array" aca="1" ref="Q5" ca="1">INDIRECT($B5&amp;"!V158")</f>
        <v>0.30736420421882799</v>
      </c>
      <c r="R5" s="801" cm="1">
        <f t="array" aca="1" ref="R5" ca="1">INDIRECT($B5&amp;"!W158")</f>
        <v>2.5475391726702998</v>
      </c>
      <c r="S5" s="799" cm="1">
        <f t="array" aca="1" ref="S5" ca="1">INDIRECT($B5&amp;"!X158")</f>
        <v>-0.121140551117251</v>
      </c>
      <c r="T5" s="799" cm="1">
        <f t="array" aca="1" ref="T5" ca="1">INDIRECT($B5&amp;"!Y158")</f>
        <v>0.31282051282051299</v>
      </c>
      <c r="U5" s="801" cm="1">
        <f t="array" aca="1" ref="U5" ca="1">INDIRECT($B5&amp;"!Z158")</f>
        <v>199.24168341265599</v>
      </c>
      <c r="V5" s="801" cm="1">
        <f t="array" aca="1" ref="V5" ca="1">INDIRECT($B5&amp;"!AA158")</f>
        <v>62.326885580369499</v>
      </c>
      <c r="W5" s="801" cm="1">
        <f t="array" aca="1" ref="W5" ca="1">INDIRECT($B5&amp;"!AB158")</f>
        <v>3.9706352792525901</v>
      </c>
      <c r="X5" s="799" cm="1">
        <f t="array" aca="1" ref="X5" ca="1">INDIRECT($B5&amp;"!AC158")</f>
        <v>0.56916344729471902</v>
      </c>
      <c r="Y5" s="799" cm="1">
        <f t="array" aca="1" ref="Y5" ca="1">INDIRECT($B5&amp;"!AD158")</f>
        <v>0.53898494290128796</v>
      </c>
      <c r="Z5" s="801" cm="1">
        <f t="array" aca="1" ref="Z5" ca="1">INDIRECT($B5&amp;"!AE158")</f>
        <v>5.0071107421836096</v>
      </c>
      <c r="AA5" s="799" cm="1">
        <f t="array" aca="1" ref="AA5" ca="1">INDIRECT($B5&amp;"!AF158")</f>
        <v>0.31116500040032002</v>
      </c>
      <c r="AB5" s="799" cm="1">
        <f t="array" aca="1" ref="AB5" ca="1">INDIRECT($B5&amp;"!AG158")</f>
        <v>0.33181394549054599</v>
      </c>
      <c r="AC5" s="801" cm="1">
        <f t="array" aca="1" ref="AC5" ca="1">INDIRECT($B5&amp;"!AH158")</f>
        <v>5.5028083927558402</v>
      </c>
      <c r="AD5" s="799" cm="1">
        <f t="array" aca="1" ref="AD5" ca="1">INDIRECT($B5&amp;"!AI158")</f>
        <v>2.3047179645233399E-2</v>
      </c>
      <c r="AE5" s="799" cm="1">
        <f t="array" aca="1" ref="AE5" ca="1">INDIRECT($B5&amp;"!AJ158")</f>
        <v>0.55986208157153805</v>
      </c>
      <c r="AG5" s="783">
        <f ca="1">C5/R5</f>
        <v>1111588.7599999984</v>
      </c>
      <c r="AH5" s="801" cm="1">
        <f t="array" aca="1" ref="AH5" ca="1">INDIRECT($B5&amp;"!H43")</f>
        <v>1138840.1399999999</v>
      </c>
      <c r="AI5" s="783">
        <f ca="1">AH5/W5</f>
        <v>286815.60000000021</v>
      </c>
      <c r="AJ5" s="783">
        <f ca="1">AH5*X5</f>
        <v>648186.1800000004</v>
      </c>
      <c r="AK5" s="801" cm="1">
        <f t="array" aca="1" ref="AK5" ca="1">INDIRECT($B5&amp;"!H56")</f>
        <v>1553007.02</v>
      </c>
      <c r="AL5" s="783">
        <f ca="1">AK5*Y5</f>
        <v>837047.39999999932</v>
      </c>
      <c r="AM5" s="783">
        <f ca="1">IF(Z5=0,,AK5/Z5)</f>
        <v>310160.31000000029</v>
      </c>
      <c r="AN5" s="783">
        <f ca="1">AK5*AA5</f>
        <v>483241.42999999982</v>
      </c>
      <c r="AO5" s="783">
        <f ca="1">C5*AB5</f>
        <v>939636.01000000094</v>
      </c>
      <c r="AP5" s="783">
        <f ca="1">C5/AC5</f>
        <v>514612.84999999963</v>
      </c>
      <c r="AQ5" s="783">
        <f ca="1">AD5*C5</f>
        <v>65265.370000000097</v>
      </c>
      <c r="AR5" s="783">
        <f ca="1">C5*AE5</f>
        <v>1585426.3499999994</v>
      </c>
      <c r="AS5" s="802" cm="1">
        <f t="array" aca="1" ref="AS5" ca="1">INDIRECT($B5&amp;"!H6")</f>
        <v>17982</v>
      </c>
      <c r="AT5" s="802" cm="1">
        <f t="array" aca="1" ref="AT5" ca="1">INDIRECT($B5&amp;"!H7")</f>
        <v>5673</v>
      </c>
      <c r="AU5" s="810" cm="1">
        <f t="array" aca="1" ref="AU5" ca="1">INDIRECT($B5&amp;"!H5")/$AU$1</f>
        <v>604.5</v>
      </c>
      <c r="AV5" s="811"/>
      <c r="AW5" s="803" cm="1">
        <f t="array" aca="1" ref="AW5" ca="1">INDIRECT($B5&amp;"!H23")</f>
        <v>-416992.64</v>
      </c>
      <c r="AX5" s="803" cm="1">
        <f t="array" aca="1" ref="AX5" ca="1">INDIRECT($B5&amp;"!M23")</f>
        <v>-416992.64</v>
      </c>
      <c r="AY5" s="803"/>
      <c r="AZ5" s="803" cm="1">
        <f t="array" aca="1" ref="AZ5" ca="1">INDIRECT(B5&amp;"!H111")</f>
        <v>-413116.79</v>
      </c>
      <c r="BA5" s="803" cm="1">
        <f t="array" aca="1" ref="BA5" ca="1">INDIRECT(B5&amp;"!H129")</f>
        <v>174234.68</v>
      </c>
      <c r="BB5" s="803" cm="1">
        <f t="array" aca="1" ref="BB5" ca="1">INDIRECT(B5&amp;"!M111")</f>
        <v>-413116.79</v>
      </c>
      <c r="BC5" s="803" cm="1">
        <f t="array" aca="1" ref="BC5" ca="1">INDIRECT(B5&amp;"!M129")</f>
        <v>174234.68</v>
      </c>
      <c r="BD5" s="803"/>
      <c r="BE5" s="803" cm="1">
        <f t="array" aca="1" ref="BE5" ca="1">INDIRECT($B5&amp;"!H75")</f>
        <v>69952.73</v>
      </c>
      <c r="BF5" s="803" cm="1">
        <f t="array" aca="1" ref="BF5" ca="1">INDIRECT($B5&amp;"!I75")</f>
        <v>48543.69</v>
      </c>
      <c r="BG5" s="803" cm="1">
        <f t="array" aca="1" ref="BG5" ca="1">INDIRECT($B5&amp;"!M75")</f>
        <v>69952.73</v>
      </c>
      <c r="BH5" s="803" cm="1">
        <f t="array" aca="1" ref="BH5" ca="1">INDIRECT($B5&amp;"!N75")</f>
        <v>48543.69</v>
      </c>
      <c r="BI5" s="803"/>
      <c r="BJ5" s="803" cm="1">
        <f t="array" aca="1" ref="BJ5" ca="1">INDIRECT($B5&amp;"!H148")</f>
        <v>-587351.47</v>
      </c>
      <c r="BK5" s="803" cm="1">
        <f t="array" aca="1" ref="BK5" ca="1">INDIRECT($B5&amp;"!M148")</f>
        <v>-587351.47</v>
      </c>
      <c r="BL5" s="803" cm="1">
        <f t="array" aca="1" ref="BL5" ca="1">INDIRECT($B5&amp;"!H132")</f>
        <v>-1021850.57</v>
      </c>
      <c r="BM5" s="803" cm="1">
        <f t="array" aca="1" ref="BM5" ca="1">INDIRECT($B5&amp;"!M132")</f>
        <v>-1021850.57</v>
      </c>
      <c r="BN5" s="803" cm="1">
        <f t="array" aca="1" ref="BN5" ca="1">INDIRECT($B5&amp;"!I132")</f>
        <v>-911715.03</v>
      </c>
      <c r="BO5" s="803" cm="1">
        <f t="array" aca="1" ref="BO5" ca="1">INDIRECT($B5&amp;"!N132")</f>
        <v>-911715.03</v>
      </c>
      <c r="BP5" s="803" cm="1">
        <f t="array" aca="1" ref="BP5" ca="1">INDIRECT($B5&amp;"!K132")</f>
        <v>-1559193.19</v>
      </c>
      <c r="BQ5" s="803" cm="1">
        <f t="array" aca="1" ref="BQ5" ca="1">INDIRECT($B5&amp;"!P132")</f>
        <v>-1559193.19</v>
      </c>
      <c r="BR5" s="803" cm="1">
        <f t="array" aca="1" ref="BR5" ca="1">INDIRECT($B5&amp;"!H128")</f>
        <v>17506.46</v>
      </c>
      <c r="BS5" s="803" cm="1">
        <f t="array" aca="1" ref="BS5" ca="1">INDIRECT($B5&amp;"!M128")</f>
        <v>17506.46</v>
      </c>
      <c r="BT5" s="803" cm="1">
        <f t="array" aca="1" ref="BT5" ca="1">INDIRECT($B5&amp;"!K128")</f>
        <v>16628.66</v>
      </c>
      <c r="BU5" s="803" cm="1">
        <f t="array" aca="1" ref="BU5" ca="1">INDIRECT($B5&amp;"!P128")</f>
        <v>16628.66</v>
      </c>
      <c r="BV5" s="803"/>
      <c r="BW5" s="803" cm="1">
        <f t="array" aca="1" ref="BW5" ca="1">INDIRECT($B5&amp;"!H123")</f>
        <v>103771.03694999999</v>
      </c>
      <c r="BX5" s="803" cm="1">
        <f t="array" aca="1" ref="BX5" ca="1">INDIRECT($B5&amp;"!M123")</f>
        <v>103771.03694999999</v>
      </c>
      <c r="BY5" s="803" cm="1">
        <f t="array" aca="1" ref="BY5" ca="1">INDIRECT($B5&amp;"!R123")</f>
        <v>1361952.4604</v>
      </c>
      <c r="BZ5" s="803" cm="1">
        <f t="array" aca="1" ref="BZ5" ca="1">INDIRECT($B5&amp;"!H119")</f>
        <v>0</v>
      </c>
      <c r="CA5" s="803" cm="1">
        <f t="array" aca="1" ref="CA5" ca="1">INDIRECT($B5&amp;"!M119")</f>
        <v>0</v>
      </c>
      <c r="CC5" s="803" cm="1">
        <f t="array" aca="1" ref="CC5" ca="1">INDIRECT($B5&amp;"!AK158")</f>
        <v>0</v>
      </c>
      <c r="CD5" s="803" cm="1">
        <f t="array" aca="1" ref="CD5" ca="1">INDIRECT($B5&amp;"!AK159")</f>
        <v>0</v>
      </c>
    </row>
    <row r="6" spans="1:82" ht="16.399999999999999" customHeight="1">
      <c r="A6" s="759" t="s">
        <v>30</v>
      </c>
      <c r="B6" s="759" t="s">
        <v>142</v>
      </c>
      <c r="C6" s="801" cm="1">
        <f t="array" aca="1" ref="C6" ca="1">INDIRECT($B6&amp;"!H158")</f>
        <v>129030.87</v>
      </c>
      <c r="D6" s="801" cm="1">
        <f t="array" aca="1" ref="D6" ca="1">INDIRECT($B6&amp;"!I158")</f>
        <v>631295.71</v>
      </c>
      <c r="E6" s="799" cm="1">
        <f t="array" aca="1" ref="E6" ca="1">INDIRECT($B6&amp;"!J158")</f>
        <v>0.20439053831048501</v>
      </c>
      <c r="F6" s="801" cm="1">
        <f t="array" aca="1" ref="F6" ca="1">INDIRECT($B6&amp;"!K158")</f>
        <v>808427.54</v>
      </c>
      <c r="G6" s="799" cm="1">
        <f t="array" aca="1" ref="G6" ca="1">INDIRECT($B6&amp;"!L158")</f>
        <v>-0.84039278275947904</v>
      </c>
      <c r="H6" s="801" cm="1">
        <f t="array" aca="1" ref="H6" ca="1">INDIRECT($B6&amp;"!M158")</f>
        <v>-361955.44</v>
      </c>
      <c r="I6" s="801" cm="1">
        <f t="array" aca="1" ref="I6" ca="1">INDIRECT($B6&amp;"!N158")</f>
        <v>-126727.92</v>
      </c>
      <c r="J6" s="799" cm="1">
        <f t="array" aca="1" ref="J6" ca="1">INDIRECT($B6&amp;"!O158")</f>
        <v>-0.85616176766730001</v>
      </c>
      <c r="K6" s="801" cm="1">
        <f t="array" aca="1" ref="K6" ca="1">INDIRECT($B6&amp;"!P158")</f>
        <v>23988.070000000102</v>
      </c>
      <c r="L6" s="799" cm="1">
        <f t="array" aca="1" ref="L6" ca="1">INDIRECT($B6&amp;"!Q158")</f>
        <v>-16.088977145722801</v>
      </c>
      <c r="M6" s="801" cm="1">
        <f t="array" aca="1" ref="M6" ca="1">INDIRECT($B6&amp;"!R158")</f>
        <v>-406462.45</v>
      </c>
      <c r="N6" s="801" cm="1">
        <f t="array" aca="1" ref="N6" ca="1">INDIRECT($B6&amp;"!S158")</f>
        <v>-176856.06</v>
      </c>
      <c r="O6" s="799" cm="1">
        <f t="array" aca="1" ref="O6" ca="1">INDIRECT($B6&amp;"!T158")</f>
        <v>-0.29826702008401601</v>
      </c>
      <c r="P6" s="801" cm="1">
        <f t="array" aca="1" ref="P6" ca="1">INDIRECT($B6&amp;"!U158")</f>
        <v>-49250.409999999902</v>
      </c>
      <c r="Q6" s="799" cm="1">
        <f t="array" aca="1" ref="Q6" ca="1">INDIRECT($B6&amp;"!V158")</f>
        <v>-7.2529759650732002</v>
      </c>
      <c r="R6" s="801" cm="1">
        <f t="array" aca="1" ref="R6" ca="1">INDIRECT($B6&amp;"!W158")</f>
        <v>0.51806265066897195</v>
      </c>
      <c r="S6" s="799" cm="1">
        <f t="array" aca="1" ref="S6" ca="1">INDIRECT($B6&amp;"!X158")</f>
        <v>-2.8051848367758798</v>
      </c>
      <c r="T6" s="799" cm="1">
        <f t="array" aca="1" ref="T6" ca="1">INDIRECT($B6&amp;"!Y158")</f>
        <v>3.2112757919209499E-2</v>
      </c>
      <c r="U6" s="801" cm="1">
        <f t="array" aca="1" ref="U6" ca="1">INDIRECT($B6&amp;"!Z158")</f>
        <v>165.84337858220201</v>
      </c>
      <c r="V6" s="801" cm="1">
        <f t="array" aca="1" ref="V6" ca="1">INDIRECT($B6&amp;"!AA158")</f>
        <v>5.3256882689140799</v>
      </c>
      <c r="W6" s="801" cm="1">
        <f t="array" aca="1" ref="W6" ca="1">INDIRECT($B6&amp;"!AB158")</f>
        <v>0.81298808872838801</v>
      </c>
      <c r="X6" s="799" cm="1">
        <f t="array" aca="1" ref="X6" ca="1">INDIRECT($B6&amp;"!AC158")</f>
        <v>-0.59771863062783703</v>
      </c>
      <c r="Y6" s="799" cm="1">
        <f t="array" aca="1" ref="Y6" ca="1">INDIRECT($B6&amp;"!AD158")</f>
        <v>0.47804757233193801</v>
      </c>
      <c r="Z6" s="801" cm="1">
        <f t="array" aca="1" ref="Z6" ca="1">INDIRECT($B6&amp;"!AE158")</f>
        <v>0.98638897028471095</v>
      </c>
      <c r="AA6" s="799" cm="1">
        <f t="array" aca="1" ref="AA6" ca="1">INDIRECT($B6&amp;"!AF158")</f>
        <v>-0.59752879962580197</v>
      </c>
      <c r="AB6" s="799" cm="1">
        <f t="array" aca="1" ref="AB6" ca="1">INDIRECT($B6&amp;"!AG158")</f>
        <v>1.06594933444997</v>
      </c>
      <c r="AC6" s="801" cm="1">
        <f t="array" aca="1" ref="AC6" ca="1">INDIRECT($B6&amp;"!AH158")</f>
        <v>1.1984063893771899</v>
      </c>
      <c r="AD6" s="799" cm="1">
        <f t="array" aca="1" ref="AD6" ca="1">INDIRECT($B6&amp;"!AI158")</f>
        <v>1.6072897904199201E-3</v>
      </c>
      <c r="AE6" s="799" cm="1">
        <f t="array" aca="1" ref="AE6" ca="1">INDIRECT($B6&amp;"!AJ158")</f>
        <v>2.2241328761094099</v>
      </c>
      <c r="AG6" s="783">
        <f t="shared" ref="AG6:AG7" ca="1" si="1">C6/R6</f>
        <v>249064.22000000003</v>
      </c>
      <c r="AH6" s="801" cm="1">
        <f t="array" aca="1" ref="AH6" ca="1">INDIRECT($B6&amp;"!H43")</f>
        <v>55218.59</v>
      </c>
      <c r="AI6" s="783">
        <f t="shared" ref="AI6:AI7" ca="1" si="2">AH6/W6</f>
        <v>67920.539999999964</v>
      </c>
      <c r="AJ6" s="783">
        <f t="shared" ref="AJ6:AJ7" ca="1" si="3">AH6*X6</f>
        <v>-33005.179999999971</v>
      </c>
      <c r="AK6" s="801" cm="1">
        <f t="array" aca="1" ref="AK6" ca="1">INDIRECT($B6&amp;"!H56")</f>
        <v>72474.899999999994</v>
      </c>
      <c r="AL6" s="783">
        <f t="shared" ref="AL6:AL7" ca="1" si="4">AK6*Y6</f>
        <v>34646.449999999968</v>
      </c>
      <c r="AM6" s="783">
        <f t="shared" ref="AM6:AM7" ca="1" si="5">IF(Z6=0,,AK6/Z6)</f>
        <v>73474.969999999972</v>
      </c>
      <c r="AN6" s="783">
        <f t="shared" ref="AN6:AN7" ca="1" si="6">AK6*AA6</f>
        <v>-43305.840000000033</v>
      </c>
      <c r="AO6" s="783">
        <f t="shared" ref="AO6:AO7" ca="1" si="7">C6*AB6</f>
        <v>137540.37000000061</v>
      </c>
      <c r="AP6" s="783">
        <f t="shared" ref="AP6:AP7" ca="1" si="8">C6/AC6</f>
        <v>107668.71000000021</v>
      </c>
      <c r="AQ6" s="783">
        <f t="shared" ref="AQ6:AQ7" ca="1" si="9">AD6*C6</f>
        <v>207.38999999999996</v>
      </c>
      <c r="AR6" s="783">
        <f t="shared" ref="AR6:AR7" ca="1" si="10">C6*AE6</f>
        <v>286981.79999999935</v>
      </c>
      <c r="AS6" s="802" cm="1">
        <f t="array" aca="1" ref="AS6" ca="1">INDIRECT($B6&amp;"!H6")</f>
        <v>10323</v>
      </c>
      <c r="AT6" s="802" cm="1">
        <f t="array" aca="1" ref="AT6" ca="1">INDIRECT($B6&amp;"!H7")</f>
        <v>331.5</v>
      </c>
      <c r="AU6" s="811" cm="1">
        <f t="array" aca="1" ref="AU6" ca="1">INDIRECT($B6&amp;"!H5")/$AU$1</f>
        <v>344.1</v>
      </c>
      <c r="AV6" s="811"/>
      <c r="AW6" s="803" cm="1">
        <f t="array" aca="1" ref="AW6" ca="1">INDIRECT($B6&amp;"!H23")</f>
        <v>-146465.9</v>
      </c>
      <c r="AX6" s="803" cm="1">
        <f t="array" aca="1" ref="AX6" ca="1">INDIRECT($B6&amp;"!M23")</f>
        <v>-146465.9</v>
      </c>
      <c r="AY6" s="803"/>
      <c r="AZ6" s="803" cm="1">
        <f t="array" aca="1" ref="AZ6" ca="1">INDIRECT(B6&amp;"!H111")</f>
        <v>-365091.52</v>
      </c>
      <c r="BA6" s="803" cm="1">
        <f t="array" aca="1" ref="BA6" ca="1">INDIRECT(B6&amp;"!H129")</f>
        <v>41370.93</v>
      </c>
      <c r="BB6" s="803" cm="1">
        <f t="array" aca="1" ref="BB6" ca="1">INDIRECT(B6&amp;"!M111")</f>
        <v>-365091.52</v>
      </c>
      <c r="BC6" s="803" cm="1">
        <f t="array" aca="1" ref="BC6" ca="1">INDIRECT(B6&amp;"!M129")</f>
        <v>41370.93</v>
      </c>
      <c r="BD6" s="803"/>
      <c r="BE6" s="803" cm="1">
        <f t="array" aca="1" ref="BE6" ca="1">INDIRECT($B6&amp;"!H75")</f>
        <v>1070.3399999999999</v>
      </c>
      <c r="BF6" s="803" cm="1">
        <f t="array" aca="1" ref="BF6" ca="1">INDIRECT($B6&amp;"!I75")</f>
        <v>4587.16</v>
      </c>
      <c r="BG6" s="803" cm="1">
        <f t="array" aca="1" ref="BG6" ca="1">INDIRECT($B6&amp;"!M75")</f>
        <v>1070.3399999999999</v>
      </c>
      <c r="BH6" s="803" cm="1">
        <f t="array" aca="1" ref="BH6" ca="1">INDIRECT($B6&amp;"!N75")</f>
        <v>4587.16</v>
      </c>
      <c r="BI6" s="803"/>
      <c r="BJ6" s="803" cm="1">
        <f t="array" aca="1" ref="BJ6" ca="1">INDIRECT($B6&amp;"!H148")</f>
        <v>-406462.45</v>
      </c>
      <c r="BK6" s="803" cm="1">
        <f t="array" aca="1" ref="BK6" ca="1">INDIRECT($B6&amp;"!M148")</f>
        <v>-406462.45</v>
      </c>
      <c r="BL6" s="803" cm="1">
        <f t="array" aca="1" ref="BL6" ca="1">INDIRECT($B6&amp;"!H132")</f>
        <v>-574847.52</v>
      </c>
      <c r="BM6" s="803" cm="1">
        <f t="array" aca="1" ref="BM6" ca="1">INDIRECT($B6&amp;"!M132")</f>
        <v>-574847.52</v>
      </c>
      <c r="BN6" s="803" cm="1">
        <f t="array" aca="1" ref="BN6" ca="1">INDIRECT($B6&amp;"!I132")</f>
        <v>-368794.93</v>
      </c>
      <c r="BO6" s="803" cm="1">
        <f t="array" aca="1" ref="BO6" ca="1">INDIRECT($B6&amp;"!N132")</f>
        <v>-368794.93</v>
      </c>
      <c r="BP6" s="803" cm="1">
        <f t="array" aca="1" ref="BP6" ca="1">INDIRECT($B6&amp;"!K132")</f>
        <v>-240283.7</v>
      </c>
      <c r="BQ6" s="803" cm="1">
        <f t="array" aca="1" ref="BQ6" ca="1">INDIRECT($B6&amp;"!P132")</f>
        <v>-240283.7</v>
      </c>
      <c r="BR6" s="803" cm="1">
        <f t="array" aca="1" ref="BR6" ca="1">INDIRECT($B6&amp;"!H128")</f>
        <v>21919.17</v>
      </c>
      <c r="BS6" s="803" cm="1">
        <f t="array" aca="1" ref="BS6" ca="1">INDIRECT($B6&amp;"!M128")</f>
        <v>21919.17</v>
      </c>
      <c r="BT6" s="803" cm="1">
        <f t="array" aca="1" ref="BT6" ca="1">INDIRECT($B6&amp;"!K128")</f>
        <v>23471.43</v>
      </c>
      <c r="BU6" s="803" cm="1">
        <f t="array" aca="1" ref="BU6" ca="1">INDIRECT($B6&amp;"!P128")</f>
        <v>23471.43</v>
      </c>
      <c r="BV6" s="803"/>
      <c r="BW6" s="803" cm="1">
        <f t="array" aca="1" ref="BW6" ca="1">INDIRECT($B6&amp;"!H123")</f>
        <v>0</v>
      </c>
      <c r="BX6" s="803" cm="1">
        <f t="array" aca="1" ref="BX6" ca="1">INDIRECT($B6&amp;"!M123")</f>
        <v>0</v>
      </c>
      <c r="BY6" s="803" cm="1">
        <f t="array" aca="1" ref="BY6" ca="1">INDIRECT($B6&amp;"!R123")</f>
        <v>0</v>
      </c>
      <c r="BZ6" s="803" cm="1">
        <f t="array" aca="1" ref="BZ6" ca="1">INDIRECT($B6&amp;"!H119")</f>
        <v>0</v>
      </c>
      <c r="CA6" s="803" cm="1">
        <f t="array" aca="1" ref="CA6" ca="1">INDIRECT($B6&amp;"!M119")</f>
        <v>0</v>
      </c>
      <c r="CC6" s="803" cm="1">
        <f t="array" aca="1" ref="CC6" ca="1">INDIRECT($B6&amp;"!AK158")</f>
        <v>0</v>
      </c>
      <c r="CD6" s="803" cm="1">
        <f t="array" aca="1" ref="CD6" ca="1">INDIRECT($B6&amp;"!AK159")</f>
        <v>0</v>
      </c>
    </row>
    <row r="7" spans="1:82" ht="16.399999999999999" customHeight="1">
      <c r="A7" s="759" t="s">
        <v>32</v>
      </c>
      <c r="B7" s="759" t="s">
        <v>144</v>
      </c>
      <c r="C7" s="801" cm="1">
        <f t="array" aca="1" ref="C7" ca="1">INDIRECT($B7&amp;"!H158")</f>
        <v>1136568.83</v>
      </c>
      <c r="D7" s="801" cm="1">
        <f t="array" aca="1" ref="D7" ca="1">INDIRECT($B7&amp;"!I158")</f>
        <v>1160828.73</v>
      </c>
      <c r="E7" s="799" cm="1">
        <f t="array" aca="1" ref="E7" ca="1">INDIRECT($B7&amp;"!J158")</f>
        <v>0.97910122365768804</v>
      </c>
      <c r="F7" s="801" cm="1">
        <f t="array" aca="1" ref="F7" ca="1">INDIRECT($B7&amp;"!K158")</f>
        <v>1251789.25</v>
      </c>
      <c r="G7" s="799" cm="1">
        <f t="array" aca="1" ref="G7" ca="1">INDIRECT($B7&amp;"!L158")</f>
        <v>-9.2044583383344994E-2</v>
      </c>
      <c r="H7" s="801" cm="1">
        <f t="array" aca="1" ref="H7" ca="1">INDIRECT($B7&amp;"!M158")</f>
        <v>58022.27</v>
      </c>
      <c r="I7" s="801" cm="1">
        <f t="array" aca="1" ref="I7" ca="1">INDIRECT($B7&amp;"!N158")</f>
        <v>-89792.8100000001</v>
      </c>
      <c r="J7" s="799" cm="1">
        <f t="array" aca="1" ref="J7" ca="1">INDIRECT($B7&amp;"!O158")</f>
        <v>2.6461794658169202</v>
      </c>
      <c r="K7" s="801" cm="1">
        <f t="array" aca="1" ref="K7" ca="1">INDIRECT($B7&amp;"!P158")</f>
        <v>-179449.02</v>
      </c>
      <c r="L7" s="799" cm="1">
        <f t="array" aca="1" ref="L7" ca="1">INDIRECT($B7&amp;"!Q158")</f>
        <v>1.3233356749454499</v>
      </c>
      <c r="M7" s="801" cm="1">
        <f t="array" aca="1" ref="M7" ca="1">INDIRECT($B7&amp;"!R158")</f>
        <v>-29581.52</v>
      </c>
      <c r="N7" s="801" cm="1">
        <f t="array" aca="1" ref="N7" ca="1">INDIRECT($B7&amp;"!S158")</f>
        <v>-164641.24</v>
      </c>
      <c r="O7" s="799" cm="1">
        <f t="array" aca="1" ref="O7" ca="1">INDIRECT($B7&amp;"!T158")</f>
        <v>1.8203273979229</v>
      </c>
      <c r="P7" s="801" cm="1">
        <f t="array" aca="1" ref="P7" ca="1">INDIRECT($B7&amp;"!U158")</f>
        <v>-269040.38</v>
      </c>
      <c r="Q7" s="799" cm="1">
        <f t="array" aca="1" ref="Q7" ca="1">INDIRECT($B7&amp;"!V158")</f>
        <v>0.89004802922148696</v>
      </c>
      <c r="R7" s="801" cm="1">
        <f t="array" aca="1" ref="R7" ca="1">INDIRECT($B7&amp;"!W158")</f>
        <v>2.1067654643068798</v>
      </c>
      <c r="S7" s="799" cm="1">
        <f t="array" aca="1" ref="S7" ca="1">INDIRECT($B7&amp;"!X158")</f>
        <v>5.1050379412569298E-2</v>
      </c>
      <c r="T7" s="799" cm="1">
        <f t="array" aca="1" ref="T7" ca="1">INDIRECT($B7&amp;"!Y158")</f>
        <v>0.224880615924374</v>
      </c>
      <c r="U7" s="801" cm="1">
        <f t="array" aca="1" ref="U7" ca="1">INDIRECT($B7&amp;"!Z158")</f>
        <v>221.87889924160299</v>
      </c>
      <c r="V7" s="801" cm="1">
        <f t="array" aca="1" ref="V7" ca="1">INDIRECT($B7&amp;"!AA158")</f>
        <v>49.896263522073902</v>
      </c>
      <c r="W7" s="801" cm="1">
        <f t="array" aca="1" ref="W7" ca="1">INDIRECT($B7&amp;"!AB158")</f>
        <v>4.7829934735342503</v>
      </c>
      <c r="X7" s="799" cm="1">
        <f t="array" aca="1" ref="X7" ca="1">INDIRECT($B7&amp;"!AC158")</f>
        <v>0.60995124635776399</v>
      </c>
      <c r="Y7" s="799" cm="1">
        <f t="array" aca="1" ref="Y7" ca="1">INDIRECT($B7&amp;"!AD158")</f>
        <v>0.59600743105589704</v>
      </c>
      <c r="Z7" s="801" cm="1">
        <f t="array" aca="1" ref="Z7" ca="1">INDIRECT($B7&amp;"!AE158")</f>
        <v>3.2034786446502199</v>
      </c>
      <c r="AA7" s="799" cm="1">
        <f t="array" aca="1" ref="AA7" ca="1">INDIRECT($B7&amp;"!AF158")</f>
        <v>0.260946142147227</v>
      </c>
      <c r="AB7" s="799" cm="1">
        <f t="array" aca="1" ref="AB7" ca="1">INDIRECT($B7&amp;"!AG158")</f>
        <v>0.117016995794263</v>
      </c>
      <c r="AC7" s="801" cm="1">
        <f t="array" aca="1" ref="AC7" ca="1">INDIRECT($B7&amp;"!AH158")</f>
        <v>4.5567032442403796</v>
      </c>
      <c r="AD7" s="799" cm="1">
        <f t="array" aca="1" ref="AD7" ca="1">INDIRECT($B7&amp;"!AI158")</f>
        <v>4.0234237287679303E-2</v>
      </c>
      <c r="AE7" s="799" cm="1">
        <f t="array" aca="1" ref="AE7" ca="1">INDIRECT($B7&amp;"!AJ158")</f>
        <v>0.39204858363043399</v>
      </c>
      <c r="AG7" s="783">
        <f t="shared" ca="1" si="1"/>
        <v>539485.22000000044</v>
      </c>
      <c r="AH7" s="801" cm="1">
        <f t="array" aca="1" ref="AH7" ca="1">INDIRECT($B7&amp;"!H43")</f>
        <v>512343.26</v>
      </c>
      <c r="AI7" s="783">
        <f t="shared" ca="1" si="2"/>
        <v>107117.70000000006</v>
      </c>
      <c r="AJ7" s="783">
        <f t="shared" ca="1" si="3"/>
        <v>312504.40999999992</v>
      </c>
      <c r="AK7" s="801" cm="1">
        <f t="array" aca="1" ref="AK7" ca="1">INDIRECT($B7&amp;"!H56")</f>
        <v>586043.23</v>
      </c>
      <c r="AL7" s="783">
        <f t="shared" ca="1" si="4"/>
        <v>349286.12000000023</v>
      </c>
      <c r="AM7" s="783">
        <f t="shared" ca="1" si="5"/>
        <v>182939.64000000025</v>
      </c>
      <c r="AN7" s="783">
        <f t="shared" ca="1" si="6"/>
        <v>152925.72000000003</v>
      </c>
      <c r="AO7" s="783">
        <f t="shared" ca="1" si="7"/>
        <v>132997.87000000043</v>
      </c>
      <c r="AP7" s="783">
        <f t="shared" ca="1" si="8"/>
        <v>249427.88</v>
      </c>
      <c r="AQ7" s="783">
        <f t="shared" ca="1" si="9"/>
        <v>45728.98000000004</v>
      </c>
      <c r="AR7" s="783">
        <f t="shared" ca="1" si="10"/>
        <v>445590.19999999955</v>
      </c>
      <c r="AS7" s="802" cm="1">
        <f t="array" aca="1" ref="AS7" ca="1">INDIRECT($B7&amp;"!H6")</f>
        <v>10261</v>
      </c>
      <c r="AT7" s="802" cm="1">
        <f t="array" aca="1" ref="AT7" ca="1">INDIRECT($B7&amp;"!H7")</f>
        <v>2307.5</v>
      </c>
      <c r="AU7" s="811" cm="1">
        <f t="array" aca="1" ref="AU7" ca="1">INDIRECT($B7&amp;"!H5")/$AU$1</f>
        <v>342.03333333333336</v>
      </c>
      <c r="AV7" s="811"/>
      <c r="AW7" s="803" cm="1">
        <f t="array" aca="1" ref="AW7" ca="1">INDIRECT($B7&amp;"!H23")</f>
        <v>-138945.96</v>
      </c>
      <c r="AX7" s="803" cm="1">
        <f t="array" aca="1" ref="AX7" ca="1">INDIRECT($B7&amp;"!M23")</f>
        <v>-138945.96</v>
      </c>
      <c r="AY7" s="803"/>
      <c r="AZ7" s="803" cm="1">
        <f t="array" aca="1" ref="AZ7" ca="1">INDIRECT(B7&amp;"!H111")</f>
        <v>29490.46</v>
      </c>
      <c r="BA7" s="803" cm="1">
        <f t="array" aca="1" ref="BA7" ca="1">INDIRECT(B7&amp;"!H129")</f>
        <v>59071.98</v>
      </c>
      <c r="BB7" s="803" cm="1">
        <f t="array" aca="1" ref="BB7" ca="1">INDIRECT(B7&amp;"!M111")</f>
        <v>29490.46</v>
      </c>
      <c r="BC7" s="803" cm="1">
        <f t="array" aca="1" ref="BC7" ca="1">INDIRECT(B7&amp;"!M129")</f>
        <v>59071.98</v>
      </c>
      <c r="BD7" s="803"/>
      <c r="BE7" s="803" cm="1">
        <f t="array" aca="1" ref="BE7" ca="1">INDIRECT($B7&amp;"!H75")</f>
        <v>36757.129999999997</v>
      </c>
      <c r="BF7" s="803" cm="1">
        <f t="array" aca="1" ref="BF7" ca="1">INDIRECT($B7&amp;"!I75")</f>
        <v>19479.43</v>
      </c>
      <c r="BG7" s="803" cm="1">
        <f t="array" aca="1" ref="BG7" ca="1">INDIRECT($B7&amp;"!M75")</f>
        <v>36757.129999999997</v>
      </c>
      <c r="BH7" s="803" cm="1">
        <f t="array" aca="1" ref="BH7" ca="1">INDIRECT($B7&amp;"!N75")</f>
        <v>19479.43</v>
      </c>
      <c r="BI7" s="803"/>
      <c r="BJ7" s="803" cm="1">
        <f t="array" aca="1" ref="BJ7" ca="1">INDIRECT($B7&amp;"!H148")</f>
        <v>-29581.52</v>
      </c>
      <c r="BK7" s="803" cm="1">
        <f t="array" aca="1" ref="BK7" ca="1">INDIRECT($B7&amp;"!M148")</f>
        <v>-29581.52</v>
      </c>
      <c r="BL7" s="803" cm="1">
        <f t="array" aca="1" ref="BL7" ca="1">INDIRECT($B7&amp;"!H132")</f>
        <v>-734409.49</v>
      </c>
      <c r="BM7" s="803" cm="1">
        <f t="array" aca="1" ref="BM7" ca="1">INDIRECT($B7&amp;"!M132")</f>
        <v>-734409.49</v>
      </c>
      <c r="BN7" s="803" cm="1">
        <f t="array" aca="1" ref="BN7" ca="1">INDIRECT($B7&amp;"!I132")</f>
        <v>-869297</v>
      </c>
      <c r="BO7" s="803" cm="1">
        <f t="array" aca="1" ref="BO7" ca="1">INDIRECT($B7&amp;"!N132")</f>
        <v>-869297</v>
      </c>
      <c r="BP7" s="803" cm="1">
        <f t="array" aca="1" ref="BP7" ca="1">INDIRECT($B7&amp;"!K132")</f>
        <v>-968109.48</v>
      </c>
      <c r="BQ7" s="803" cm="1">
        <f t="array" aca="1" ref="BQ7" ca="1">INDIRECT($B7&amp;"!P132")</f>
        <v>-968109.48</v>
      </c>
      <c r="BR7" s="803" cm="1">
        <f t="array" aca="1" ref="BR7" ca="1">INDIRECT($B7&amp;"!H128")</f>
        <v>550478.72</v>
      </c>
      <c r="BS7" s="803" cm="1">
        <f t="array" aca="1" ref="BS7" ca="1">INDIRECT($B7&amp;"!M128")</f>
        <v>550478.72</v>
      </c>
      <c r="BT7" s="803" cm="1">
        <f t="array" aca="1" ref="BT7" ca="1">INDIRECT($B7&amp;"!K128")</f>
        <v>554893.18000000005</v>
      </c>
      <c r="BU7" s="803" cm="1">
        <f t="array" aca="1" ref="BU7" ca="1">INDIRECT($B7&amp;"!P128")</f>
        <v>554893.18000000005</v>
      </c>
      <c r="BV7" s="803"/>
      <c r="BW7" s="803" cm="1">
        <f t="array" aca="1" ref="BW7" ca="1">INDIRECT($B7&amp;"!H123")</f>
        <v>0</v>
      </c>
      <c r="BX7" s="803" cm="1">
        <f t="array" aca="1" ref="BX7" ca="1">INDIRECT($B7&amp;"!M123")</f>
        <v>0</v>
      </c>
      <c r="BY7" s="803" cm="1">
        <f t="array" aca="1" ref="BY7" ca="1">INDIRECT($B7&amp;"!R123")</f>
        <v>0</v>
      </c>
      <c r="BZ7" s="803" cm="1">
        <f t="array" aca="1" ref="BZ7" ca="1">INDIRECT($B7&amp;"!H119")</f>
        <v>0</v>
      </c>
      <c r="CA7" s="803" cm="1">
        <f t="array" aca="1" ref="CA7" ca="1">INDIRECT($B7&amp;"!M119")</f>
        <v>0</v>
      </c>
      <c r="CC7" s="803" cm="1">
        <f t="array" aca="1" ref="CC7" ca="1">INDIRECT($B7&amp;"!AK158")</f>
        <v>0</v>
      </c>
      <c r="CD7" s="803" cm="1">
        <f t="array" aca="1" ref="CD7" ca="1">INDIRECT($B7&amp;"!AK159")</f>
        <v>0</v>
      </c>
    </row>
    <row r="8" spans="1:82" ht="16.399999999999999" customHeight="1">
      <c r="E8" s="803"/>
      <c r="G8" s="803"/>
      <c r="J8" s="803"/>
      <c r="L8" s="803"/>
      <c r="O8" s="803"/>
      <c r="Q8" s="803"/>
      <c r="S8" s="803"/>
      <c r="T8" s="803"/>
      <c r="X8" s="803"/>
      <c r="Y8" s="803"/>
      <c r="AA8" s="803"/>
      <c r="AB8" s="803"/>
      <c r="AD8" s="803"/>
      <c r="AE8" s="803"/>
    </row>
    <row r="9" spans="1:82" ht="16.399999999999999" customHeight="1">
      <c r="E9" s="803"/>
      <c r="G9" s="803"/>
      <c r="J9" s="803"/>
      <c r="L9" s="803"/>
      <c r="O9" s="803"/>
      <c r="Q9" s="803"/>
      <c r="S9" s="803"/>
      <c r="T9" s="803"/>
      <c r="X9" s="803"/>
      <c r="Y9" s="803"/>
      <c r="AA9" s="803"/>
      <c r="AB9" s="803"/>
      <c r="AD9" s="803"/>
      <c r="AE9" s="803"/>
    </row>
    <row r="10" spans="1:82" ht="16.399999999999999" customHeight="1">
      <c r="E10" s="803"/>
      <c r="G10" s="803"/>
      <c r="J10" s="803"/>
      <c r="L10" s="803"/>
      <c r="O10" s="803"/>
      <c r="Q10" s="803"/>
      <c r="S10" s="803"/>
      <c r="T10" s="803"/>
      <c r="X10" s="803"/>
      <c r="Y10" s="803"/>
      <c r="AA10" s="803"/>
      <c r="AB10" s="803"/>
      <c r="AD10" s="803"/>
      <c r="AE10" s="803"/>
    </row>
    <row r="11" spans="1:82" ht="16.399999999999999" customHeight="1">
      <c r="E11" s="803"/>
      <c r="G11" s="803"/>
      <c r="J11" s="803"/>
      <c r="L11" s="803"/>
      <c r="O11" s="803"/>
      <c r="Q11" s="803"/>
      <c r="S11" s="803"/>
      <c r="T11" s="803"/>
      <c r="X11" s="803"/>
      <c r="Y11" s="803"/>
      <c r="AA11" s="803"/>
      <c r="AB11" s="803"/>
      <c r="AD11" s="803"/>
      <c r="AE11" s="803"/>
    </row>
    <row r="12" spans="1:82" ht="16.399999999999999" customHeight="1">
      <c r="E12" s="803"/>
      <c r="G12" s="803"/>
      <c r="J12" s="803"/>
      <c r="L12" s="803"/>
      <c r="O12" s="803"/>
      <c r="Q12" s="803"/>
      <c r="S12" s="803"/>
      <c r="T12" s="803"/>
      <c r="X12" s="803"/>
      <c r="Y12" s="803"/>
      <c r="AA12" s="803"/>
      <c r="AB12" s="803"/>
      <c r="AD12" s="803"/>
      <c r="AE12" s="803"/>
    </row>
    <row r="13" spans="1:82" ht="16.399999999999999" customHeight="1">
      <c r="E13" s="803"/>
      <c r="G13" s="803"/>
      <c r="J13" s="803"/>
      <c r="L13" s="803"/>
      <c r="O13" s="803"/>
      <c r="Q13" s="803"/>
      <c r="S13" s="803"/>
      <c r="T13" s="803"/>
      <c r="X13" s="803"/>
      <c r="Y13" s="803"/>
      <c r="AA13" s="803"/>
      <c r="AB13" s="803"/>
      <c r="AD13" s="803"/>
      <c r="AE13" s="803"/>
    </row>
    <row r="14" spans="1:82" ht="16.399999999999999" customHeight="1">
      <c r="E14" s="803"/>
      <c r="G14" s="803"/>
      <c r="J14" s="803"/>
      <c r="L14" s="803"/>
      <c r="O14" s="803"/>
      <c r="Q14" s="803"/>
      <c r="S14" s="803"/>
      <c r="T14" s="803"/>
      <c r="X14" s="803"/>
      <c r="Y14" s="803"/>
      <c r="AA14" s="803"/>
      <c r="AB14" s="803"/>
      <c r="AD14" s="803"/>
      <c r="AE14" s="803"/>
    </row>
    <row r="15" spans="1:82" ht="16.399999999999999" customHeight="1">
      <c r="E15" s="803"/>
      <c r="G15" s="803"/>
      <c r="J15" s="803"/>
      <c r="L15" s="803"/>
      <c r="O15" s="803"/>
      <c r="Q15" s="803"/>
      <c r="S15" s="803"/>
      <c r="T15" s="803"/>
      <c r="X15" s="803"/>
      <c r="Y15" s="803"/>
      <c r="AA15" s="803"/>
      <c r="AB15" s="803"/>
      <c r="AD15" s="803"/>
      <c r="AE15" s="803"/>
    </row>
    <row r="16" spans="1:82" ht="16.399999999999999" customHeight="1">
      <c r="E16" s="803"/>
      <c r="G16" s="803"/>
      <c r="J16" s="803"/>
      <c r="L16" s="803"/>
      <c r="O16" s="803"/>
      <c r="Q16" s="803"/>
      <c r="S16" s="803"/>
      <c r="T16" s="803"/>
      <c r="X16" s="803"/>
      <c r="Y16" s="803"/>
      <c r="AA16" s="803"/>
      <c r="AB16" s="803"/>
      <c r="AD16" s="803"/>
      <c r="AE16" s="803"/>
    </row>
    <row r="17" spans="5:31" ht="16.399999999999999" customHeight="1">
      <c r="E17" s="803"/>
      <c r="G17" s="803"/>
      <c r="J17" s="803"/>
      <c r="L17" s="803"/>
      <c r="O17" s="803"/>
      <c r="Q17" s="803"/>
      <c r="S17" s="803"/>
      <c r="T17" s="803"/>
      <c r="X17" s="803"/>
      <c r="Y17" s="803"/>
      <c r="AA17" s="803"/>
      <c r="AB17" s="803"/>
      <c r="AD17" s="803"/>
      <c r="AE17" s="803"/>
    </row>
    <row r="18" spans="5:31" ht="16.399999999999999" customHeight="1">
      <c r="E18" s="803"/>
      <c r="G18" s="803"/>
      <c r="J18" s="803"/>
      <c r="L18" s="803"/>
      <c r="O18" s="803"/>
      <c r="Q18" s="803"/>
      <c r="S18" s="803"/>
      <c r="T18" s="803"/>
      <c r="X18" s="803"/>
      <c r="Y18" s="803"/>
      <c r="AA18" s="803"/>
      <c r="AB18" s="803"/>
      <c r="AD18" s="803"/>
      <c r="AE18" s="803"/>
    </row>
    <row r="19" spans="5:31" ht="16.399999999999999" customHeight="1">
      <c r="E19" s="803"/>
      <c r="G19" s="803"/>
      <c r="J19" s="803"/>
      <c r="L19" s="803"/>
      <c r="O19" s="803"/>
      <c r="Q19" s="803"/>
      <c r="S19" s="803"/>
      <c r="T19" s="803"/>
      <c r="X19" s="803"/>
      <c r="Y19" s="803"/>
      <c r="AA19" s="803"/>
      <c r="AB19" s="803"/>
      <c r="AD19" s="803"/>
      <c r="AE19" s="803"/>
    </row>
    <row r="20" spans="5:31" ht="16.399999999999999" customHeight="1">
      <c r="E20" s="803"/>
      <c r="G20" s="803"/>
      <c r="J20" s="803"/>
      <c r="L20" s="803"/>
      <c r="O20" s="803"/>
      <c r="Q20" s="803"/>
      <c r="S20" s="803"/>
      <c r="T20" s="803"/>
      <c r="X20" s="803"/>
      <c r="Y20" s="803"/>
      <c r="AA20" s="803"/>
      <c r="AB20" s="803"/>
      <c r="AD20" s="803"/>
      <c r="AE20" s="803"/>
    </row>
    <row r="21" spans="5:31" ht="16.399999999999999" customHeight="1">
      <c r="E21" s="803"/>
      <c r="G21" s="803"/>
      <c r="J21" s="803"/>
      <c r="L21" s="803"/>
      <c r="O21" s="803"/>
      <c r="Q21" s="803"/>
      <c r="S21" s="803"/>
      <c r="T21" s="803"/>
      <c r="X21" s="803"/>
      <c r="Y21" s="803"/>
      <c r="AA21" s="803"/>
      <c r="AB21" s="803"/>
      <c r="AD21" s="803"/>
      <c r="AE21" s="803"/>
    </row>
    <row r="22" spans="5:31" ht="16.399999999999999" customHeight="1">
      <c r="E22" s="803"/>
      <c r="G22" s="803"/>
      <c r="J22" s="803"/>
      <c r="L22" s="803"/>
      <c r="O22" s="803"/>
      <c r="Q22" s="803"/>
      <c r="S22" s="803"/>
      <c r="T22" s="803"/>
      <c r="X22" s="803"/>
      <c r="Y22" s="803"/>
      <c r="AA22" s="803"/>
      <c r="AB22" s="803"/>
      <c r="AD22" s="803"/>
      <c r="AE22" s="803"/>
    </row>
    <row r="23" spans="5:31" ht="16.399999999999999" customHeight="1">
      <c r="E23" s="803"/>
      <c r="G23" s="803"/>
      <c r="J23" s="803"/>
      <c r="L23" s="803"/>
      <c r="O23" s="803"/>
      <c r="Q23" s="803"/>
      <c r="S23" s="803"/>
      <c r="T23" s="803"/>
      <c r="X23" s="803"/>
      <c r="Y23" s="803"/>
      <c r="AA23" s="803"/>
      <c r="AB23" s="803"/>
      <c r="AD23" s="803"/>
      <c r="AE23" s="803"/>
    </row>
    <row r="24" spans="5:31" ht="16.399999999999999" customHeight="1">
      <c r="E24" s="803"/>
      <c r="G24" s="803"/>
      <c r="J24" s="803"/>
      <c r="L24" s="803"/>
      <c r="O24" s="803"/>
      <c r="Q24" s="803"/>
      <c r="S24" s="803"/>
      <c r="T24" s="803"/>
      <c r="X24" s="803"/>
      <c r="Y24" s="803"/>
      <c r="AA24" s="803"/>
      <c r="AB24" s="803"/>
      <c r="AD24" s="803"/>
      <c r="AE24" s="803"/>
    </row>
    <row r="25" spans="5:31" ht="16.399999999999999" customHeight="1">
      <c r="E25" s="803"/>
      <c r="G25" s="803"/>
      <c r="J25" s="803"/>
      <c r="L25" s="803"/>
      <c r="O25" s="803"/>
      <c r="Q25" s="803"/>
      <c r="S25" s="803"/>
      <c r="T25" s="803"/>
      <c r="X25" s="803"/>
      <c r="Y25" s="803"/>
      <c r="AA25" s="803"/>
      <c r="AB25" s="803"/>
      <c r="AD25" s="803"/>
      <c r="AE25" s="803"/>
    </row>
    <row r="26" spans="5:31" ht="16.399999999999999" customHeight="1">
      <c r="E26" s="803"/>
      <c r="G26" s="803"/>
      <c r="J26" s="803"/>
      <c r="L26" s="803"/>
      <c r="O26" s="803"/>
      <c r="Q26" s="803"/>
      <c r="S26" s="803"/>
      <c r="T26" s="803"/>
      <c r="X26" s="803"/>
      <c r="Y26" s="803"/>
      <c r="AA26" s="803"/>
      <c r="AB26" s="803"/>
      <c r="AD26" s="803"/>
      <c r="AE26" s="803"/>
    </row>
    <row r="27" spans="5:31" ht="16.399999999999999" customHeight="1">
      <c r="E27" s="803"/>
      <c r="G27" s="803"/>
      <c r="J27" s="803"/>
      <c r="L27" s="803"/>
      <c r="O27" s="803"/>
      <c r="Q27" s="803"/>
      <c r="S27" s="803"/>
      <c r="T27" s="803"/>
      <c r="X27" s="803"/>
      <c r="Y27" s="803"/>
      <c r="AA27" s="803"/>
      <c r="AB27" s="803"/>
      <c r="AD27" s="803"/>
      <c r="AE27" s="803"/>
    </row>
    <row r="28" spans="5:31" ht="16.399999999999999" customHeight="1">
      <c r="E28" s="803"/>
      <c r="G28" s="803"/>
      <c r="J28" s="803"/>
      <c r="L28" s="803"/>
      <c r="O28" s="803"/>
      <c r="Q28" s="803"/>
      <c r="S28" s="803"/>
      <c r="T28" s="803"/>
      <c r="X28" s="803"/>
      <c r="Y28" s="803"/>
      <c r="AA28" s="803"/>
      <c r="AB28" s="803"/>
      <c r="AD28" s="803"/>
      <c r="AE28" s="803"/>
    </row>
    <row r="29" spans="5:31" ht="16.399999999999999" customHeight="1">
      <c r="E29" s="803"/>
      <c r="G29" s="803"/>
      <c r="J29" s="803"/>
      <c r="L29" s="803"/>
      <c r="O29" s="803"/>
      <c r="Q29" s="803"/>
      <c r="S29" s="803"/>
      <c r="T29" s="803"/>
      <c r="X29" s="803"/>
      <c r="Y29" s="803"/>
      <c r="AA29" s="803"/>
      <c r="AB29" s="803"/>
      <c r="AD29" s="803"/>
      <c r="AE29" s="803"/>
    </row>
    <row r="30" spans="5:31" ht="16.399999999999999" customHeight="1">
      <c r="E30" s="803"/>
      <c r="G30" s="803"/>
      <c r="J30" s="803"/>
      <c r="L30" s="803"/>
      <c r="O30" s="803"/>
      <c r="Q30" s="803"/>
      <c r="S30" s="803"/>
      <c r="T30" s="803"/>
      <c r="X30" s="803"/>
      <c r="Y30" s="803"/>
      <c r="AA30" s="803"/>
      <c r="AB30" s="803"/>
      <c r="AD30" s="803"/>
      <c r="AE30" s="803"/>
    </row>
    <row r="31" spans="5:31" ht="16.399999999999999" customHeight="1">
      <c r="E31" s="803"/>
      <c r="G31" s="803"/>
      <c r="J31" s="803"/>
      <c r="L31" s="803"/>
      <c r="O31" s="803"/>
      <c r="Q31" s="803"/>
      <c r="S31" s="803"/>
      <c r="T31" s="803"/>
      <c r="X31" s="803"/>
      <c r="Y31" s="803"/>
      <c r="AA31" s="803"/>
      <c r="AB31" s="803"/>
      <c r="AD31" s="803"/>
      <c r="AE31" s="803"/>
    </row>
    <row r="32" spans="5:31" ht="16.399999999999999" customHeight="1">
      <c r="E32" s="803"/>
      <c r="G32" s="803"/>
      <c r="J32" s="803"/>
      <c r="L32" s="803"/>
      <c r="O32" s="803"/>
      <c r="Q32" s="803"/>
      <c r="S32" s="803"/>
      <c r="T32" s="803"/>
      <c r="X32" s="803"/>
      <c r="Y32" s="803"/>
      <c r="AA32" s="803"/>
      <c r="AB32" s="803"/>
      <c r="AD32" s="803"/>
      <c r="AE32" s="803"/>
    </row>
    <row r="33" spans="5:31" ht="16.399999999999999" customHeight="1">
      <c r="E33" s="803"/>
      <c r="G33" s="803"/>
      <c r="J33" s="803"/>
      <c r="L33" s="803"/>
      <c r="O33" s="803"/>
      <c r="Q33" s="803"/>
      <c r="S33" s="803"/>
      <c r="T33" s="803"/>
      <c r="X33" s="803"/>
      <c r="Y33" s="803"/>
      <c r="AA33" s="803"/>
      <c r="AB33" s="803"/>
      <c r="AD33" s="803"/>
      <c r="AE33" s="803"/>
    </row>
    <row r="34" spans="5:31" ht="16.399999999999999" customHeight="1">
      <c r="E34" s="803"/>
      <c r="G34" s="803"/>
      <c r="J34" s="803"/>
      <c r="L34" s="803"/>
      <c r="O34" s="803"/>
      <c r="Q34" s="803"/>
      <c r="S34" s="803"/>
      <c r="T34" s="803"/>
      <c r="X34" s="803"/>
      <c r="Y34" s="803"/>
      <c r="AA34" s="803"/>
      <c r="AB34" s="803"/>
      <c r="AD34" s="803"/>
      <c r="AE34" s="803"/>
    </row>
    <row r="35" spans="5:31" ht="16.399999999999999" customHeight="1">
      <c r="E35" s="803"/>
      <c r="G35" s="803"/>
      <c r="J35" s="803"/>
      <c r="L35" s="803"/>
      <c r="O35" s="803"/>
      <c r="Q35" s="803"/>
      <c r="S35" s="803"/>
      <c r="T35" s="803"/>
      <c r="X35" s="803"/>
      <c r="Y35" s="803"/>
      <c r="AA35" s="803"/>
      <c r="AB35" s="803"/>
      <c r="AD35" s="803"/>
      <c r="AE35" s="803"/>
    </row>
    <row r="36" spans="5:31" ht="16.399999999999999" customHeight="1">
      <c r="E36" s="803"/>
      <c r="G36" s="803"/>
      <c r="J36" s="803"/>
      <c r="L36" s="803"/>
      <c r="O36" s="803"/>
      <c r="Q36" s="803"/>
      <c r="S36" s="803"/>
      <c r="T36" s="803"/>
      <c r="X36" s="803"/>
      <c r="Y36" s="803"/>
      <c r="AA36" s="803"/>
      <c r="AB36" s="803"/>
      <c r="AD36" s="803"/>
      <c r="AE36" s="803"/>
    </row>
    <row r="37" spans="5:31" ht="16.399999999999999" customHeight="1">
      <c r="E37" s="803"/>
      <c r="G37" s="803"/>
      <c r="J37" s="803"/>
      <c r="L37" s="803"/>
      <c r="O37" s="803"/>
      <c r="Q37" s="803"/>
      <c r="S37" s="803"/>
      <c r="T37" s="803"/>
      <c r="X37" s="803"/>
      <c r="Y37" s="803"/>
      <c r="AA37" s="803"/>
      <c r="AB37" s="803"/>
      <c r="AD37" s="803"/>
      <c r="AE37" s="803"/>
    </row>
    <row r="38" spans="5:31" ht="16.399999999999999" customHeight="1">
      <c r="E38" s="803"/>
      <c r="G38" s="803"/>
      <c r="J38" s="803"/>
      <c r="L38" s="803"/>
      <c r="O38" s="803"/>
      <c r="Q38" s="803"/>
      <c r="S38" s="803"/>
      <c r="T38" s="803"/>
      <c r="X38" s="803"/>
      <c r="Y38" s="803"/>
      <c r="AA38" s="803"/>
      <c r="AB38" s="803"/>
      <c r="AD38" s="803"/>
      <c r="AE38" s="803"/>
    </row>
    <row r="39" spans="5:31" ht="16.399999999999999" customHeight="1">
      <c r="E39" s="803"/>
      <c r="G39" s="803"/>
      <c r="J39" s="803"/>
      <c r="L39" s="803"/>
      <c r="O39" s="803"/>
      <c r="Q39" s="803"/>
      <c r="S39" s="803"/>
      <c r="T39" s="803"/>
      <c r="X39" s="803"/>
      <c r="Y39" s="803"/>
      <c r="AA39" s="803"/>
      <c r="AB39" s="803"/>
      <c r="AD39" s="803"/>
      <c r="AE39" s="803"/>
    </row>
    <row r="40" spans="5:31" ht="16.399999999999999" customHeight="1">
      <c r="E40" s="803"/>
      <c r="G40" s="803"/>
      <c r="J40" s="803"/>
      <c r="L40" s="803"/>
      <c r="O40" s="803"/>
      <c r="Q40" s="803"/>
      <c r="S40" s="803"/>
      <c r="T40" s="803"/>
      <c r="X40" s="803"/>
      <c r="Y40" s="803"/>
      <c r="AA40" s="803"/>
      <c r="AB40" s="803"/>
      <c r="AD40" s="803"/>
      <c r="AE40" s="803"/>
    </row>
    <row r="41" spans="5:31" ht="16.399999999999999" customHeight="1">
      <c r="E41" s="803"/>
      <c r="G41" s="803"/>
      <c r="J41" s="803"/>
      <c r="L41" s="803"/>
      <c r="O41" s="803"/>
      <c r="Q41" s="803"/>
      <c r="S41" s="803"/>
      <c r="T41" s="803"/>
      <c r="X41" s="803"/>
      <c r="Y41" s="803"/>
      <c r="AA41" s="803"/>
      <c r="AB41" s="803"/>
      <c r="AD41" s="803"/>
      <c r="AE41" s="803"/>
    </row>
    <row r="42" spans="5:31" ht="16.399999999999999" customHeight="1">
      <c r="E42" s="803"/>
      <c r="G42" s="803"/>
      <c r="J42" s="803"/>
      <c r="L42" s="803"/>
      <c r="O42" s="803"/>
      <c r="Q42" s="803"/>
      <c r="S42" s="803"/>
      <c r="T42" s="803"/>
      <c r="X42" s="803"/>
      <c r="Y42" s="803"/>
      <c r="AA42" s="803"/>
      <c r="AB42" s="803"/>
      <c r="AD42" s="803"/>
      <c r="AE42" s="803"/>
    </row>
    <row r="43" spans="5:31" ht="16.399999999999999" customHeight="1">
      <c r="E43" s="803"/>
      <c r="G43" s="803"/>
      <c r="J43" s="803"/>
      <c r="L43" s="803"/>
      <c r="O43" s="803"/>
      <c r="Q43" s="803"/>
      <c r="S43" s="803"/>
      <c r="T43" s="803"/>
      <c r="X43" s="803"/>
      <c r="Y43" s="803"/>
      <c r="AA43" s="803"/>
      <c r="AB43" s="803"/>
      <c r="AD43" s="803"/>
      <c r="AE43" s="803"/>
    </row>
    <row r="44" spans="5:31" ht="16.399999999999999" customHeight="1">
      <c r="E44" s="803"/>
      <c r="G44" s="803"/>
      <c r="J44" s="803"/>
      <c r="L44" s="803"/>
      <c r="O44" s="803"/>
      <c r="Q44" s="803"/>
      <c r="S44" s="803"/>
      <c r="T44" s="803"/>
      <c r="X44" s="803"/>
      <c r="Y44" s="803"/>
      <c r="AA44" s="803"/>
      <c r="AB44" s="803"/>
      <c r="AD44" s="803"/>
      <c r="AE44" s="803"/>
    </row>
    <row r="45" spans="5:31" ht="16.399999999999999" customHeight="1">
      <c r="E45" s="803"/>
      <c r="G45" s="803"/>
      <c r="J45" s="803"/>
      <c r="L45" s="803"/>
      <c r="O45" s="803"/>
      <c r="Q45" s="803"/>
      <c r="S45" s="803"/>
      <c r="T45" s="803"/>
      <c r="X45" s="803"/>
      <c r="Y45" s="803"/>
      <c r="AA45" s="803"/>
      <c r="AB45" s="803"/>
      <c r="AD45" s="803"/>
      <c r="AE45" s="803"/>
    </row>
    <row r="46" spans="5:31" ht="16.399999999999999" customHeight="1">
      <c r="E46" s="803"/>
      <c r="G46" s="803"/>
      <c r="J46" s="803"/>
      <c r="L46" s="803"/>
      <c r="O46" s="803"/>
      <c r="Q46" s="803"/>
      <c r="S46" s="803"/>
      <c r="T46" s="803"/>
      <c r="X46" s="803"/>
      <c r="Y46" s="803"/>
      <c r="AA46" s="803"/>
      <c r="AB46" s="803"/>
      <c r="AD46" s="803"/>
      <c r="AE46" s="803"/>
    </row>
    <row r="47" spans="5:31" ht="16.399999999999999" customHeight="1">
      <c r="E47" s="803"/>
      <c r="G47" s="803"/>
      <c r="J47" s="803"/>
      <c r="L47" s="803"/>
      <c r="O47" s="803"/>
      <c r="Q47" s="803"/>
      <c r="S47" s="803"/>
      <c r="T47" s="803"/>
      <c r="X47" s="803"/>
      <c r="Y47" s="803"/>
      <c r="AA47" s="803"/>
      <c r="AB47" s="803"/>
      <c r="AD47" s="803"/>
      <c r="AE47" s="803"/>
    </row>
    <row r="48" spans="5:31" ht="16.399999999999999" customHeight="1">
      <c r="E48" s="803"/>
      <c r="G48" s="803"/>
      <c r="J48" s="803"/>
      <c r="L48" s="803"/>
      <c r="O48" s="803"/>
      <c r="Q48" s="803"/>
      <c r="S48" s="803"/>
      <c r="T48" s="803"/>
      <c r="X48" s="803"/>
      <c r="Y48" s="803"/>
      <c r="AA48" s="803"/>
      <c r="AB48" s="803"/>
      <c r="AD48" s="803"/>
      <c r="AE48" s="803"/>
    </row>
    <row r="49" spans="5:31" ht="16.399999999999999" customHeight="1">
      <c r="E49" s="803"/>
      <c r="G49" s="803"/>
      <c r="J49" s="803"/>
      <c r="L49" s="803"/>
      <c r="O49" s="803"/>
      <c r="Q49" s="803"/>
      <c r="S49" s="803"/>
      <c r="T49" s="803"/>
      <c r="X49" s="803"/>
      <c r="Y49" s="803"/>
      <c r="AA49" s="803"/>
      <c r="AB49" s="803"/>
      <c r="AD49" s="803"/>
      <c r="AE49" s="803"/>
    </row>
    <row r="50" spans="5:31" ht="16.399999999999999" customHeight="1">
      <c r="E50" s="803"/>
      <c r="G50" s="803"/>
      <c r="J50" s="803"/>
      <c r="L50" s="803"/>
      <c r="O50" s="803"/>
      <c r="Q50" s="803"/>
      <c r="S50" s="803"/>
      <c r="T50" s="803"/>
      <c r="X50" s="803"/>
      <c r="Y50" s="803"/>
      <c r="AA50" s="803"/>
      <c r="AB50" s="803"/>
      <c r="AD50" s="803"/>
      <c r="AE50" s="803"/>
    </row>
    <row r="51" spans="5:31" ht="16.399999999999999" customHeight="1">
      <c r="E51" s="803"/>
      <c r="G51" s="803"/>
      <c r="J51" s="803"/>
      <c r="L51" s="803"/>
      <c r="O51" s="803"/>
      <c r="Q51" s="803"/>
      <c r="S51" s="803"/>
      <c r="T51" s="803"/>
      <c r="X51" s="803"/>
      <c r="Y51" s="803"/>
      <c r="AA51" s="803"/>
      <c r="AB51" s="803"/>
      <c r="AD51" s="803"/>
      <c r="AE51" s="803"/>
    </row>
    <row r="52" spans="5:31" ht="16.399999999999999" customHeight="1">
      <c r="E52" s="803"/>
      <c r="G52" s="803"/>
      <c r="J52" s="803"/>
      <c r="L52" s="803"/>
      <c r="O52" s="803"/>
      <c r="Q52" s="803"/>
      <c r="S52" s="803"/>
      <c r="T52" s="803"/>
      <c r="X52" s="803"/>
      <c r="Y52" s="803"/>
      <c r="AA52" s="803"/>
      <c r="AB52" s="803"/>
      <c r="AD52" s="803"/>
      <c r="AE52" s="803"/>
    </row>
    <row r="53" spans="5:31" ht="16.399999999999999" customHeight="1">
      <c r="E53" s="803"/>
      <c r="G53" s="803"/>
      <c r="J53" s="803"/>
      <c r="L53" s="803"/>
      <c r="O53" s="803"/>
      <c r="Q53" s="803"/>
      <c r="S53" s="803"/>
      <c r="T53" s="803"/>
      <c r="X53" s="803"/>
      <c r="Y53" s="803"/>
      <c r="AA53" s="803"/>
      <c r="AB53" s="803"/>
      <c r="AD53" s="803"/>
      <c r="AE53" s="803"/>
    </row>
    <row r="54" spans="5:31" ht="16.399999999999999" customHeight="1">
      <c r="E54" s="803"/>
      <c r="G54" s="803"/>
      <c r="J54" s="803"/>
      <c r="L54" s="803"/>
      <c r="O54" s="803"/>
      <c r="Q54" s="803"/>
      <c r="S54" s="803"/>
      <c r="T54" s="803"/>
      <c r="X54" s="803"/>
      <c r="Y54" s="803"/>
      <c r="AA54" s="803"/>
      <c r="AB54" s="803"/>
      <c r="AD54" s="803"/>
      <c r="AE54" s="803"/>
    </row>
    <row r="55" spans="5:31" ht="16.399999999999999" customHeight="1">
      <c r="E55" s="803"/>
      <c r="G55" s="803"/>
      <c r="J55" s="803"/>
      <c r="L55" s="803"/>
      <c r="O55" s="803"/>
      <c r="Q55" s="803"/>
      <c r="S55" s="803"/>
      <c r="T55" s="803"/>
      <c r="X55" s="803"/>
      <c r="Y55" s="803"/>
      <c r="AA55" s="803"/>
      <c r="AB55" s="803"/>
      <c r="AD55" s="803"/>
      <c r="AE55" s="803"/>
    </row>
    <row r="56" spans="5:31" ht="16.399999999999999" customHeight="1">
      <c r="E56" s="803"/>
      <c r="G56" s="803"/>
      <c r="J56" s="803"/>
      <c r="L56" s="803"/>
      <c r="O56" s="803"/>
      <c r="Q56" s="803"/>
      <c r="S56" s="803"/>
      <c r="T56" s="803"/>
      <c r="X56" s="803"/>
      <c r="Y56" s="803"/>
      <c r="AA56" s="803"/>
      <c r="AB56" s="803"/>
      <c r="AD56" s="803"/>
      <c r="AE56" s="803"/>
    </row>
    <row r="57" spans="5:31" ht="16.399999999999999" customHeight="1">
      <c r="E57" s="803"/>
      <c r="G57" s="803"/>
      <c r="J57" s="803"/>
      <c r="L57" s="803"/>
      <c r="O57" s="803"/>
      <c r="Q57" s="803"/>
      <c r="S57" s="803"/>
      <c r="T57" s="803"/>
      <c r="X57" s="803"/>
      <c r="Y57" s="803"/>
      <c r="AA57" s="803"/>
      <c r="AB57" s="803"/>
      <c r="AD57" s="803"/>
      <c r="AE57" s="803"/>
    </row>
    <row r="58" spans="5:31" ht="16.399999999999999" customHeight="1">
      <c r="E58" s="803"/>
      <c r="G58" s="803"/>
      <c r="J58" s="803"/>
      <c r="L58" s="803"/>
      <c r="O58" s="803"/>
      <c r="Q58" s="803"/>
      <c r="S58" s="803"/>
      <c r="T58" s="803"/>
      <c r="X58" s="803"/>
      <c r="Y58" s="803"/>
      <c r="AA58" s="803"/>
      <c r="AB58" s="803"/>
      <c r="AD58" s="803"/>
      <c r="AE58" s="803"/>
    </row>
    <row r="59" spans="5:31" ht="16.399999999999999" customHeight="1">
      <c r="E59" s="803"/>
      <c r="G59" s="803"/>
      <c r="J59" s="803"/>
      <c r="L59" s="803"/>
      <c r="O59" s="803"/>
      <c r="Q59" s="803"/>
      <c r="S59" s="803"/>
      <c r="T59" s="803"/>
      <c r="X59" s="803"/>
      <c r="Y59" s="803"/>
      <c r="AA59" s="803"/>
      <c r="AB59" s="803"/>
      <c r="AD59" s="803"/>
      <c r="AE59" s="803"/>
    </row>
    <row r="60" spans="5:31" ht="16.399999999999999" customHeight="1">
      <c r="E60" s="803"/>
      <c r="G60" s="803"/>
      <c r="J60" s="803"/>
      <c r="L60" s="803"/>
      <c r="O60" s="803"/>
      <c r="Q60" s="803"/>
      <c r="S60" s="803"/>
      <c r="T60" s="803"/>
      <c r="X60" s="803"/>
      <c r="Y60" s="803"/>
      <c r="AA60" s="803"/>
      <c r="AB60" s="803"/>
      <c r="AD60" s="803"/>
      <c r="AE60" s="803"/>
    </row>
    <row r="61" spans="5:31" ht="16.399999999999999" customHeight="1">
      <c r="E61" s="803"/>
      <c r="G61" s="803"/>
      <c r="J61" s="803"/>
      <c r="L61" s="803"/>
      <c r="O61" s="803"/>
      <c r="Q61" s="803"/>
      <c r="S61" s="803"/>
      <c r="T61" s="803"/>
      <c r="X61" s="803"/>
      <c r="Y61" s="803"/>
      <c r="AA61" s="803"/>
      <c r="AB61" s="803"/>
      <c r="AD61" s="803"/>
      <c r="AE61" s="803"/>
    </row>
    <row r="62" spans="5:31" ht="16.399999999999999" customHeight="1">
      <c r="E62" s="803"/>
      <c r="G62" s="803"/>
      <c r="J62" s="803"/>
      <c r="L62" s="803"/>
      <c r="O62" s="803"/>
      <c r="Q62" s="803"/>
      <c r="S62" s="803"/>
      <c r="T62" s="803"/>
      <c r="X62" s="803"/>
      <c r="Y62" s="803"/>
      <c r="AA62" s="803"/>
      <c r="AB62" s="803"/>
      <c r="AD62" s="803"/>
      <c r="AE62" s="803"/>
    </row>
    <row r="63" spans="5:31" ht="16.399999999999999" customHeight="1">
      <c r="E63" s="803"/>
      <c r="G63" s="803"/>
      <c r="J63" s="803"/>
      <c r="L63" s="803"/>
      <c r="O63" s="803"/>
      <c r="Q63" s="803"/>
      <c r="S63" s="803"/>
      <c r="T63" s="803"/>
      <c r="X63" s="803"/>
      <c r="Y63" s="803"/>
      <c r="AA63" s="803"/>
      <c r="AB63" s="803"/>
      <c r="AD63" s="803"/>
      <c r="AE63" s="803"/>
    </row>
    <row r="64" spans="5:31" ht="16.399999999999999" customHeight="1">
      <c r="E64" s="803"/>
      <c r="G64" s="803"/>
      <c r="J64" s="803"/>
      <c r="L64" s="803"/>
      <c r="O64" s="803"/>
      <c r="Q64" s="803"/>
      <c r="S64" s="803"/>
      <c r="T64" s="803"/>
      <c r="X64" s="803"/>
      <c r="Y64" s="803"/>
      <c r="AA64" s="803"/>
      <c r="AB64" s="803"/>
      <c r="AD64" s="803"/>
      <c r="AE64" s="803"/>
    </row>
    <row r="65" spans="5:31" ht="16.399999999999999" customHeight="1">
      <c r="E65" s="803"/>
      <c r="G65" s="803"/>
      <c r="J65" s="803"/>
      <c r="L65" s="803"/>
      <c r="O65" s="803"/>
      <c r="Q65" s="803"/>
      <c r="S65" s="803"/>
      <c r="T65" s="803"/>
      <c r="X65" s="803"/>
      <c r="Y65" s="803"/>
      <c r="AA65" s="803"/>
      <c r="AB65" s="803"/>
      <c r="AD65" s="803"/>
      <c r="AE65" s="803"/>
    </row>
    <row r="66" spans="5:31" ht="16.399999999999999" customHeight="1">
      <c r="E66" s="803"/>
      <c r="G66" s="803"/>
      <c r="J66" s="803"/>
      <c r="L66" s="803"/>
      <c r="O66" s="803"/>
      <c r="Q66" s="803"/>
      <c r="S66" s="803"/>
      <c r="T66" s="803"/>
      <c r="X66" s="803"/>
      <c r="Y66" s="803"/>
      <c r="AA66" s="803"/>
      <c r="AB66" s="803"/>
      <c r="AD66" s="803"/>
      <c r="AE66" s="803"/>
    </row>
    <row r="67" spans="5:31" ht="16.399999999999999" customHeight="1">
      <c r="E67" s="803"/>
      <c r="G67" s="803"/>
      <c r="J67" s="803"/>
      <c r="L67" s="803"/>
      <c r="O67" s="803"/>
      <c r="Q67" s="803"/>
      <c r="S67" s="803"/>
      <c r="T67" s="803"/>
      <c r="X67" s="803"/>
      <c r="Y67" s="803"/>
      <c r="AA67" s="803"/>
      <c r="AB67" s="803"/>
      <c r="AD67" s="803"/>
      <c r="AE67" s="803"/>
    </row>
    <row r="68" spans="5:31" ht="16.399999999999999" customHeight="1">
      <c r="E68" s="803"/>
      <c r="G68" s="803"/>
      <c r="J68" s="803"/>
      <c r="L68" s="803"/>
      <c r="O68" s="803"/>
      <c r="Q68" s="803"/>
      <c r="S68" s="803"/>
      <c r="T68" s="803"/>
      <c r="X68" s="803"/>
      <c r="Y68" s="803"/>
      <c r="AA68" s="803"/>
      <c r="AB68" s="803"/>
      <c r="AD68" s="803"/>
      <c r="AE68" s="803"/>
    </row>
    <row r="69" spans="5:31" ht="16.399999999999999" customHeight="1">
      <c r="E69" s="803"/>
      <c r="G69" s="803"/>
      <c r="J69" s="803"/>
      <c r="L69" s="803"/>
      <c r="O69" s="803"/>
      <c r="Q69" s="803"/>
      <c r="S69" s="803"/>
      <c r="T69" s="803"/>
      <c r="X69" s="803"/>
      <c r="Y69" s="803"/>
      <c r="AA69" s="803"/>
      <c r="AB69" s="803"/>
      <c r="AD69" s="803"/>
      <c r="AE69" s="803"/>
    </row>
    <row r="70" spans="5:31" ht="16.399999999999999" customHeight="1">
      <c r="E70" s="803"/>
      <c r="G70" s="803"/>
      <c r="J70" s="803"/>
      <c r="L70" s="803"/>
      <c r="O70" s="803"/>
      <c r="Q70" s="803"/>
      <c r="S70" s="803"/>
      <c r="T70" s="803"/>
      <c r="X70" s="803"/>
      <c r="Y70" s="803"/>
      <c r="AA70" s="803"/>
      <c r="AB70" s="803"/>
      <c r="AD70" s="803"/>
      <c r="AE70" s="803"/>
    </row>
    <row r="71" spans="5:31" ht="16.399999999999999" customHeight="1">
      <c r="E71" s="803"/>
      <c r="G71" s="803"/>
      <c r="J71" s="803"/>
      <c r="L71" s="803"/>
      <c r="O71" s="803"/>
      <c r="Q71" s="803"/>
      <c r="S71" s="803"/>
      <c r="T71" s="803"/>
      <c r="X71" s="803"/>
      <c r="Y71" s="803"/>
      <c r="AA71" s="803"/>
      <c r="AB71" s="803"/>
      <c r="AD71" s="803"/>
      <c r="AE71" s="803"/>
    </row>
    <row r="72" spans="5:31" ht="16.399999999999999" customHeight="1">
      <c r="E72" s="803"/>
      <c r="G72" s="803"/>
      <c r="J72" s="803"/>
      <c r="L72" s="803"/>
      <c r="O72" s="803"/>
      <c r="Q72" s="803"/>
      <c r="S72" s="803"/>
      <c r="T72" s="803"/>
      <c r="X72" s="803"/>
      <c r="Y72" s="803"/>
      <c r="AA72" s="803"/>
      <c r="AB72" s="803"/>
      <c r="AD72" s="803"/>
      <c r="AE72" s="803"/>
    </row>
    <row r="73" spans="5:31" ht="16.399999999999999" customHeight="1">
      <c r="E73" s="803"/>
      <c r="G73" s="803"/>
      <c r="J73" s="803"/>
      <c r="L73" s="803"/>
      <c r="O73" s="803"/>
      <c r="Q73" s="803"/>
      <c r="S73" s="803"/>
      <c r="T73" s="803"/>
      <c r="X73" s="803"/>
      <c r="Y73" s="803"/>
      <c r="AA73" s="803"/>
      <c r="AB73" s="803"/>
      <c r="AD73" s="803"/>
      <c r="AE73" s="803"/>
    </row>
    <row r="74" spans="5:31" ht="16.399999999999999" customHeight="1">
      <c r="E74" s="803"/>
      <c r="G74" s="803"/>
      <c r="J74" s="803"/>
      <c r="L74" s="803"/>
      <c r="O74" s="803"/>
      <c r="Q74" s="803"/>
      <c r="S74" s="803"/>
      <c r="T74" s="803"/>
      <c r="X74" s="803"/>
      <c r="Y74" s="803"/>
      <c r="AA74" s="803"/>
      <c r="AB74" s="803"/>
      <c r="AD74" s="803"/>
      <c r="AE74" s="803"/>
    </row>
    <row r="75" spans="5:31" ht="16.399999999999999" customHeight="1">
      <c r="E75" s="803"/>
      <c r="G75" s="803"/>
      <c r="J75" s="803"/>
      <c r="L75" s="803"/>
      <c r="O75" s="803"/>
      <c r="Q75" s="803"/>
      <c r="S75" s="803"/>
      <c r="T75" s="803"/>
      <c r="X75" s="803"/>
      <c r="Y75" s="803"/>
      <c r="AA75" s="803"/>
      <c r="AB75" s="803"/>
      <c r="AD75" s="803"/>
      <c r="AE75" s="803"/>
    </row>
    <row r="76" spans="5:31" ht="16.399999999999999" customHeight="1">
      <c r="E76" s="803"/>
      <c r="G76" s="803"/>
      <c r="J76" s="803"/>
      <c r="L76" s="803"/>
      <c r="O76" s="803"/>
      <c r="Q76" s="803"/>
      <c r="S76" s="803"/>
      <c r="T76" s="803"/>
      <c r="X76" s="803"/>
      <c r="Y76" s="803"/>
      <c r="AA76" s="803"/>
      <c r="AB76" s="803"/>
      <c r="AD76" s="803"/>
      <c r="AE76" s="803"/>
    </row>
    <row r="77" spans="5:31" ht="16.399999999999999" customHeight="1">
      <c r="E77" s="803"/>
      <c r="G77" s="803"/>
      <c r="J77" s="803"/>
      <c r="L77" s="803"/>
      <c r="O77" s="803"/>
      <c r="Q77" s="803"/>
      <c r="S77" s="803"/>
      <c r="T77" s="803"/>
      <c r="X77" s="803"/>
      <c r="Y77" s="803"/>
      <c r="AA77" s="803"/>
      <c r="AB77" s="803"/>
      <c r="AD77" s="803"/>
      <c r="AE77" s="803"/>
    </row>
    <row r="78" spans="5:31" ht="16.399999999999999" customHeight="1">
      <c r="E78" s="803"/>
      <c r="G78" s="803"/>
      <c r="J78" s="803"/>
      <c r="L78" s="803"/>
      <c r="O78" s="803"/>
      <c r="Q78" s="803"/>
      <c r="S78" s="803"/>
      <c r="T78" s="803"/>
      <c r="X78" s="803"/>
      <c r="Y78" s="803"/>
      <c r="AA78" s="803"/>
      <c r="AB78" s="803"/>
      <c r="AD78" s="803"/>
      <c r="AE78" s="803"/>
    </row>
    <row r="79" spans="5:31" ht="16.399999999999999" customHeight="1">
      <c r="E79" s="803"/>
      <c r="G79" s="803"/>
      <c r="J79" s="803"/>
      <c r="L79" s="803"/>
      <c r="O79" s="803"/>
      <c r="Q79" s="803"/>
      <c r="S79" s="803"/>
      <c r="T79" s="803"/>
      <c r="X79" s="803"/>
      <c r="Y79" s="803"/>
      <c r="AA79" s="803"/>
      <c r="AB79" s="803"/>
      <c r="AD79" s="803"/>
      <c r="AE79" s="803"/>
    </row>
    <row r="80" spans="5:31" ht="16.399999999999999" customHeight="1">
      <c r="E80" s="803"/>
      <c r="G80" s="803"/>
      <c r="J80" s="803"/>
      <c r="L80" s="803"/>
      <c r="O80" s="803"/>
      <c r="Q80" s="803"/>
      <c r="S80" s="803"/>
      <c r="T80" s="803"/>
      <c r="X80" s="803"/>
      <c r="Y80" s="803"/>
      <c r="AA80" s="803"/>
      <c r="AB80" s="803"/>
      <c r="AD80" s="803"/>
      <c r="AE80" s="803"/>
    </row>
    <row r="81" spans="5:31" ht="16.399999999999999" customHeight="1">
      <c r="E81" s="803"/>
      <c r="G81" s="803"/>
      <c r="J81" s="803"/>
      <c r="L81" s="803"/>
      <c r="O81" s="803"/>
      <c r="Q81" s="803"/>
      <c r="S81" s="803"/>
      <c r="T81" s="803"/>
      <c r="X81" s="803"/>
      <c r="Y81" s="803"/>
      <c r="AA81" s="803"/>
      <c r="AB81" s="803"/>
      <c r="AD81" s="803"/>
      <c r="AE81" s="803"/>
    </row>
    <row r="82" spans="5:31" ht="16.399999999999999" customHeight="1">
      <c r="E82" s="803"/>
      <c r="G82" s="803"/>
      <c r="J82" s="803"/>
      <c r="L82" s="803"/>
      <c r="O82" s="803"/>
      <c r="Q82" s="803"/>
      <c r="S82" s="803"/>
      <c r="T82" s="803"/>
      <c r="X82" s="803"/>
      <c r="Y82" s="803"/>
      <c r="AA82" s="803"/>
      <c r="AB82" s="803"/>
      <c r="AD82" s="803"/>
      <c r="AE82" s="803"/>
    </row>
    <row r="83" spans="5:31" ht="16.399999999999999" customHeight="1">
      <c r="E83" s="803"/>
      <c r="G83" s="803"/>
      <c r="J83" s="803"/>
      <c r="L83" s="803"/>
      <c r="O83" s="803"/>
      <c r="Q83" s="803"/>
      <c r="S83" s="803"/>
      <c r="T83" s="803"/>
      <c r="X83" s="803"/>
      <c r="Y83" s="803"/>
      <c r="AA83" s="803"/>
      <c r="AB83" s="803"/>
      <c r="AD83" s="803"/>
      <c r="AE83" s="803"/>
    </row>
    <row r="84" spans="5:31" ht="16.399999999999999" customHeight="1">
      <c r="E84" s="803"/>
      <c r="G84" s="803"/>
      <c r="J84" s="803"/>
      <c r="L84" s="803"/>
      <c r="O84" s="803"/>
      <c r="Q84" s="803"/>
      <c r="S84" s="803"/>
      <c r="T84" s="803"/>
      <c r="X84" s="803"/>
      <c r="Y84" s="803"/>
      <c r="AA84" s="803"/>
      <c r="AB84" s="803"/>
      <c r="AD84" s="803"/>
      <c r="AE84" s="803"/>
    </row>
    <row r="85" spans="5:31" ht="16.399999999999999" customHeight="1">
      <c r="E85" s="803"/>
      <c r="G85" s="803"/>
      <c r="J85" s="803"/>
      <c r="L85" s="803"/>
      <c r="O85" s="803"/>
      <c r="Q85" s="803"/>
      <c r="S85" s="803"/>
      <c r="T85" s="803"/>
      <c r="X85" s="803"/>
      <c r="Y85" s="803"/>
      <c r="AA85" s="803"/>
      <c r="AB85" s="803"/>
      <c r="AD85" s="803"/>
      <c r="AE85" s="803"/>
    </row>
    <row r="86" spans="5:31" ht="16.399999999999999" customHeight="1">
      <c r="E86" s="803"/>
      <c r="G86" s="803"/>
      <c r="J86" s="803"/>
      <c r="L86" s="803"/>
      <c r="O86" s="803"/>
      <c r="Q86" s="803"/>
      <c r="S86" s="803"/>
      <c r="T86" s="803"/>
      <c r="X86" s="803"/>
      <c r="Y86" s="803"/>
      <c r="AA86" s="803"/>
      <c r="AB86" s="803"/>
      <c r="AD86" s="803"/>
      <c r="AE86" s="803"/>
    </row>
    <row r="87" spans="5:31" ht="16.399999999999999" customHeight="1">
      <c r="E87" s="803"/>
      <c r="G87" s="803"/>
      <c r="J87" s="803"/>
      <c r="L87" s="803"/>
      <c r="O87" s="803"/>
      <c r="Q87" s="803"/>
      <c r="S87" s="803"/>
      <c r="T87" s="803"/>
      <c r="X87" s="803"/>
      <c r="Y87" s="803"/>
      <c r="AA87" s="803"/>
      <c r="AB87" s="803"/>
      <c r="AD87" s="803"/>
      <c r="AE87" s="803"/>
    </row>
    <row r="88" spans="5:31" ht="16.399999999999999" customHeight="1">
      <c r="E88" s="803"/>
      <c r="G88" s="803"/>
      <c r="J88" s="803"/>
      <c r="L88" s="803"/>
      <c r="O88" s="803"/>
      <c r="Q88" s="803"/>
      <c r="S88" s="803"/>
      <c r="T88" s="803"/>
      <c r="X88" s="803"/>
      <c r="Y88" s="803"/>
      <c r="AA88" s="803"/>
      <c r="AB88" s="803"/>
      <c r="AD88" s="803"/>
      <c r="AE88" s="803"/>
    </row>
    <row r="89" spans="5:31" ht="16.399999999999999" customHeight="1">
      <c r="E89" s="803"/>
      <c r="G89" s="803"/>
      <c r="J89" s="803"/>
      <c r="L89" s="803"/>
      <c r="O89" s="803"/>
      <c r="Q89" s="803"/>
      <c r="S89" s="803"/>
      <c r="T89" s="803"/>
      <c r="X89" s="803"/>
      <c r="Y89" s="803"/>
      <c r="AA89" s="803"/>
      <c r="AB89" s="803"/>
      <c r="AD89" s="803"/>
      <c r="AE89" s="803"/>
    </row>
    <row r="90" spans="5:31" ht="16.399999999999999" customHeight="1">
      <c r="E90" s="803"/>
      <c r="G90" s="803"/>
      <c r="J90" s="803"/>
      <c r="L90" s="803"/>
      <c r="O90" s="803"/>
      <c r="Q90" s="803"/>
      <c r="S90" s="803"/>
      <c r="T90" s="803"/>
      <c r="X90" s="803"/>
      <c r="Y90" s="803"/>
      <c r="AA90" s="803"/>
      <c r="AB90" s="803"/>
      <c r="AD90" s="803"/>
      <c r="AE90" s="803"/>
    </row>
    <row r="91" spans="5:31" ht="16.399999999999999" customHeight="1">
      <c r="E91" s="803"/>
      <c r="G91" s="803"/>
      <c r="J91" s="803"/>
      <c r="L91" s="803"/>
      <c r="O91" s="803"/>
      <c r="Q91" s="803"/>
      <c r="S91" s="803"/>
      <c r="T91" s="803"/>
      <c r="X91" s="803"/>
      <c r="Y91" s="803"/>
      <c r="AA91" s="803"/>
      <c r="AB91" s="803"/>
      <c r="AD91" s="803"/>
      <c r="AE91" s="803"/>
    </row>
    <row r="92" spans="5:31" ht="16.399999999999999" customHeight="1">
      <c r="E92" s="803"/>
      <c r="G92" s="803"/>
      <c r="J92" s="803"/>
      <c r="L92" s="803"/>
      <c r="O92" s="803"/>
      <c r="Q92" s="803"/>
      <c r="S92" s="803"/>
      <c r="T92" s="803"/>
      <c r="X92" s="803"/>
      <c r="Y92" s="803"/>
      <c r="AA92" s="803"/>
      <c r="AB92" s="803"/>
      <c r="AD92" s="803"/>
      <c r="AE92" s="803"/>
    </row>
    <row r="93" spans="5:31" ht="16.399999999999999" customHeight="1">
      <c r="E93" s="803"/>
      <c r="G93" s="803"/>
      <c r="J93" s="803"/>
      <c r="L93" s="803"/>
      <c r="O93" s="803"/>
      <c r="Q93" s="803"/>
      <c r="S93" s="803"/>
      <c r="T93" s="803"/>
      <c r="X93" s="803"/>
      <c r="Y93" s="803"/>
      <c r="AA93" s="803"/>
      <c r="AB93" s="803"/>
      <c r="AD93" s="803"/>
      <c r="AE93" s="803"/>
    </row>
    <row r="94" spans="5:31" ht="16.399999999999999" customHeight="1">
      <c r="E94" s="803"/>
      <c r="G94" s="803"/>
      <c r="J94" s="803"/>
      <c r="L94" s="803"/>
      <c r="O94" s="803"/>
      <c r="Q94" s="803"/>
      <c r="S94" s="803"/>
      <c r="T94" s="803"/>
      <c r="X94" s="803"/>
      <c r="Y94" s="803"/>
      <c r="AA94" s="803"/>
      <c r="AB94" s="803"/>
      <c r="AD94" s="803"/>
      <c r="AE94" s="803"/>
    </row>
    <row r="95" spans="5:31" ht="16.399999999999999" customHeight="1">
      <c r="E95" s="803"/>
      <c r="G95" s="803"/>
      <c r="J95" s="803"/>
      <c r="L95" s="803"/>
      <c r="O95" s="803"/>
      <c r="Q95" s="803"/>
      <c r="S95" s="803"/>
      <c r="T95" s="803"/>
      <c r="X95" s="803"/>
      <c r="Y95" s="803"/>
      <c r="AA95" s="803"/>
      <c r="AB95" s="803"/>
      <c r="AD95" s="803"/>
      <c r="AE95" s="803"/>
    </row>
    <row r="96" spans="5:31" ht="16.399999999999999" customHeight="1">
      <c r="E96" s="803"/>
      <c r="G96" s="803"/>
      <c r="J96" s="803"/>
      <c r="L96" s="803"/>
      <c r="O96" s="803"/>
      <c r="Q96" s="803"/>
      <c r="S96" s="803"/>
      <c r="T96" s="803"/>
      <c r="X96" s="803"/>
      <c r="Y96" s="803"/>
      <c r="AA96" s="803"/>
      <c r="AB96" s="803"/>
      <c r="AD96" s="803"/>
      <c r="AE96" s="803"/>
    </row>
    <row r="97" spans="5:31" ht="16.399999999999999" customHeight="1">
      <c r="E97" s="803"/>
      <c r="G97" s="803"/>
      <c r="J97" s="803"/>
      <c r="L97" s="803"/>
      <c r="O97" s="803"/>
      <c r="Q97" s="803"/>
      <c r="S97" s="803"/>
      <c r="T97" s="803"/>
      <c r="X97" s="803"/>
      <c r="Y97" s="803"/>
      <c r="AA97" s="803"/>
      <c r="AB97" s="803"/>
      <c r="AD97" s="803"/>
      <c r="AE97" s="803"/>
    </row>
    <row r="98" spans="5:31" ht="16.399999999999999" customHeight="1">
      <c r="E98" s="803"/>
      <c r="G98" s="803"/>
      <c r="J98" s="803"/>
      <c r="L98" s="803"/>
      <c r="O98" s="803"/>
      <c r="Q98" s="803"/>
      <c r="S98" s="803"/>
      <c r="T98" s="803"/>
      <c r="X98" s="803"/>
      <c r="Y98" s="803"/>
      <c r="AA98" s="803"/>
      <c r="AB98" s="803"/>
      <c r="AD98" s="803"/>
      <c r="AE98" s="803"/>
    </row>
    <row r="99" spans="5:31" ht="16.399999999999999" customHeight="1">
      <c r="E99" s="803"/>
      <c r="G99" s="803"/>
      <c r="J99" s="803"/>
      <c r="L99" s="803"/>
      <c r="O99" s="803"/>
      <c r="Q99" s="803"/>
      <c r="S99" s="803"/>
      <c r="T99" s="803"/>
      <c r="X99" s="803"/>
      <c r="Y99" s="803"/>
      <c r="AA99" s="803"/>
      <c r="AB99" s="803"/>
      <c r="AD99" s="803"/>
      <c r="AE99" s="803"/>
    </row>
    <row r="100" spans="5:31" ht="16.399999999999999" customHeight="1">
      <c r="E100" s="803"/>
      <c r="G100" s="803"/>
      <c r="J100" s="803"/>
      <c r="L100" s="803"/>
      <c r="O100" s="803"/>
      <c r="Q100" s="803"/>
      <c r="S100" s="803"/>
      <c r="T100" s="803"/>
      <c r="X100" s="803"/>
      <c r="Y100" s="803"/>
      <c r="AA100" s="803"/>
      <c r="AB100" s="803"/>
      <c r="AD100" s="803"/>
      <c r="AE100" s="803"/>
    </row>
    <row r="101" spans="5:31" ht="16.399999999999999" customHeight="1">
      <c r="E101" s="803"/>
      <c r="G101" s="803"/>
      <c r="J101" s="803"/>
      <c r="L101" s="803"/>
      <c r="O101" s="803"/>
      <c r="Q101" s="803"/>
      <c r="S101" s="803"/>
      <c r="T101" s="803"/>
      <c r="X101" s="803"/>
      <c r="Y101" s="803"/>
      <c r="AA101" s="803"/>
      <c r="AB101" s="803"/>
      <c r="AD101" s="803"/>
      <c r="AE101" s="803"/>
    </row>
    <row r="102" spans="5:31" ht="16.399999999999999" customHeight="1">
      <c r="E102" s="803"/>
      <c r="G102" s="803"/>
      <c r="J102" s="803"/>
      <c r="L102" s="803"/>
      <c r="O102" s="803"/>
      <c r="Q102" s="803"/>
      <c r="S102" s="803"/>
      <c r="T102" s="803"/>
      <c r="X102" s="803"/>
      <c r="Y102" s="803"/>
      <c r="AA102" s="803"/>
      <c r="AB102" s="803"/>
      <c r="AD102" s="803"/>
      <c r="AE102" s="803"/>
    </row>
    <row r="103" spans="5:31" ht="16.399999999999999" customHeight="1">
      <c r="E103" s="803"/>
      <c r="G103" s="803"/>
      <c r="J103" s="803"/>
      <c r="L103" s="803"/>
      <c r="O103" s="803"/>
      <c r="Q103" s="803"/>
      <c r="S103" s="803"/>
      <c r="T103" s="803"/>
      <c r="X103" s="803"/>
      <c r="Y103" s="803"/>
      <c r="AA103" s="803"/>
      <c r="AB103" s="803"/>
      <c r="AD103" s="803"/>
      <c r="AE103" s="803"/>
    </row>
    <row r="104" spans="5:31" ht="16.399999999999999" customHeight="1">
      <c r="E104" s="803"/>
      <c r="G104" s="803"/>
      <c r="J104" s="803"/>
      <c r="L104" s="803"/>
      <c r="O104" s="803"/>
      <c r="Q104" s="803"/>
      <c r="S104" s="803"/>
      <c r="T104" s="803"/>
      <c r="X104" s="803"/>
      <c r="Y104" s="803"/>
      <c r="AA104" s="803"/>
      <c r="AB104" s="803"/>
      <c r="AD104" s="803"/>
      <c r="AE104" s="803"/>
    </row>
    <row r="105" spans="5:31" ht="16.399999999999999" customHeight="1">
      <c r="E105" s="803"/>
      <c r="G105" s="803"/>
      <c r="J105" s="803"/>
      <c r="L105" s="803"/>
      <c r="O105" s="803"/>
      <c r="Q105" s="803"/>
      <c r="S105" s="803"/>
      <c r="T105" s="803"/>
      <c r="X105" s="803"/>
      <c r="Y105" s="803"/>
      <c r="AA105" s="803"/>
      <c r="AB105" s="803"/>
      <c r="AD105" s="803"/>
      <c r="AE105" s="803"/>
    </row>
    <row r="106" spans="5:31" ht="16.399999999999999" customHeight="1">
      <c r="E106" s="803"/>
      <c r="G106" s="803"/>
      <c r="J106" s="803"/>
      <c r="L106" s="803"/>
      <c r="O106" s="803"/>
      <c r="Q106" s="803"/>
      <c r="S106" s="803"/>
      <c r="T106" s="803"/>
      <c r="X106" s="803"/>
      <c r="Y106" s="803"/>
      <c r="AA106" s="803"/>
      <c r="AB106" s="803"/>
      <c r="AD106" s="803"/>
      <c r="AE106" s="803"/>
    </row>
    <row r="107" spans="5:31" ht="16.399999999999999" customHeight="1">
      <c r="E107" s="803"/>
      <c r="G107" s="803"/>
      <c r="J107" s="803"/>
      <c r="L107" s="803"/>
      <c r="O107" s="803"/>
      <c r="Q107" s="803"/>
      <c r="S107" s="803"/>
      <c r="T107" s="803"/>
      <c r="X107" s="803"/>
      <c r="Y107" s="803"/>
      <c r="AA107" s="803"/>
      <c r="AB107" s="803"/>
      <c r="AD107" s="803"/>
      <c r="AE107" s="803"/>
    </row>
    <row r="108" spans="5:31" ht="16.399999999999999" customHeight="1">
      <c r="E108" s="803"/>
      <c r="G108" s="803"/>
      <c r="J108" s="803"/>
      <c r="L108" s="803"/>
      <c r="O108" s="803"/>
      <c r="Q108" s="803"/>
      <c r="S108" s="803"/>
      <c r="T108" s="803"/>
      <c r="X108" s="803"/>
      <c r="Y108" s="803"/>
      <c r="AA108" s="803"/>
      <c r="AB108" s="803"/>
      <c r="AD108" s="803"/>
      <c r="AE108" s="803"/>
    </row>
    <row r="109" spans="5:31" ht="16.399999999999999" customHeight="1">
      <c r="E109" s="803"/>
      <c r="G109" s="803"/>
      <c r="J109" s="803"/>
      <c r="L109" s="803"/>
      <c r="O109" s="803"/>
      <c r="Q109" s="803"/>
      <c r="S109" s="803"/>
      <c r="T109" s="803"/>
      <c r="X109" s="803"/>
      <c r="Y109" s="803"/>
      <c r="AA109" s="803"/>
      <c r="AB109" s="803"/>
      <c r="AD109" s="803"/>
      <c r="AE109" s="803"/>
    </row>
    <row r="110" spans="5:31" ht="16.399999999999999" customHeight="1">
      <c r="E110" s="803"/>
      <c r="G110" s="803"/>
      <c r="J110" s="803"/>
      <c r="L110" s="803"/>
      <c r="O110" s="803"/>
      <c r="Q110" s="803"/>
      <c r="S110" s="803"/>
      <c r="T110" s="803"/>
      <c r="X110" s="803"/>
      <c r="Y110" s="803"/>
      <c r="AA110" s="803"/>
      <c r="AB110" s="803"/>
      <c r="AD110" s="803"/>
      <c r="AE110" s="803"/>
    </row>
    <row r="111" spans="5:31" ht="16.399999999999999" customHeight="1">
      <c r="E111" s="803"/>
      <c r="G111" s="803"/>
      <c r="J111" s="803"/>
      <c r="L111" s="803"/>
      <c r="O111" s="803"/>
      <c r="Q111" s="803"/>
      <c r="S111" s="803"/>
      <c r="T111" s="803"/>
      <c r="X111" s="803"/>
      <c r="Y111" s="803"/>
      <c r="AA111" s="803"/>
      <c r="AB111" s="803"/>
      <c r="AD111" s="803"/>
      <c r="AE111" s="803"/>
    </row>
    <row r="112" spans="5:31" ht="16.399999999999999" customHeight="1">
      <c r="E112" s="803"/>
      <c r="G112" s="803"/>
      <c r="J112" s="803"/>
      <c r="L112" s="803"/>
      <c r="O112" s="803"/>
      <c r="Q112" s="803"/>
      <c r="S112" s="803"/>
      <c r="T112" s="803"/>
      <c r="X112" s="803"/>
      <c r="Y112" s="803"/>
      <c r="AA112" s="803"/>
      <c r="AB112" s="803"/>
      <c r="AD112" s="803"/>
      <c r="AE112" s="803"/>
    </row>
    <row r="113" spans="5:31" ht="16.399999999999999" customHeight="1">
      <c r="E113" s="803"/>
      <c r="G113" s="803"/>
      <c r="J113" s="803"/>
      <c r="L113" s="803"/>
      <c r="O113" s="803"/>
      <c r="Q113" s="803"/>
      <c r="S113" s="803"/>
      <c r="T113" s="803"/>
      <c r="X113" s="803"/>
      <c r="Y113" s="803"/>
      <c r="AA113" s="803"/>
      <c r="AB113" s="803"/>
      <c r="AD113" s="803"/>
      <c r="AE113" s="803"/>
    </row>
    <row r="114" spans="5:31" ht="16.399999999999999" customHeight="1">
      <c r="E114" s="803"/>
      <c r="G114" s="803"/>
      <c r="J114" s="803"/>
      <c r="L114" s="803"/>
      <c r="O114" s="803"/>
      <c r="Q114" s="803"/>
      <c r="S114" s="803"/>
      <c r="T114" s="803"/>
      <c r="X114" s="803"/>
      <c r="Y114" s="803"/>
      <c r="AA114" s="803"/>
      <c r="AB114" s="803"/>
      <c r="AD114" s="803"/>
      <c r="AE114" s="803"/>
    </row>
    <row r="115" spans="5:31" ht="16.399999999999999" customHeight="1">
      <c r="E115" s="803"/>
      <c r="G115" s="803"/>
      <c r="J115" s="803"/>
      <c r="L115" s="803"/>
      <c r="O115" s="803"/>
      <c r="Q115" s="803"/>
      <c r="S115" s="803"/>
      <c r="T115" s="803"/>
      <c r="X115" s="803"/>
      <c r="Y115" s="803"/>
      <c r="AA115" s="803"/>
      <c r="AB115" s="803"/>
      <c r="AD115" s="803"/>
      <c r="AE115" s="803"/>
    </row>
    <row r="116" spans="5:31" ht="16.399999999999999" customHeight="1">
      <c r="E116" s="803"/>
      <c r="G116" s="803"/>
      <c r="J116" s="803"/>
      <c r="L116" s="803"/>
      <c r="O116" s="803"/>
      <c r="Q116" s="803"/>
      <c r="S116" s="803"/>
      <c r="T116" s="803"/>
      <c r="X116" s="803"/>
      <c r="Y116" s="803"/>
      <c r="AA116" s="803"/>
      <c r="AB116" s="803"/>
      <c r="AD116" s="803"/>
      <c r="AE116" s="803"/>
    </row>
    <row r="117" spans="5:31" ht="16.399999999999999" customHeight="1">
      <c r="E117" s="803"/>
      <c r="G117" s="803"/>
      <c r="J117" s="803"/>
      <c r="L117" s="803"/>
      <c r="O117" s="803"/>
      <c r="Q117" s="803"/>
      <c r="S117" s="803"/>
      <c r="T117" s="803"/>
      <c r="X117" s="803"/>
      <c r="Y117" s="803"/>
      <c r="AA117" s="803"/>
      <c r="AB117" s="803"/>
      <c r="AD117" s="803"/>
      <c r="AE117" s="803"/>
    </row>
    <row r="118" spans="5:31" ht="16.399999999999999" customHeight="1">
      <c r="E118" s="803"/>
      <c r="G118" s="803"/>
      <c r="J118" s="803"/>
      <c r="L118" s="803"/>
      <c r="O118" s="803"/>
      <c r="Q118" s="803"/>
      <c r="S118" s="803"/>
      <c r="T118" s="803"/>
      <c r="X118" s="803"/>
      <c r="Y118" s="803"/>
      <c r="AA118" s="803"/>
      <c r="AB118" s="803"/>
      <c r="AD118" s="803"/>
      <c r="AE118" s="803"/>
    </row>
    <row r="119" spans="5:31" ht="16.399999999999999" customHeight="1">
      <c r="E119" s="803"/>
      <c r="G119" s="803"/>
      <c r="J119" s="803"/>
      <c r="L119" s="803"/>
      <c r="O119" s="803"/>
      <c r="Q119" s="803"/>
      <c r="S119" s="803"/>
      <c r="T119" s="803"/>
      <c r="X119" s="803"/>
      <c r="Y119" s="803"/>
      <c r="AA119" s="803"/>
      <c r="AB119" s="803"/>
      <c r="AD119" s="803"/>
      <c r="AE119" s="803"/>
    </row>
    <row r="120" spans="5:31" ht="16.399999999999999" customHeight="1">
      <c r="E120" s="803"/>
      <c r="G120" s="803"/>
      <c r="J120" s="803"/>
      <c r="L120" s="803"/>
      <c r="O120" s="803"/>
      <c r="Q120" s="803"/>
      <c r="S120" s="803"/>
      <c r="T120" s="803"/>
      <c r="X120" s="803"/>
      <c r="Y120" s="803"/>
      <c r="AA120" s="803"/>
      <c r="AB120" s="803"/>
      <c r="AD120" s="803"/>
      <c r="AE120" s="803"/>
    </row>
    <row r="121" spans="5:31" ht="16.399999999999999" customHeight="1">
      <c r="E121" s="803"/>
      <c r="G121" s="803"/>
      <c r="J121" s="803"/>
      <c r="L121" s="803"/>
      <c r="O121" s="803"/>
      <c r="Q121" s="803"/>
      <c r="S121" s="803"/>
      <c r="T121" s="803"/>
      <c r="X121" s="803"/>
      <c r="Y121" s="803"/>
      <c r="AA121" s="803"/>
      <c r="AB121" s="803"/>
      <c r="AD121" s="803"/>
      <c r="AE121" s="803"/>
    </row>
    <row r="122" spans="5:31" ht="16.399999999999999" customHeight="1">
      <c r="E122" s="803"/>
      <c r="G122" s="803"/>
      <c r="J122" s="803"/>
      <c r="L122" s="803"/>
      <c r="O122" s="803"/>
      <c r="Q122" s="803"/>
      <c r="S122" s="803"/>
      <c r="T122" s="803"/>
      <c r="X122" s="803"/>
      <c r="Y122" s="803"/>
      <c r="AA122" s="803"/>
      <c r="AB122" s="803"/>
      <c r="AD122" s="803"/>
      <c r="AE122" s="803"/>
    </row>
    <row r="123" spans="5:31" ht="16.399999999999999" customHeight="1">
      <c r="E123" s="803"/>
      <c r="G123" s="803"/>
      <c r="J123" s="803"/>
      <c r="L123" s="803"/>
      <c r="O123" s="803"/>
      <c r="Q123" s="803"/>
      <c r="S123" s="803"/>
      <c r="T123" s="803"/>
      <c r="X123" s="803"/>
      <c r="Y123" s="803"/>
      <c r="AA123" s="803"/>
      <c r="AB123" s="803"/>
      <c r="AD123" s="803"/>
      <c r="AE123" s="803"/>
    </row>
    <row r="124" spans="5:31" ht="16.399999999999999" customHeight="1">
      <c r="E124" s="803"/>
      <c r="G124" s="803"/>
      <c r="J124" s="803"/>
      <c r="L124" s="803"/>
      <c r="O124" s="803"/>
      <c r="Q124" s="803"/>
      <c r="S124" s="803"/>
      <c r="T124" s="803"/>
      <c r="X124" s="803"/>
      <c r="Y124" s="803"/>
      <c r="AA124" s="803"/>
      <c r="AB124" s="803"/>
      <c r="AD124" s="803"/>
      <c r="AE124" s="803"/>
    </row>
  </sheetData>
  <autoFilter ref="B2:AU7" xr:uid="{00000000-0009-0000-0000-000003000000}"/>
  <mergeCells count="8">
    <mergeCell ref="Y1:AA1"/>
    <mergeCell ref="AB1:AE1"/>
    <mergeCell ref="B1:B2"/>
    <mergeCell ref="C1:G1"/>
    <mergeCell ref="H1:L1"/>
    <mergeCell ref="M1:Q1"/>
    <mergeCell ref="R1:S1"/>
    <mergeCell ref="T1:X1"/>
  </mergeCells>
  <phoneticPr fontId="5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7"/>
  <sheetViews>
    <sheetView topLeftCell="B1" zoomScale="90" zoomScaleNormal="90" workbookViewId="0">
      <pane ySplit="4" topLeftCell="A5" activePane="bottomLeft" state="frozen"/>
      <selection activeCell="H21" sqref="H21"/>
      <selection pane="bottomLeft" activeCell="H16" sqref="H16"/>
    </sheetView>
  </sheetViews>
  <sheetFormatPr defaultColWidth="9.140625" defaultRowHeight="16.399999999999999" customHeight="1"/>
  <cols>
    <col min="1" max="1" width="13.640625" style="780" hidden="1" customWidth="1"/>
    <col min="2" max="2" width="13.640625" style="780" customWidth="1"/>
    <col min="3" max="3" width="14.640625" style="781" customWidth="1"/>
    <col min="4" max="4" width="15.35546875" style="781" customWidth="1"/>
    <col min="5" max="5" width="9.35546875" style="782" customWidth="1"/>
    <col min="6" max="6" width="15.140625" style="781" customWidth="1"/>
    <col min="7" max="7" width="9.35546875" style="782" customWidth="1"/>
    <col min="8" max="8" width="17.35546875" style="782" customWidth="1"/>
    <col min="9" max="9" width="11.85546875" style="782" customWidth="1"/>
    <col min="10" max="10" width="15.140625" style="781" customWidth="1"/>
    <col min="11" max="11" width="13.640625" style="781" customWidth="1"/>
    <col min="12" max="12" width="9.35546875" style="782" customWidth="1"/>
    <col min="13" max="13" width="14.85546875" style="781" customWidth="1"/>
    <col min="14" max="14" width="9.35546875" style="782" customWidth="1"/>
    <col min="15" max="15" width="15.640625" style="782" customWidth="1"/>
    <col min="16" max="16" width="11.140625" style="782" customWidth="1"/>
    <col min="17" max="17" width="13.35546875" style="781" customWidth="1"/>
    <col min="18" max="18" width="12.640625" style="781" customWidth="1"/>
    <col min="19" max="19" width="11.35546875" style="782" customWidth="1"/>
    <col min="20" max="20" width="13.640625" style="781" customWidth="1"/>
    <col min="21" max="21" width="9.35546875" style="782" customWidth="1"/>
    <col min="22" max="22" width="13.640625" style="782" customWidth="1"/>
    <col min="23" max="23" width="9.35546875" style="782" customWidth="1"/>
    <col min="24" max="24" width="9.35546875" style="781" customWidth="1"/>
    <col min="25" max="26" width="9.35546875" style="782" customWidth="1"/>
    <col min="27" max="29" width="9.35546875" style="781" customWidth="1"/>
    <col min="30" max="31" width="9.35546875" style="782" customWidth="1"/>
    <col min="32" max="32" width="9.35546875" style="781" customWidth="1"/>
    <col min="33" max="34" width="9.35546875" style="782" customWidth="1"/>
    <col min="35" max="35" width="9.35546875" style="781" customWidth="1"/>
    <col min="36" max="36" width="9.35546875" style="782" customWidth="1"/>
    <col min="37" max="37" width="14.35546875" style="782" customWidth="1"/>
    <col min="38" max="38" width="9.140625" style="780" customWidth="1"/>
    <col min="39" max="39" width="14.640625" style="783" customWidth="1"/>
    <col min="40" max="40" width="14.85546875" style="783" customWidth="1"/>
    <col min="41" max="41" width="12.85546875" style="783" customWidth="1"/>
    <col min="42" max="42" width="14.85546875" style="783" customWidth="1"/>
    <col min="43" max="43" width="14.640625" style="783" customWidth="1"/>
    <col min="44" max="44" width="13.640625" style="783" customWidth="1"/>
    <col min="45" max="45" width="12.85546875" style="783" customWidth="1"/>
    <col min="46" max="46" width="13.140625" style="783" customWidth="1"/>
    <col min="47" max="47" width="13.35546875" style="783" customWidth="1"/>
    <col min="48" max="48" width="14" style="783" customWidth="1"/>
    <col min="49" max="49" width="12.140625" style="783" customWidth="1"/>
    <col min="50" max="50" width="14" style="783" customWidth="1"/>
    <col min="51" max="52" width="12.35546875" style="780" customWidth="1"/>
    <col min="53" max="53" width="9.85546875" style="780" customWidth="1"/>
    <col min="54" max="54" width="16" style="780" customWidth="1"/>
    <col min="55" max="55" width="14.640625" style="780" customWidth="1"/>
    <col min="56" max="56" width="16.35546875" style="780" customWidth="1"/>
    <col min="57" max="16384" width="9.140625" style="780"/>
  </cols>
  <sheetData>
    <row r="1" spans="1:56" ht="16.399999999999999" customHeight="1">
      <c r="B1" s="881" t="s">
        <v>1</v>
      </c>
      <c r="C1" s="883" t="s">
        <v>2</v>
      </c>
      <c r="D1" s="884"/>
      <c r="E1" s="884"/>
      <c r="F1" s="884"/>
      <c r="G1" s="884"/>
      <c r="H1" s="884"/>
      <c r="I1" s="885"/>
      <c r="J1" s="886" t="s">
        <v>210</v>
      </c>
      <c r="K1" s="887"/>
      <c r="L1" s="887"/>
      <c r="M1" s="887"/>
      <c r="N1" s="887"/>
      <c r="O1" s="887"/>
      <c r="P1" s="888"/>
      <c r="Q1" s="883" t="s">
        <v>4</v>
      </c>
      <c r="R1" s="884"/>
      <c r="S1" s="884"/>
      <c r="T1" s="884"/>
      <c r="U1" s="884"/>
      <c r="V1" s="884"/>
      <c r="W1" s="885"/>
      <c r="X1" s="889" t="s">
        <v>5</v>
      </c>
      <c r="Y1" s="889"/>
      <c r="Z1" s="890" t="s">
        <v>6</v>
      </c>
      <c r="AA1" s="890"/>
      <c r="AB1" s="890"/>
      <c r="AC1" s="890"/>
      <c r="AD1" s="890"/>
      <c r="AE1" s="877" t="s">
        <v>7</v>
      </c>
      <c r="AF1" s="878"/>
      <c r="AG1" s="878"/>
      <c r="AH1" s="879" t="s">
        <v>8</v>
      </c>
      <c r="AI1" s="880"/>
      <c r="AJ1" s="880"/>
      <c r="AK1" s="880"/>
      <c r="AM1" s="783" t="s">
        <v>211</v>
      </c>
      <c r="AN1" s="783" t="s">
        <v>6</v>
      </c>
      <c r="AQ1" s="783" t="s">
        <v>7</v>
      </c>
      <c r="AU1" s="783" t="s">
        <v>8</v>
      </c>
      <c r="BB1" s="759" t="s">
        <v>245</v>
      </c>
      <c r="BC1" s="759" t="s">
        <v>245</v>
      </c>
      <c r="BD1" s="759" t="s">
        <v>245</v>
      </c>
    </row>
    <row r="2" spans="1:56" ht="16.399999999999999" customHeight="1">
      <c r="B2" s="882"/>
      <c r="C2" s="784" t="s">
        <v>9</v>
      </c>
      <c r="D2" s="784" t="s">
        <v>10</v>
      </c>
      <c r="E2" s="785" t="s">
        <v>11</v>
      </c>
      <c r="F2" s="784" t="s">
        <v>12</v>
      </c>
      <c r="G2" s="785" t="s">
        <v>13</v>
      </c>
      <c r="H2" s="785" t="s">
        <v>246</v>
      </c>
      <c r="I2" s="785" t="s">
        <v>66</v>
      </c>
      <c r="J2" s="786" t="s">
        <v>9</v>
      </c>
      <c r="K2" s="786" t="s">
        <v>10</v>
      </c>
      <c r="L2" s="787" t="s">
        <v>11</v>
      </c>
      <c r="M2" s="786" t="s">
        <v>12</v>
      </c>
      <c r="N2" s="787" t="s">
        <v>13</v>
      </c>
      <c r="O2" s="787" t="s">
        <v>246</v>
      </c>
      <c r="P2" s="787" t="s">
        <v>66</v>
      </c>
      <c r="Q2" s="784" t="s">
        <v>9</v>
      </c>
      <c r="R2" s="784" t="s">
        <v>10</v>
      </c>
      <c r="S2" s="785" t="s">
        <v>11</v>
      </c>
      <c r="T2" s="784" t="s">
        <v>12</v>
      </c>
      <c r="U2" s="785" t="s">
        <v>13</v>
      </c>
      <c r="V2" s="785" t="s">
        <v>246</v>
      </c>
      <c r="W2" s="785" t="s">
        <v>66</v>
      </c>
      <c r="X2" s="786" t="s">
        <v>226</v>
      </c>
      <c r="Y2" s="788" t="s">
        <v>15</v>
      </c>
      <c r="Z2" s="789" t="s">
        <v>16</v>
      </c>
      <c r="AA2" s="784" t="s">
        <v>227</v>
      </c>
      <c r="AB2" s="784" t="s">
        <v>228</v>
      </c>
      <c r="AC2" s="784" t="s">
        <v>226</v>
      </c>
      <c r="AD2" s="789" t="s">
        <v>19</v>
      </c>
      <c r="AE2" s="788" t="s">
        <v>20</v>
      </c>
      <c r="AF2" s="786" t="s">
        <v>226</v>
      </c>
      <c r="AG2" s="788" t="s">
        <v>21</v>
      </c>
      <c r="AH2" s="789" t="s">
        <v>22</v>
      </c>
      <c r="AI2" s="784" t="s">
        <v>226</v>
      </c>
      <c r="AJ2" s="789" t="s">
        <v>23</v>
      </c>
      <c r="AK2" s="789" t="s">
        <v>24</v>
      </c>
      <c r="AM2" s="783" t="s">
        <v>229</v>
      </c>
      <c r="AN2" s="783" t="s">
        <v>2</v>
      </c>
      <c r="AO2" s="783" t="s">
        <v>229</v>
      </c>
      <c r="AP2" s="783" t="s">
        <v>230</v>
      </c>
      <c r="AQ2" s="783" t="s">
        <v>2</v>
      </c>
      <c r="AR2" s="783" t="s">
        <v>231</v>
      </c>
      <c r="AS2" s="783" t="s">
        <v>229</v>
      </c>
      <c r="AT2" s="783" t="s">
        <v>230</v>
      </c>
      <c r="AU2" s="783" t="s">
        <v>78</v>
      </c>
      <c r="AV2" s="783" t="s">
        <v>229</v>
      </c>
      <c r="AW2" s="783" t="s">
        <v>247</v>
      </c>
      <c r="AX2" s="783" t="s">
        <v>233</v>
      </c>
      <c r="AY2" s="780" t="s">
        <v>234</v>
      </c>
      <c r="AZ2" s="780" t="s">
        <v>235</v>
      </c>
      <c r="BA2" s="780" t="s">
        <v>236</v>
      </c>
      <c r="BB2" s="759" t="s">
        <v>96</v>
      </c>
      <c r="BC2" s="759" t="s">
        <v>210</v>
      </c>
      <c r="BD2" s="759" t="s">
        <v>248</v>
      </c>
    </row>
    <row r="3" spans="1:56" s="778" customFormat="1" ht="16.399999999999999" customHeight="1">
      <c r="A3" s="790" t="s">
        <v>25</v>
      </c>
      <c r="B3" s="791" t="s">
        <v>477</v>
      </c>
      <c r="C3" s="792">
        <f ca="1">SUM(C5:C7)</f>
        <v>4097415.6100000003</v>
      </c>
      <c r="D3" s="792">
        <f ca="1">SUM(D5:D7)</f>
        <v>4483405.87</v>
      </c>
      <c r="E3" s="793">
        <f ca="1">C3/D3</f>
        <v>0.91390691113138067</v>
      </c>
      <c r="F3" s="792">
        <f ca="1">SUM(F5:F7)</f>
        <v>5001951.29</v>
      </c>
      <c r="G3" s="793">
        <f ca="1">C3/F3-1</f>
        <v>-0.18083656308456364</v>
      </c>
      <c r="H3" s="794">
        <f ca="1">SUM(H5:H7)</f>
        <v>65708705.730000004</v>
      </c>
      <c r="I3" s="793">
        <f ca="1">IF(BB3=0,"",IF(BB3&lt;0,2-C3/BB3,C3/BB3))</f>
        <v>6.2357271604716477E-2</v>
      </c>
      <c r="J3" s="792">
        <f ca="1">SUM(J5:J7)</f>
        <v>-646980.90999999992</v>
      </c>
      <c r="K3" s="792">
        <f ca="1">SUM(K5:K7)</f>
        <v>-468430.93000000011</v>
      </c>
      <c r="L3" s="793">
        <f ca="1">J3/K3</f>
        <v>1.3811660771418313</v>
      </c>
      <c r="M3" s="792">
        <f ca="1">SUM(M5:M7)</f>
        <v>-712127.33</v>
      </c>
      <c r="N3" s="793">
        <f ca="1">IF(M3&gt;0,J3/M3-1,IF(M3&lt;0,1-J3/M3,""))</f>
        <v>9.1481420885784592E-2</v>
      </c>
      <c r="O3" s="794">
        <f ca="1">SUM(O5:O7)</f>
        <v>6027250.6799999997</v>
      </c>
      <c r="P3" s="793">
        <f ca="1">IF(BC3=0,"",IF(BC3&lt;0,2-J3/BC3,J3/BC3))</f>
        <v>-0.10734262507893565</v>
      </c>
      <c r="Q3" s="792">
        <f ca="1">SUM(Q5:Q7)</f>
        <v>-1023395.44</v>
      </c>
      <c r="R3" s="792">
        <f ca="1">SUM(R5:R7)</f>
        <v>-853700.55</v>
      </c>
      <c r="S3" s="793">
        <f ca="1">IF(R3&lt;0,2-Q3/R3,Q3/R3)</f>
        <v>0.80122434031464551</v>
      </c>
      <c r="T3" s="792">
        <f ca="1">SUM(T5:T7)</f>
        <v>-1166285.47</v>
      </c>
      <c r="U3" s="793">
        <f ca="1">IF(T3&gt;0,Q3/T3-1,IF(T3&lt;0,1-Q3/T3,""))</f>
        <v>0.12251719984130471</v>
      </c>
      <c r="V3" s="794">
        <f ca="1">SUM(V5:V7)</f>
        <v>1332304.010000004</v>
      </c>
      <c r="W3" s="793">
        <f ca="1">IF(BD3=0,"",IF(BD3&lt;0,2-Q3/BD3,Q3/BD3))</f>
        <v>-0.76813957799316157</v>
      </c>
      <c r="X3" s="792">
        <f ca="1">C3/AM3</f>
        <v>2.1563776834758666</v>
      </c>
      <c r="Y3" s="795">
        <f ca="1">J3/C3</f>
        <v>-0.15789975232705278</v>
      </c>
      <c r="Z3" s="795">
        <f ca="1">AZ3/AY3</f>
        <v>0.21552662967380595</v>
      </c>
      <c r="AA3" s="792"/>
      <c r="AB3" s="792"/>
      <c r="AC3" s="792">
        <f ca="1">AN3/AO3</f>
        <v>3.6946796631592345</v>
      </c>
      <c r="AD3" s="795">
        <f ca="1">AP3/AN3</f>
        <v>0.54364998132708486</v>
      </c>
      <c r="AE3" s="795">
        <f ca="1">AR3/AQ3</f>
        <v>0.55209861393617865</v>
      </c>
      <c r="AF3" s="792">
        <f ca="1">AQ3/AS3</f>
        <v>3.9033234121976275</v>
      </c>
      <c r="AG3" s="795">
        <f ca="1">AT3/AQ3</f>
        <v>0.26807803203142405</v>
      </c>
      <c r="AH3" s="795">
        <f ca="1">AU3/C3</f>
        <v>0.29535062224259007</v>
      </c>
      <c r="AI3" s="792">
        <f ca="1">C3/AV3</f>
        <v>4.7004373498582295</v>
      </c>
      <c r="AJ3" s="795">
        <f ca="1">AW3/C3</f>
        <v>2.7139482684794117E-2</v>
      </c>
      <c r="AK3" s="795">
        <f ca="1">AX3/C3</f>
        <v>0.56572204790326308</v>
      </c>
      <c r="AL3" s="779"/>
      <c r="AM3" s="796">
        <f ca="1">SUM(AM5:AM7)</f>
        <v>1900138.1999999988</v>
      </c>
      <c r="AN3" s="796">
        <f ca="1">SUM(AN5:AN7)</f>
        <v>1706401.99</v>
      </c>
      <c r="AO3" s="796">
        <f ca="1">SUM(AO5:AO7)</f>
        <v>461853.84000000026</v>
      </c>
      <c r="AP3" s="796">
        <f ca="1">SUM(AP5:AP7)</f>
        <v>927685.41000000038</v>
      </c>
      <c r="AQ3" s="796">
        <f ca="1">SUM(AQ5:AQ7)</f>
        <v>2211525.15</v>
      </c>
      <c r="AR3" s="796">
        <f ca="1">SUM(AR5:AR7)</f>
        <v>1220979.9699999995</v>
      </c>
      <c r="AS3" s="796">
        <f ca="1">SUM(AS5:AS7)</f>
        <v>566574.92000000051</v>
      </c>
      <c r="AT3" s="796">
        <f ca="1">SUM(AT5:AT7)</f>
        <v>592861.30999999982</v>
      </c>
      <c r="AU3" s="796">
        <f ca="1">SUM(AU5:AU7)</f>
        <v>1210174.2500000019</v>
      </c>
      <c r="AV3" s="796">
        <f ca="1">SUM(AV5:AV7)</f>
        <v>871709.43999999983</v>
      </c>
      <c r="AW3" s="796">
        <f ca="1">SUM(AW5:AW7)</f>
        <v>111201.74000000014</v>
      </c>
      <c r="AX3" s="796">
        <f ca="1">SUM(AX5:AX7)</f>
        <v>2317998.3499999982</v>
      </c>
      <c r="AY3" s="796">
        <f ca="1">SUM(AY5:AY7)</f>
        <v>38566</v>
      </c>
      <c r="AZ3" s="796">
        <f ca="1">SUM(AZ5:AZ7)</f>
        <v>8312</v>
      </c>
      <c r="BA3" s="796">
        <f ca="1">SUM(BA5:BA7)</f>
        <v>1290.6333333333334</v>
      </c>
      <c r="BB3" s="796">
        <f ca="1">SUM(BB5:BB7)</f>
        <v>65708705.730000004</v>
      </c>
      <c r="BC3" s="796">
        <f ca="1">SUM(BC5:BC7)</f>
        <v>6027250.6799999997</v>
      </c>
      <c r="BD3" s="796">
        <f ca="1">SUM(BD5:BD7)</f>
        <v>1332304.010000004</v>
      </c>
    </row>
    <row r="4" spans="1:56" s="779" customFormat="1" ht="16.399999999999999" hidden="1" customHeight="1">
      <c r="A4" s="797" t="s">
        <v>26</v>
      </c>
      <c r="B4" s="791" t="s">
        <v>26</v>
      </c>
      <c r="C4" s="792">
        <f ca="1">SUM(C5:C7)</f>
        <v>4097415.6100000003</v>
      </c>
      <c r="D4" s="792">
        <f ca="1">SUM(D5:D7)</f>
        <v>4483405.87</v>
      </c>
      <c r="E4" s="793">
        <f ca="1">C4/D4</f>
        <v>0.91390691113138067</v>
      </c>
      <c r="F4" s="792">
        <f ca="1">SUM(F5:F7)</f>
        <v>5001951.29</v>
      </c>
      <c r="G4" s="793">
        <f ca="1">C4/F4-1</f>
        <v>-0.18083656308456364</v>
      </c>
      <c r="H4" s="792">
        <f ca="1">SUM(H5:H7)</f>
        <v>65708705.730000004</v>
      </c>
      <c r="I4" s="793">
        <f ca="1">IF(BB4=0,"",IF(BB4&lt;0,2-C4/BB4,C4/BB4))</f>
        <v>6.2357271604716477E-2</v>
      </c>
      <c r="J4" s="792">
        <f ca="1">SUM(J5:J7)</f>
        <v>-646980.90999999992</v>
      </c>
      <c r="K4" s="792">
        <f ca="1">SUM(K5:K7)</f>
        <v>-468430.93000000011</v>
      </c>
      <c r="L4" s="793">
        <f ca="1">J4/K4</f>
        <v>1.3811660771418313</v>
      </c>
      <c r="M4" s="792">
        <f ca="1">SUM(M5:M7)</f>
        <v>-712127.33</v>
      </c>
      <c r="N4" s="793">
        <f ca="1">IF(M4&gt;0,J4/M4-1,IF(M4&lt;0,1-J4/M4,""))</f>
        <v>9.1481420885784592E-2</v>
      </c>
      <c r="O4" s="792">
        <f ca="1">SUM(O5:O7)</f>
        <v>6027250.6799999997</v>
      </c>
      <c r="P4" s="793">
        <f ca="1">IF(BC4=0,"",IF(BC4&lt;0,2-J4/BC4,J4/BC4))</f>
        <v>-0.10734262507893565</v>
      </c>
      <c r="Q4" s="792">
        <f ca="1">SUM(Q5:Q7)</f>
        <v>-1023395.44</v>
      </c>
      <c r="R4" s="792">
        <f ca="1">SUM(R5:R7)</f>
        <v>-853700.55</v>
      </c>
      <c r="S4" s="793">
        <f ca="1">IF(R4&lt;0,2-Q4/R4,Q4/R4)</f>
        <v>0.80122434031464551</v>
      </c>
      <c r="T4" s="792">
        <f ca="1">SUM(T5:T7)</f>
        <v>-1166285.47</v>
      </c>
      <c r="U4" s="793">
        <f ca="1">IF(T4&gt;0,Q4/T4-1,IF(T4&lt;0,1-Q4/T4,""))</f>
        <v>0.12251719984130471</v>
      </c>
      <c r="V4" s="792">
        <f ca="1">SUM(V5:V7)</f>
        <v>1332304.010000004</v>
      </c>
      <c r="W4" s="793">
        <f ca="1">IF(BD4=0,"",IF(BD4&lt;0,2-Q4/BD4,Q4/BD4))</f>
        <v>-0.76813957799316157</v>
      </c>
      <c r="X4" s="792">
        <f ca="1">C4/AM4</f>
        <v>2.1563776834758666</v>
      </c>
      <c r="Y4" s="795">
        <f ca="1">J4/C4</f>
        <v>-0.15789975232705278</v>
      </c>
      <c r="Z4" s="795">
        <f ca="1">AZ4/AY4</f>
        <v>0.21552662967380595</v>
      </c>
      <c r="AA4" s="792"/>
      <c r="AB4" s="792"/>
      <c r="AC4" s="792">
        <f ca="1">AN4/AO4</f>
        <v>3.6946796631592345</v>
      </c>
      <c r="AD4" s="795">
        <f ca="1">AP4/AN4</f>
        <v>0.54364998132708486</v>
      </c>
      <c r="AE4" s="795">
        <f ca="1">AR4/AQ4</f>
        <v>0.55209861393617865</v>
      </c>
      <c r="AF4" s="792">
        <f t="shared" ref="AF4" ca="1" si="0">AQ4/AS4</f>
        <v>3.9033234121976275</v>
      </c>
      <c r="AG4" s="795">
        <f ca="1">AT4/AQ4</f>
        <v>0.26807803203142405</v>
      </c>
      <c r="AH4" s="795">
        <f ca="1">AU4/C4</f>
        <v>0.29535062224259007</v>
      </c>
      <c r="AI4" s="792">
        <f ca="1">C4/AV4</f>
        <v>4.7004373498582295</v>
      </c>
      <c r="AJ4" s="795">
        <f ca="1">AW4/C4</f>
        <v>2.7139482684794117E-2</v>
      </c>
      <c r="AK4" s="795">
        <f ca="1">AX4/C4</f>
        <v>0.56572204790326308</v>
      </c>
      <c r="AM4" s="792">
        <f ca="1">SUM(AM5:AM7)</f>
        <v>1900138.1999999988</v>
      </c>
      <c r="AN4" s="792">
        <f ca="1">SUM(AN5:AN7)</f>
        <v>1706401.99</v>
      </c>
      <c r="AO4" s="792">
        <f ca="1">SUM(AO5:AO7)</f>
        <v>461853.84000000026</v>
      </c>
      <c r="AP4" s="792">
        <f ca="1">SUM(AP5:AP7)</f>
        <v>927685.41000000038</v>
      </c>
      <c r="AQ4" s="792">
        <f ca="1">SUM(AQ5:AQ7)</f>
        <v>2211525.15</v>
      </c>
      <c r="AR4" s="792">
        <f ca="1">SUM(AR5:AR7)</f>
        <v>1220979.9699999995</v>
      </c>
      <c r="AS4" s="792">
        <f ca="1">SUM(AS5:AS7)</f>
        <v>566574.92000000051</v>
      </c>
      <c r="AT4" s="792">
        <f ca="1">SUM(AT5:AT7)</f>
        <v>592861.30999999982</v>
      </c>
      <c r="AU4" s="792">
        <f ca="1">SUM(AU5:AU7)</f>
        <v>1210174.2500000019</v>
      </c>
      <c r="AV4" s="792">
        <f ca="1">SUM(AV5:AV7)</f>
        <v>871709.43999999983</v>
      </c>
      <c r="AW4" s="792">
        <f ca="1">SUM(AW5:AW7)</f>
        <v>111201.74000000014</v>
      </c>
      <c r="AX4" s="792">
        <f ca="1">SUM(AX5:AX7)</f>
        <v>2317998.3499999982</v>
      </c>
      <c r="AY4" s="792">
        <f ca="1">SUM(AY5:AY7)</f>
        <v>38566</v>
      </c>
      <c r="AZ4" s="792">
        <f ca="1">SUM(AZ5:AZ7)</f>
        <v>8312</v>
      </c>
      <c r="BA4" s="792">
        <f ca="1">SUM(BA5:BA7)</f>
        <v>1290.6333333333334</v>
      </c>
      <c r="BB4" s="792">
        <f ca="1">SUM(BB5:BB7)</f>
        <v>65708705.730000004</v>
      </c>
      <c r="BC4" s="792">
        <f ca="1">SUM(BC5:BC7)</f>
        <v>6027250.6799999997</v>
      </c>
      <c r="BD4" s="792">
        <f ca="1">SUM(BD5:BD7)</f>
        <v>1332304.010000004</v>
      </c>
    </row>
    <row r="5" spans="1:56" ht="16.399999999999999" customHeight="1">
      <c r="A5" s="759" t="s">
        <v>28</v>
      </c>
      <c r="B5" s="759" t="s">
        <v>140</v>
      </c>
      <c r="C5" s="798" cm="1">
        <f t="array" aca="1" ref="C5" ca="1">INDIRECT($B5&amp;"!H159")</f>
        <v>2831815.91</v>
      </c>
      <c r="D5" s="798" cm="1">
        <f t="array" aca="1" ref="D5" ca="1">INDIRECT($B5&amp;"!I159")</f>
        <v>2691281.43</v>
      </c>
      <c r="E5" s="799" cm="1">
        <f t="array" aca="1" ref="E5" ca="1">INDIRECT($B5&amp;"!J159")</f>
        <v>1.0522184259265699</v>
      </c>
      <c r="F5" s="800" cm="1">
        <f t="array" aca="1" ref="F5" ca="1">INDIRECT($B5&amp;"!K159")</f>
        <v>2941734.5</v>
      </c>
      <c r="G5" s="799" cm="1">
        <f t="array" aca="1" ref="G5" ca="1">INDIRECT($B5&amp;"!L159")</f>
        <v>-3.7365231294666297E-2</v>
      </c>
      <c r="H5" s="800" cm="1">
        <f t="array" aca="1" ref="H5" ca="1">INDIRECT($B5&amp;"!R16")</f>
        <v>36674896.130000003</v>
      </c>
      <c r="I5" s="799">
        <f ca="1">IF(BB5=0,"",IF(BB5&lt;0,2-C5/BB5,C5/BB5))</f>
        <v>7.7214013093920661E-2</v>
      </c>
      <c r="J5" s="800" cm="1">
        <f t="array" aca="1" ref="J5" ca="1">INDIRECT($B5&amp;"!M159")</f>
        <v>-343047.74</v>
      </c>
      <c r="K5" s="800" cm="1">
        <f t="array" aca="1" ref="K5" ca="1">INDIRECT($B5&amp;"!N159")</f>
        <v>-251910.2</v>
      </c>
      <c r="L5" s="799" cm="1">
        <f t="array" aca="1" ref="L5" ca="1">INDIRECT($B5&amp;"!O159")</f>
        <v>0.63821417314582496</v>
      </c>
      <c r="M5" s="800" cm="1">
        <f t="array" aca="1" ref="M5" ca="1">INDIRECT($B5&amp;"!P159")</f>
        <v>-556666.38</v>
      </c>
      <c r="N5" s="799" cm="1">
        <f t="array" aca="1" ref="N5" ca="1">INDIRECT($B5&amp;"!Q159")</f>
        <v>0.38374625749807301</v>
      </c>
      <c r="O5" s="800" cm="1">
        <f t="array" aca="1" ref="O5" ca="1">INDIRECT($B5&amp;"!R20")</f>
        <v>3299999.99</v>
      </c>
      <c r="P5" s="799">
        <f ca="1">IF(BC5=0,"",IF(BC5&lt;0,2-J5/BC5,J5/BC5))</f>
        <v>-0.1039538609210723</v>
      </c>
      <c r="Q5" s="800" cm="1">
        <f t="array" aca="1" ref="Q5" ca="1">INDIRECT($B5&amp;"!R159")</f>
        <v>-587351.47</v>
      </c>
      <c r="R5" s="800" cm="1">
        <f t="array" aca="1" ref="R5" ca="1">INDIRECT($B5&amp;"!S159")</f>
        <v>-512203.25</v>
      </c>
      <c r="S5" s="799" cm="1">
        <f t="array" aca="1" ref="S5" ca="1">INDIRECT($B5&amp;"!T159")</f>
        <v>0.85328437490390796</v>
      </c>
      <c r="T5" s="800" cm="1">
        <f t="array" aca="1" ref="T5" ca="1">INDIRECT($B5&amp;"!U159")</f>
        <v>-847994.68</v>
      </c>
      <c r="U5" s="799" cm="1">
        <f t="array" aca="1" ref="U5" ca="1">INDIRECT($B5&amp;"!V159")</f>
        <v>0.30736420421882799</v>
      </c>
      <c r="V5" s="800" cm="1">
        <f t="array" aca="1" ref="V5" ca="1">INDIRECT($B5&amp;"!R148")</f>
        <v>245325.72000000399</v>
      </c>
      <c r="W5" s="799">
        <f ca="1">IF(BD5=0,"",IF(BD5&lt;0,2-Q5/BD5,Q5/BD5))</f>
        <v>-2.3941699631004463</v>
      </c>
      <c r="X5" s="800" cm="1">
        <f t="array" aca="1" ref="X5" ca="1">INDIRECT($B5&amp;"!W159")</f>
        <v>2.5475391726702998</v>
      </c>
      <c r="Y5" s="799" cm="1">
        <f t="array" aca="1" ref="Y5" ca="1">INDIRECT($B5&amp;"!X159")</f>
        <v>-0.121140551117251</v>
      </c>
      <c r="Z5" s="799" cm="1">
        <f t="array" aca="1" ref="Z5" ca="1">INDIRECT($B5&amp;"!Y159")</f>
        <v>0.31282051282051299</v>
      </c>
      <c r="AA5" s="800" cm="1">
        <f t="array" aca="1" ref="AA5" ca="1">INDIRECT($B5&amp;"!Z159")</f>
        <v>199.24168341265599</v>
      </c>
      <c r="AB5" s="800" cm="1">
        <f t="array" aca="1" ref="AB5" ca="1">INDIRECT($B5&amp;"!AA159")</f>
        <v>62.326885580369499</v>
      </c>
      <c r="AC5" s="800" cm="1">
        <f t="array" aca="1" ref="AC5" ca="1">INDIRECT($B5&amp;"!AB159")</f>
        <v>3.9706352792525901</v>
      </c>
      <c r="AD5" s="799" cm="1">
        <f t="array" aca="1" ref="AD5" ca="1">INDIRECT($B5&amp;"!AC159")</f>
        <v>0.56916344729471902</v>
      </c>
      <c r="AE5" s="799" cm="1">
        <f t="array" aca="1" ref="AE5" ca="1">INDIRECT($B5&amp;"!AD159")</f>
        <v>0.53898494290128796</v>
      </c>
      <c r="AF5" s="800" cm="1">
        <f t="array" aca="1" ref="AF5" ca="1">INDIRECT($B5&amp;"!AE159")</f>
        <v>5.0071107421836096</v>
      </c>
      <c r="AG5" s="799" cm="1">
        <f t="array" aca="1" ref="AG5" ca="1">INDIRECT($B5&amp;"!AF159")</f>
        <v>0.31116500040032002</v>
      </c>
      <c r="AH5" s="799" cm="1">
        <f t="array" aca="1" ref="AH5" ca="1">INDIRECT($B5&amp;"!AG159")</f>
        <v>0.33181394549054599</v>
      </c>
      <c r="AI5" s="800" cm="1">
        <f t="array" aca="1" ref="AI5" ca="1">INDIRECT($B5&amp;"!AH159")</f>
        <v>5.5028083927558402</v>
      </c>
      <c r="AJ5" s="799" cm="1">
        <f t="array" aca="1" ref="AJ5" ca="1">INDIRECT($B5&amp;"!AI159")</f>
        <v>2.3047179645233399E-2</v>
      </c>
      <c r="AK5" s="799" cm="1">
        <f t="array" aca="1" ref="AK5" ca="1">INDIRECT($B5&amp;"!AJ159")</f>
        <v>0.55986208157153805</v>
      </c>
      <c r="AM5" s="783">
        <f t="shared" ref="AM5:AM7" ca="1" si="1">C5/X5</f>
        <v>1111588.7599999984</v>
      </c>
      <c r="AN5" s="801" cm="1">
        <f t="array" aca="1" ref="AN5" ca="1">INDIRECT($B5&amp;"!M43")</f>
        <v>1138840.1399999999</v>
      </c>
      <c r="AO5" s="783">
        <f ca="1">AN5/AC5</f>
        <v>286815.60000000021</v>
      </c>
      <c r="AP5" s="783">
        <f ca="1">AN5*AD5</f>
        <v>648186.1800000004</v>
      </c>
      <c r="AQ5" s="801" cm="1">
        <f t="array" aca="1" ref="AQ5" ca="1">INDIRECT($B5&amp;"!M56")</f>
        <v>1553007.02</v>
      </c>
      <c r="AR5" s="783">
        <f ca="1">AQ5*AE5</f>
        <v>837047.39999999932</v>
      </c>
      <c r="AS5" s="783">
        <f ca="1">AQ5/AF5</f>
        <v>310160.31000000029</v>
      </c>
      <c r="AT5" s="783">
        <f ca="1">AQ5*AG5</f>
        <v>483241.42999999982</v>
      </c>
      <c r="AU5" s="783">
        <f t="shared" ref="AU5:AU7" ca="1" si="2">C5*AH5</f>
        <v>939636.01000000094</v>
      </c>
      <c r="AV5" s="783">
        <f t="shared" ref="AV5:AV7" ca="1" si="3">C5/AI5</f>
        <v>514612.84999999963</v>
      </c>
      <c r="AW5" s="783">
        <f t="shared" ref="AW5:AW7" ca="1" si="4">AJ5*C5</f>
        <v>65265.370000000097</v>
      </c>
      <c r="AX5" s="783">
        <f t="shared" ref="AX5:AX7" ca="1" si="5">C5*AK5</f>
        <v>1585426.3499999994</v>
      </c>
      <c r="AY5" s="802">
        <f ca="1">INDIRECT($B5&amp;"!M6")</f>
        <v>17982</v>
      </c>
      <c r="AZ5" s="802" cm="1">
        <f t="array" aca="1" ref="AZ5" ca="1">INDIRECT($B5&amp;"!M7")</f>
        <v>5673</v>
      </c>
      <c r="BA5" s="802">
        <f ca="1">'汇总明细-1月'!AU5</f>
        <v>604.5</v>
      </c>
      <c r="BB5" s="801" cm="1">
        <f t="array" aca="1" ref="BB5" ca="1">INDIRECT($B5&amp;"!R16")</f>
        <v>36674896.130000003</v>
      </c>
      <c r="BC5" s="801" cm="1">
        <f t="array" aca="1" ref="BC5" ca="1">INDIRECT($B5&amp;"!R20")</f>
        <v>3299999.99</v>
      </c>
      <c r="BD5" s="801" cm="1">
        <f t="array" aca="1" ref="BD5" ca="1">INDIRECT($B5&amp;"!R148")</f>
        <v>245325.72000000399</v>
      </c>
    </row>
    <row r="6" spans="1:56" ht="16.399999999999999" customHeight="1">
      <c r="A6" s="759" t="s">
        <v>30</v>
      </c>
      <c r="B6" s="759" t="s">
        <v>142</v>
      </c>
      <c r="C6" s="798" cm="1">
        <f t="array" aca="1" ref="C6" ca="1">INDIRECT($B6&amp;"!H159")</f>
        <v>129030.87</v>
      </c>
      <c r="D6" s="798" cm="1">
        <f t="array" aca="1" ref="D6" ca="1">INDIRECT($B6&amp;"!I159")</f>
        <v>631295.71</v>
      </c>
      <c r="E6" s="799" cm="1">
        <f t="array" aca="1" ref="E6" ca="1">INDIRECT($B6&amp;"!J159")</f>
        <v>0.20439053831048501</v>
      </c>
      <c r="F6" s="800" cm="1">
        <f t="array" aca="1" ref="F6" ca="1">INDIRECT($B6&amp;"!K159")</f>
        <v>808427.54</v>
      </c>
      <c r="G6" s="799" cm="1">
        <f t="array" aca="1" ref="G6" ca="1">INDIRECT($B6&amp;"!L159")</f>
        <v>-0.84039278275947904</v>
      </c>
      <c r="H6" s="800" cm="1">
        <f t="array" aca="1" ref="H6" ca="1">INDIRECT($B6&amp;"!R16")</f>
        <v>11217170.33</v>
      </c>
      <c r="I6" s="799">
        <f t="shared" ref="I6:I7" ca="1" si="6">IF(BB6=0,"",IF(BB6&lt;0,2-C6/BB6,C6/BB6))</f>
        <v>1.1502978576950965E-2</v>
      </c>
      <c r="J6" s="800" cm="1">
        <f t="array" aca="1" ref="J6" ca="1">INDIRECT($B6&amp;"!M159")</f>
        <v>-361955.44</v>
      </c>
      <c r="K6" s="800" cm="1">
        <f t="array" aca="1" ref="K6" ca="1">INDIRECT($B6&amp;"!N159")</f>
        <v>-126727.92</v>
      </c>
      <c r="L6" s="799" cm="1">
        <f t="array" aca="1" ref="L6" ca="1">INDIRECT($B6&amp;"!O159")</f>
        <v>-0.85616176766730001</v>
      </c>
      <c r="M6" s="800" cm="1">
        <f t="array" aca="1" ref="M6" ca="1">INDIRECT($B6&amp;"!P159")</f>
        <v>23988.070000000102</v>
      </c>
      <c r="N6" s="799" cm="1">
        <f t="array" aca="1" ref="N6" ca="1">INDIRECT($B6&amp;"!Q159")</f>
        <v>-16.088977145722801</v>
      </c>
      <c r="O6" s="800" cm="1">
        <f t="array" aca="1" ref="O6" ca="1">INDIRECT($B6&amp;"!R20")</f>
        <v>760000.30999999901</v>
      </c>
      <c r="P6" s="799">
        <f t="shared" ref="P6:P7" ca="1" si="7">IF(BC6=0,"",IF(BC6&lt;0,2-J6/BC6,J6/BC6))</f>
        <v>-0.47625696363202863</v>
      </c>
      <c r="Q6" s="800" cm="1">
        <f t="array" aca="1" ref="Q6" ca="1">INDIRECT($B6&amp;"!R159")</f>
        <v>-406462.45</v>
      </c>
      <c r="R6" s="800" cm="1">
        <f t="array" aca="1" ref="R6" ca="1">INDIRECT($B6&amp;"!S159")</f>
        <v>-176856.06</v>
      </c>
      <c r="S6" s="799" cm="1">
        <f t="array" aca="1" ref="S6" ca="1">INDIRECT($B6&amp;"!T159")</f>
        <v>-0.29826702008401601</v>
      </c>
      <c r="T6" s="800" cm="1">
        <f t="array" aca="1" ref="T6" ca="1">INDIRECT($B6&amp;"!U159")</f>
        <v>-49250.409999999902</v>
      </c>
      <c r="U6" s="799" cm="1">
        <f t="array" aca="1" ref="U6" ca="1">INDIRECT($B6&amp;"!V159")</f>
        <v>-7.2529759650732002</v>
      </c>
      <c r="V6" s="800" cm="1">
        <f t="array" aca="1" ref="V6" ca="1">INDIRECT($B6&amp;"!R148")</f>
        <v>103838.07</v>
      </c>
      <c r="W6" s="799">
        <f t="shared" ref="W6:W7" ca="1" si="8">IF(BD6=0,"",IF(BD6&lt;0,2-Q6/BD6,Q6/BD6))</f>
        <v>-3.9143875651772033</v>
      </c>
      <c r="X6" s="800" cm="1">
        <f t="array" aca="1" ref="X6" ca="1">INDIRECT($B6&amp;"!W159")</f>
        <v>0.51806265066897195</v>
      </c>
      <c r="Y6" s="799" cm="1">
        <f t="array" aca="1" ref="Y6" ca="1">INDIRECT($B6&amp;"!X159")</f>
        <v>-2.8051848367758798</v>
      </c>
      <c r="Z6" s="799" cm="1">
        <f t="array" aca="1" ref="Z6" ca="1">INDIRECT($B6&amp;"!Y159")</f>
        <v>3.2112757919209499E-2</v>
      </c>
      <c r="AA6" s="800" cm="1">
        <f t="array" aca="1" ref="AA6" ca="1">INDIRECT($B6&amp;"!Z159")</f>
        <v>165.84337858220201</v>
      </c>
      <c r="AB6" s="800" cm="1">
        <f t="array" aca="1" ref="AB6" ca="1">INDIRECT($B6&amp;"!AA159")</f>
        <v>5.3256882689140799</v>
      </c>
      <c r="AC6" s="800" cm="1">
        <f t="array" aca="1" ref="AC6" ca="1">INDIRECT($B6&amp;"!AB159")</f>
        <v>0.81298808872838801</v>
      </c>
      <c r="AD6" s="799" cm="1">
        <f t="array" aca="1" ref="AD6" ca="1">INDIRECT($B6&amp;"!AC159")</f>
        <v>-0.59771863062783703</v>
      </c>
      <c r="AE6" s="799" cm="1">
        <f t="array" aca="1" ref="AE6" ca="1">INDIRECT($B6&amp;"!AD159")</f>
        <v>0.47804757233193801</v>
      </c>
      <c r="AF6" s="800" cm="1">
        <f t="array" aca="1" ref="AF6" ca="1">INDIRECT($B6&amp;"!AE159")</f>
        <v>0.98638897028471095</v>
      </c>
      <c r="AG6" s="799" cm="1">
        <f t="array" aca="1" ref="AG6" ca="1">INDIRECT($B6&amp;"!AF159")</f>
        <v>-0.59752879962580197</v>
      </c>
      <c r="AH6" s="799" cm="1">
        <f t="array" aca="1" ref="AH6" ca="1">INDIRECT($B6&amp;"!AG159")</f>
        <v>1.06594933444997</v>
      </c>
      <c r="AI6" s="800" cm="1">
        <f t="array" aca="1" ref="AI6" ca="1">INDIRECT($B6&amp;"!AH159")</f>
        <v>1.1984063893771899</v>
      </c>
      <c r="AJ6" s="799" cm="1">
        <f t="array" aca="1" ref="AJ6" ca="1">INDIRECT($B6&amp;"!AI159")</f>
        <v>1.6072897904199201E-3</v>
      </c>
      <c r="AK6" s="799" cm="1">
        <f t="array" aca="1" ref="AK6" ca="1">INDIRECT($B6&amp;"!AJ159")</f>
        <v>2.2241328761094099</v>
      </c>
      <c r="AM6" s="783">
        <f t="shared" ca="1" si="1"/>
        <v>249064.22000000003</v>
      </c>
      <c r="AN6" s="801" cm="1">
        <f t="array" aca="1" ref="AN6" ca="1">INDIRECT($B6&amp;"!M43")</f>
        <v>55218.59</v>
      </c>
      <c r="AO6" s="783">
        <f t="shared" ref="AO6:AO7" ca="1" si="9">AN6/AC6</f>
        <v>67920.539999999964</v>
      </c>
      <c r="AP6" s="783">
        <f t="shared" ref="AP6:AP7" ca="1" si="10">AN6*AD6</f>
        <v>-33005.179999999971</v>
      </c>
      <c r="AQ6" s="801" cm="1">
        <f t="array" aca="1" ref="AQ6" ca="1">INDIRECT($B6&amp;"!M56")</f>
        <v>72474.899999999994</v>
      </c>
      <c r="AR6" s="783">
        <f t="shared" ref="AR6:AR7" ca="1" si="11">AQ6*AE6</f>
        <v>34646.449999999968</v>
      </c>
      <c r="AS6" s="783">
        <f t="shared" ref="AS6:AS7" ca="1" si="12">AQ6/AF6</f>
        <v>73474.969999999972</v>
      </c>
      <c r="AT6" s="783">
        <f t="shared" ref="AT6:AT7" ca="1" si="13">AQ6*AG6</f>
        <v>-43305.840000000033</v>
      </c>
      <c r="AU6" s="783">
        <f t="shared" ca="1" si="2"/>
        <v>137540.37000000061</v>
      </c>
      <c r="AV6" s="783">
        <f t="shared" ca="1" si="3"/>
        <v>107668.71000000021</v>
      </c>
      <c r="AW6" s="783">
        <f t="shared" ca="1" si="4"/>
        <v>207.38999999999996</v>
      </c>
      <c r="AX6" s="783">
        <f t="shared" ca="1" si="5"/>
        <v>286981.79999999935</v>
      </c>
      <c r="AY6" s="802" cm="1">
        <f t="array" aca="1" ref="AY6" ca="1">INDIRECT($B6&amp;"!M6")</f>
        <v>10323</v>
      </c>
      <c r="AZ6" s="802" cm="1">
        <f t="array" aca="1" ref="AZ6" ca="1">INDIRECT($B6&amp;"!M7")</f>
        <v>331.5</v>
      </c>
      <c r="BA6" s="802">
        <f ca="1">'汇总明细-1月'!AU6</f>
        <v>344.1</v>
      </c>
      <c r="BB6" s="801" cm="1">
        <f t="array" aca="1" ref="BB6" ca="1">INDIRECT($B6&amp;"!R16")</f>
        <v>11217170.33</v>
      </c>
      <c r="BC6" s="801" cm="1">
        <f t="array" aca="1" ref="BC6" ca="1">INDIRECT($B6&amp;"!R20")</f>
        <v>760000.30999999901</v>
      </c>
      <c r="BD6" s="801" cm="1">
        <f t="array" aca="1" ref="BD6" ca="1">INDIRECT($B6&amp;"!R148")</f>
        <v>103838.07</v>
      </c>
    </row>
    <row r="7" spans="1:56" ht="16.399999999999999" customHeight="1">
      <c r="A7" s="759" t="s">
        <v>32</v>
      </c>
      <c r="B7" s="759" t="s">
        <v>144</v>
      </c>
      <c r="C7" s="798" cm="1">
        <f t="array" aca="1" ref="C7" ca="1">INDIRECT($B7&amp;"!H159")</f>
        <v>1136568.83</v>
      </c>
      <c r="D7" s="798" cm="1">
        <f t="array" aca="1" ref="D7" ca="1">INDIRECT($B7&amp;"!I159")</f>
        <v>1160828.73</v>
      </c>
      <c r="E7" s="799" cm="1">
        <f t="array" aca="1" ref="E7" ca="1">INDIRECT($B7&amp;"!J159")</f>
        <v>0.97910122365768804</v>
      </c>
      <c r="F7" s="800" cm="1">
        <f t="array" aca="1" ref="F7" ca="1">INDIRECT($B7&amp;"!K159")</f>
        <v>1251789.25</v>
      </c>
      <c r="G7" s="799" cm="1">
        <f t="array" aca="1" ref="G7" ca="1">INDIRECT($B7&amp;"!L159")</f>
        <v>-9.2044583383344994E-2</v>
      </c>
      <c r="H7" s="800" cm="1">
        <f t="array" aca="1" ref="H7" ca="1">INDIRECT($B7&amp;"!R16")</f>
        <v>17816639.27</v>
      </c>
      <c r="I7" s="799">
        <f t="shared" ca="1" si="6"/>
        <v>6.3792548795314985E-2</v>
      </c>
      <c r="J7" s="800" cm="1">
        <f t="array" aca="1" ref="J7" ca="1">INDIRECT($B7&amp;"!M159")</f>
        <v>58022.27</v>
      </c>
      <c r="K7" s="800" cm="1">
        <f t="array" aca="1" ref="K7" ca="1">INDIRECT($B7&amp;"!N159")</f>
        <v>-89792.8100000001</v>
      </c>
      <c r="L7" s="799" cm="1">
        <f t="array" aca="1" ref="L7" ca="1">INDIRECT($B7&amp;"!O159")</f>
        <v>2.6461794658169202</v>
      </c>
      <c r="M7" s="800" cm="1">
        <f t="array" aca="1" ref="M7" ca="1">INDIRECT($B7&amp;"!P159")</f>
        <v>-179449.02</v>
      </c>
      <c r="N7" s="799" cm="1">
        <f t="array" aca="1" ref="N7" ca="1">INDIRECT($B7&amp;"!Q159")</f>
        <v>1.3233356749454499</v>
      </c>
      <c r="O7" s="800" cm="1">
        <f t="array" aca="1" ref="O7" ca="1">INDIRECT($B7&amp;"!R20")</f>
        <v>1967250.38</v>
      </c>
      <c r="P7" s="799">
        <f t="shared" ca="1" si="7"/>
        <v>2.9494095205105514E-2</v>
      </c>
      <c r="Q7" s="800" cm="1">
        <f t="array" aca="1" ref="Q7" ca="1">INDIRECT($B7&amp;"!R159")</f>
        <v>-29581.52</v>
      </c>
      <c r="R7" s="800" cm="1">
        <f t="array" aca="1" ref="R7" ca="1">INDIRECT($B7&amp;"!S159")</f>
        <v>-164641.24</v>
      </c>
      <c r="S7" s="799" cm="1">
        <f t="array" aca="1" ref="S7" ca="1">INDIRECT($B7&amp;"!T159")</f>
        <v>1.8203273979229</v>
      </c>
      <c r="T7" s="800" cm="1">
        <f t="array" aca="1" ref="T7" ca="1">INDIRECT($B7&amp;"!U159")</f>
        <v>-269040.38</v>
      </c>
      <c r="U7" s="799" cm="1">
        <f t="array" aca="1" ref="U7" ca="1">INDIRECT($B7&amp;"!V159")</f>
        <v>0.89004802922148696</v>
      </c>
      <c r="V7" s="800" cm="1">
        <f t="array" aca="1" ref="V7" ca="1">INDIRECT($B7&amp;"!R148")</f>
        <v>983140.22</v>
      </c>
      <c r="W7" s="799">
        <f t="shared" ca="1" si="8"/>
        <v>-3.0088810729358626E-2</v>
      </c>
      <c r="X7" s="800" cm="1">
        <f t="array" aca="1" ref="X7" ca="1">INDIRECT($B7&amp;"!W159")</f>
        <v>2.1067654643068798</v>
      </c>
      <c r="Y7" s="799" cm="1">
        <f t="array" aca="1" ref="Y7" ca="1">INDIRECT($B7&amp;"!X159")</f>
        <v>5.1050379412569298E-2</v>
      </c>
      <c r="Z7" s="799" cm="1">
        <f t="array" aca="1" ref="Z7" ca="1">INDIRECT($B7&amp;"!Y159")</f>
        <v>0.224880615924374</v>
      </c>
      <c r="AA7" s="800" cm="1">
        <f t="array" aca="1" ref="AA7" ca="1">INDIRECT($B7&amp;"!Z159")</f>
        <v>221.87889924160299</v>
      </c>
      <c r="AB7" s="800" cm="1">
        <f t="array" aca="1" ref="AB7" ca="1">INDIRECT($B7&amp;"!AA159")</f>
        <v>49.896263522073902</v>
      </c>
      <c r="AC7" s="800" cm="1">
        <f t="array" aca="1" ref="AC7" ca="1">INDIRECT($B7&amp;"!AB159")</f>
        <v>4.7829934735342503</v>
      </c>
      <c r="AD7" s="799" cm="1">
        <f t="array" aca="1" ref="AD7" ca="1">INDIRECT($B7&amp;"!AC159")</f>
        <v>0.60995124635776399</v>
      </c>
      <c r="AE7" s="799" cm="1">
        <f t="array" aca="1" ref="AE7" ca="1">INDIRECT($B7&amp;"!AD159")</f>
        <v>0.59600743105589704</v>
      </c>
      <c r="AF7" s="800" cm="1">
        <f t="array" aca="1" ref="AF7" ca="1">INDIRECT($B7&amp;"!AE159")</f>
        <v>3.2034786446502199</v>
      </c>
      <c r="AG7" s="799" cm="1">
        <f t="array" aca="1" ref="AG7" ca="1">INDIRECT($B7&amp;"!AF159")</f>
        <v>0.260946142147227</v>
      </c>
      <c r="AH7" s="799" cm="1">
        <f t="array" aca="1" ref="AH7" ca="1">INDIRECT($B7&amp;"!AG159")</f>
        <v>0.117016995794263</v>
      </c>
      <c r="AI7" s="800" cm="1">
        <f t="array" aca="1" ref="AI7" ca="1">INDIRECT($B7&amp;"!AH159")</f>
        <v>4.5567032442403796</v>
      </c>
      <c r="AJ7" s="799" cm="1">
        <f t="array" aca="1" ref="AJ7" ca="1">INDIRECT($B7&amp;"!AI159")</f>
        <v>4.0234237287679303E-2</v>
      </c>
      <c r="AK7" s="799" cm="1">
        <f t="array" aca="1" ref="AK7" ca="1">INDIRECT($B7&amp;"!AJ159")</f>
        <v>0.39204858363043399</v>
      </c>
      <c r="AM7" s="783">
        <f t="shared" ca="1" si="1"/>
        <v>539485.22000000044</v>
      </c>
      <c r="AN7" s="801" cm="1">
        <f t="array" aca="1" ref="AN7" ca="1">INDIRECT($B7&amp;"!M43")</f>
        <v>512343.26</v>
      </c>
      <c r="AO7" s="783">
        <f t="shared" ca="1" si="9"/>
        <v>107117.70000000006</v>
      </c>
      <c r="AP7" s="783">
        <f t="shared" ca="1" si="10"/>
        <v>312504.40999999992</v>
      </c>
      <c r="AQ7" s="801" cm="1">
        <f t="array" aca="1" ref="AQ7" ca="1">INDIRECT($B7&amp;"!M56")</f>
        <v>586043.23</v>
      </c>
      <c r="AR7" s="783">
        <f t="shared" ca="1" si="11"/>
        <v>349286.12000000023</v>
      </c>
      <c r="AS7" s="783">
        <f t="shared" ca="1" si="12"/>
        <v>182939.64000000025</v>
      </c>
      <c r="AT7" s="783">
        <f t="shared" ca="1" si="13"/>
        <v>152925.72000000003</v>
      </c>
      <c r="AU7" s="783">
        <f t="shared" ca="1" si="2"/>
        <v>132997.87000000043</v>
      </c>
      <c r="AV7" s="783">
        <f t="shared" ca="1" si="3"/>
        <v>249427.88</v>
      </c>
      <c r="AW7" s="783">
        <f t="shared" ca="1" si="4"/>
        <v>45728.98000000004</v>
      </c>
      <c r="AX7" s="783">
        <f t="shared" ca="1" si="5"/>
        <v>445590.19999999955</v>
      </c>
      <c r="AY7" s="802" cm="1">
        <f t="array" aca="1" ref="AY7" ca="1">INDIRECT($B7&amp;"!M6")</f>
        <v>10261</v>
      </c>
      <c r="AZ7" s="802" cm="1">
        <f t="array" aca="1" ref="AZ7" ca="1">INDIRECT($B7&amp;"!M7")</f>
        <v>2307.5</v>
      </c>
      <c r="BA7" s="802">
        <f ca="1">'汇总明细-1月'!AU7</f>
        <v>342.03333333333336</v>
      </c>
      <c r="BB7" s="801" cm="1">
        <f t="array" aca="1" ref="BB7" ca="1">INDIRECT($B7&amp;"!R16")</f>
        <v>17816639.27</v>
      </c>
      <c r="BC7" s="801" cm="1">
        <f t="array" aca="1" ref="BC7" ca="1">INDIRECT($B7&amp;"!R20")</f>
        <v>1967250.38</v>
      </c>
      <c r="BD7" s="801" cm="1">
        <f t="array" aca="1" ref="BD7" ca="1">INDIRECT($B7&amp;"!R148")</f>
        <v>983140.22</v>
      </c>
    </row>
  </sheetData>
  <autoFilter ref="B2:BA7" xr:uid="{00000000-0009-0000-0000-000004000000}"/>
  <mergeCells count="8">
    <mergeCell ref="AE1:AG1"/>
    <mergeCell ref="AH1:AK1"/>
    <mergeCell ref="B1:B2"/>
    <mergeCell ref="C1:I1"/>
    <mergeCell ref="J1:P1"/>
    <mergeCell ref="Q1:W1"/>
    <mergeCell ref="X1:Y1"/>
    <mergeCell ref="Z1:AD1"/>
  </mergeCells>
  <phoneticPr fontId="5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"/>
  <sheetViews>
    <sheetView tabSelected="1" workbookViewId="0">
      <selection activeCell="E20" sqref="E20"/>
    </sheetView>
  </sheetViews>
  <sheetFormatPr defaultColWidth="9.140625" defaultRowHeight="13.75"/>
  <cols>
    <col min="1" max="1" width="8.640625" style="776" customWidth="1"/>
    <col min="2" max="3" width="10.140625" style="771" customWidth="1"/>
    <col min="4" max="4" width="10.640625" style="772" customWidth="1"/>
    <col min="5" max="5" width="16.140625" style="766" customWidth="1"/>
    <col min="6" max="6" width="18.85546875" style="766" customWidth="1"/>
    <col min="7" max="10" width="12.85546875" style="766" customWidth="1"/>
    <col min="11" max="11" width="10.2109375" style="772" customWidth="1"/>
    <col min="12" max="12" width="16.140625" style="766" customWidth="1"/>
    <col min="13" max="13" width="18.85546875" style="766" customWidth="1"/>
    <col min="14" max="17" width="12.85546875" style="766" customWidth="1"/>
    <col min="18" max="18" width="11.2109375" style="772" customWidth="1"/>
    <col min="19" max="19" width="16.140625" style="766" customWidth="1"/>
    <col min="20" max="20" width="18.85546875" style="766" customWidth="1"/>
    <col min="21" max="22" width="12.85546875" style="766" customWidth="1"/>
    <col min="23" max="16384" width="9.140625" style="761"/>
  </cols>
  <sheetData>
    <row r="1" spans="1:22" s="769" customFormat="1" ht="14.7" customHeight="1">
      <c r="A1" s="961"/>
      <c r="B1" s="910" t="s">
        <v>9</v>
      </c>
      <c r="C1" s="910"/>
      <c r="D1" s="910"/>
      <c r="E1" s="910"/>
      <c r="F1" s="910"/>
      <c r="G1" s="910"/>
      <c r="H1" s="910"/>
      <c r="I1" s="910" t="s">
        <v>249</v>
      </c>
      <c r="J1" s="910"/>
      <c r="K1" s="910"/>
      <c r="L1" s="910"/>
      <c r="M1" s="910"/>
      <c r="N1" s="910"/>
      <c r="O1" s="910"/>
      <c r="P1" s="910" t="s">
        <v>250</v>
      </c>
      <c r="Q1" s="910"/>
      <c r="R1" s="910"/>
      <c r="S1" s="910"/>
      <c r="T1" s="910"/>
      <c r="U1" s="910"/>
      <c r="V1" s="910"/>
    </row>
    <row r="2" spans="1:22" s="769" customFormat="1" ht="14.6">
      <c r="A2" s="962" t="s">
        <v>481</v>
      </c>
      <c r="B2" s="962" t="s">
        <v>234</v>
      </c>
      <c r="C2" s="962" t="s">
        <v>251</v>
      </c>
      <c r="D2" s="963" t="s">
        <v>252</v>
      </c>
      <c r="E2" s="964" t="s">
        <v>253</v>
      </c>
      <c r="F2" s="964" t="s">
        <v>254</v>
      </c>
      <c r="G2" s="964" t="s">
        <v>255</v>
      </c>
      <c r="H2" s="964" t="s">
        <v>256</v>
      </c>
      <c r="I2" s="962" t="s">
        <v>234</v>
      </c>
      <c r="J2" s="962" t="s">
        <v>251</v>
      </c>
      <c r="K2" s="963" t="s">
        <v>252</v>
      </c>
      <c r="L2" s="964" t="s">
        <v>253</v>
      </c>
      <c r="M2" s="964" t="s">
        <v>254</v>
      </c>
      <c r="N2" s="964" t="s">
        <v>255</v>
      </c>
      <c r="O2" s="964" t="s">
        <v>256</v>
      </c>
      <c r="P2" s="962" t="s">
        <v>234</v>
      </c>
      <c r="Q2" s="962" t="s">
        <v>251</v>
      </c>
      <c r="R2" s="963" t="s">
        <v>252</v>
      </c>
      <c r="S2" s="964" t="s">
        <v>253</v>
      </c>
      <c r="T2" s="964" t="s">
        <v>254</v>
      </c>
      <c r="U2" s="964" t="s">
        <v>255</v>
      </c>
      <c r="V2" s="964" t="s">
        <v>256</v>
      </c>
    </row>
    <row r="3" spans="1:22">
      <c r="A3" s="759" t="s">
        <v>140</v>
      </c>
      <c r="B3" s="777" cm="1">
        <f t="array" aca="1" ref="B3" ca="1">INDIRECT($A3&amp;"!H5")</f>
        <v>18135</v>
      </c>
      <c r="C3" s="777" cm="1">
        <f t="array" aca="1" ref="C3" ca="1">INDIRECT($A3&amp;"!H7")</f>
        <v>5673</v>
      </c>
      <c r="D3" s="775" cm="1">
        <f t="array" aca="1" ref="D3" ca="1">INDIRECT($A3&amp;"!H9")</f>
        <v>0.31282051282051299</v>
      </c>
      <c r="E3" s="774" cm="1">
        <f t="array" aca="1" ref="E3" ca="1">INDIRECT($A3&amp;"!H16")</f>
        <v>2831815.91</v>
      </c>
      <c r="F3" s="774" cm="1">
        <f t="array" aca="1" ref="F3" ca="1">INDIRECT($A3&amp;"!H75")</f>
        <v>69952.73</v>
      </c>
      <c r="G3" s="774" cm="1">
        <f t="array" aca="1" ref="G3" ca="1">INDIRECT($A3&amp;"!H34")</f>
        <v>939636.01</v>
      </c>
      <c r="H3" s="774" cm="1">
        <f t="array" aca="1" ref="H3" ca="1">INDIRECT($A3&amp;"!H36")</f>
        <v>46717.47</v>
      </c>
      <c r="I3" s="777" cm="1">
        <f t="array" aca="1" ref="I3" ca="1">INDIRECT($A3&amp;"!I5")</f>
        <v>18104</v>
      </c>
      <c r="J3" s="777" cm="1">
        <f t="array" aca="1" ref="J3" ca="1">INDIRECT($A3&amp;"!I7")</f>
        <v>4468</v>
      </c>
      <c r="K3" s="775" cm="1">
        <f t="array" aca="1" ref="K3" ca="1">INDIRECT($A3&amp;"!I9")</f>
        <v>0.24679628811312401</v>
      </c>
      <c r="L3" s="774" cm="1">
        <f t="array" aca="1" ref="L3" ca="1">INDIRECT($A3&amp;"!I16")</f>
        <v>2691281.43</v>
      </c>
      <c r="M3" s="774" cm="1">
        <f t="array" aca="1" ref="M3" ca="1">INDIRECT($A3&amp;"!I75")</f>
        <v>48543.69</v>
      </c>
      <c r="N3" s="774" cm="1">
        <f t="array" aca="1" ref="N3" ca="1">INDIRECT($A3&amp;"!I34")</f>
        <v>780583.94</v>
      </c>
      <c r="O3" s="774" cm="1">
        <f t="array" aca="1" ref="O3" ca="1">INDIRECT($A3&amp;"!I36")</f>
        <v>42167</v>
      </c>
      <c r="P3" s="777" cm="1">
        <f t="array" aca="1" ref="P3" ca="1">INDIRECT($A3&amp;"!K5")</f>
        <v>19561</v>
      </c>
      <c r="Q3" s="777" cm="1">
        <f t="array" aca="1" ref="Q3" ca="1">INDIRECT($A3&amp;"!K7")</f>
        <v>4260</v>
      </c>
      <c r="R3" s="775" cm="1">
        <f t="array" aca="1" ref="R3" ca="1">INDIRECT($A3&amp;"!K9")</f>
        <v>0.217780277081949</v>
      </c>
      <c r="S3" s="774" cm="1">
        <f t="array" aca="1" ref="S3" ca="1">INDIRECT($A3&amp;"!K16")</f>
        <v>2941734.5</v>
      </c>
      <c r="T3" s="774" cm="1">
        <f t="array" aca="1" ref="T3" ca="1">INDIRECT($A3&amp;"!K75")</f>
        <v>47126.04</v>
      </c>
      <c r="U3" s="774" cm="1">
        <f t="array" aca="1" ref="U3" ca="1">INDIRECT($A3&amp;"!K34")</f>
        <v>962610.95</v>
      </c>
      <c r="V3" s="774" cm="1">
        <f t="array" aca="1" ref="V3" ca="1">INDIRECT($A3&amp;"!K36")</f>
        <v>35318.51</v>
      </c>
    </row>
    <row r="4" spans="1:22">
      <c r="A4" s="771" t="s">
        <v>142</v>
      </c>
      <c r="B4" s="777" cm="1">
        <f t="array" aca="1" ref="B4" ca="1">INDIRECT($A4&amp;"!H5")</f>
        <v>10323</v>
      </c>
      <c r="C4" s="777" cm="1">
        <f t="array" aca="1" ref="C4" ca="1">INDIRECT($A4&amp;"!H7")</f>
        <v>331.5</v>
      </c>
      <c r="D4" s="775" cm="1">
        <f t="array" aca="1" ref="D4" ca="1">INDIRECT($A4&amp;"!H9")</f>
        <v>3.2112757919209499E-2</v>
      </c>
      <c r="E4" s="774" cm="1">
        <f t="array" aca="1" ref="E4" ca="1">INDIRECT($A4&amp;"!H16")</f>
        <v>129030.87</v>
      </c>
      <c r="F4" s="774" cm="1">
        <f t="array" aca="1" ref="F4" ca="1">INDIRECT($A4&amp;"!H75")</f>
        <v>1070.3399999999999</v>
      </c>
      <c r="G4" s="774" cm="1">
        <f t="array" aca="1" ref="G4" ca="1">INDIRECT($A4&amp;"!H34")</f>
        <v>137540.37</v>
      </c>
      <c r="H4" s="774" cm="1">
        <f t="array" aca="1" ref="H4" ca="1">INDIRECT($A4&amp;"!H36")</f>
        <v>16743.95</v>
      </c>
      <c r="I4" s="777" cm="1">
        <f t="array" aca="1" ref="I4" ca="1">INDIRECT($A4&amp;"!I5")</f>
        <v>10323</v>
      </c>
      <c r="J4" s="777" cm="1">
        <f t="array" aca="1" ref="J4" ca="1">INDIRECT($A4&amp;"!I7")</f>
        <v>1850</v>
      </c>
      <c r="K4" s="775" cm="1">
        <f t="array" aca="1" ref="K4" ca="1">INDIRECT($A4&amp;"!I9")</f>
        <v>0.17921146953405001</v>
      </c>
      <c r="L4" s="774" cm="1">
        <f t="array" aca="1" ref="L4" ca="1">INDIRECT($A4&amp;"!I16")</f>
        <v>631295.71</v>
      </c>
      <c r="M4" s="774" cm="1">
        <f t="array" aca="1" ref="M4" ca="1">INDIRECT($A4&amp;"!I75")</f>
        <v>4587.16</v>
      </c>
      <c r="N4" s="774" cm="1">
        <f t="array" aca="1" ref="N4" ca="1">INDIRECT($A4&amp;"!I34")</f>
        <v>114000</v>
      </c>
      <c r="O4" s="774" cm="1">
        <f t="array" aca="1" ref="O4" ca="1">INDIRECT($A4&amp;"!I36")</f>
        <v>20000</v>
      </c>
      <c r="P4" s="777" cm="1">
        <f t="array" aca="1" ref="P4" ca="1">INDIRECT($A4&amp;"!K5")</f>
        <v>10323</v>
      </c>
      <c r="Q4" s="777" cm="1">
        <f t="array" aca="1" ref="Q4" ca="1">INDIRECT($A4&amp;"!K7")</f>
        <v>2026.5</v>
      </c>
      <c r="R4" s="775" cm="1">
        <f t="array" aca="1" ref="R4" ca="1">INDIRECT($A4&amp;"!K9")</f>
        <v>0.19630921243824501</v>
      </c>
      <c r="S4" s="774" cm="1">
        <f t="array" aca="1" ref="S4" ca="1">INDIRECT($A4&amp;"!K16")</f>
        <v>808427.54</v>
      </c>
      <c r="T4" s="774" cm="1">
        <f t="array" aca="1" ref="T4" ca="1">INDIRECT($A4&amp;"!K75")</f>
        <v>4344.6499999999996</v>
      </c>
      <c r="U4" s="774" cm="1">
        <f t="array" aca="1" ref="U4" ca="1">INDIRECT($A4&amp;"!K34")</f>
        <v>124352.42</v>
      </c>
      <c r="V4" s="774" cm="1">
        <f t="array" aca="1" ref="V4" ca="1">INDIRECT($A4&amp;"!K36")</f>
        <v>12546.82</v>
      </c>
    </row>
    <row r="5" spans="1:22">
      <c r="A5" s="771" t="s">
        <v>144</v>
      </c>
      <c r="B5" s="777" cm="1">
        <f t="array" aca="1" ref="B5" ca="1">INDIRECT($A5&amp;"!H5")</f>
        <v>10261</v>
      </c>
      <c r="C5" s="777" cm="1">
        <f t="array" aca="1" ref="C5" ca="1">INDIRECT($A5&amp;"!H7")</f>
        <v>2307.5</v>
      </c>
      <c r="D5" s="775" cm="1">
        <f t="array" aca="1" ref="D5" ca="1">INDIRECT($A5&amp;"!H9")</f>
        <v>0.224880615924374</v>
      </c>
      <c r="E5" s="774" cm="1">
        <f t="array" aca="1" ref="E5" ca="1">INDIRECT($A5&amp;"!H16")</f>
        <v>1136568.83</v>
      </c>
      <c r="F5" s="774" cm="1">
        <f t="array" aca="1" ref="F5" ca="1">INDIRECT($A5&amp;"!H75")</f>
        <v>36757.129999999997</v>
      </c>
      <c r="G5" s="774" cm="1">
        <f t="array" aca="1" ref="G5" ca="1">INDIRECT($A5&amp;"!H34")</f>
        <v>132997.87</v>
      </c>
      <c r="H5" s="774" cm="1">
        <f t="array" aca="1" ref="H5" ca="1">INDIRECT($A5&amp;"!H36")</f>
        <v>18239.38</v>
      </c>
      <c r="I5" s="777" cm="1">
        <f t="array" aca="1" ref="I5" ca="1">INDIRECT($A5&amp;"!I5")</f>
        <v>10261</v>
      </c>
      <c r="J5" s="777" cm="1">
        <f t="array" aca="1" ref="J5" ca="1">INDIRECT($A5&amp;"!I7")</f>
        <v>2427</v>
      </c>
      <c r="K5" s="775" cm="1">
        <f t="array" aca="1" ref="K5" ca="1">INDIRECT($A5&amp;"!I9")</f>
        <v>0.236526654322191</v>
      </c>
      <c r="L5" s="774" cm="1">
        <f t="array" aca="1" ref="L5" ca="1">INDIRECT($A5&amp;"!I16")</f>
        <v>1160828.73</v>
      </c>
      <c r="M5" s="774" cm="1">
        <f t="array" aca="1" ref="M5" ca="1">INDIRECT($A5&amp;"!I75")</f>
        <v>19479.43</v>
      </c>
      <c r="N5" s="774" cm="1">
        <f t="array" aca="1" ref="N5" ca="1">INDIRECT($A5&amp;"!I34")</f>
        <v>144300</v>
      </c>
      <c r="O5" s="774" cm="1">
        <f t="array" aca="1" ref="O5" ca="1">INDIRECT($A5&amp;"!I36")</f>
        <v>28000</v>
      </c>
      <c r="P5" s="777" cm="1">
        <f t="array" aca="1" ref="P5" ca="1">INDIRECT($A5&amp;"!K5")</f>
        <v>10261</v>
      </c>
      <c r="Q5" s="777" cm="1">
        <f t="array" aca="1" ref="Q5" ca="1">INDIRECT($A5&amp;"!K7")</f>
        <v>1824</v>
      </c>
      <c r="R5" s="775" cm="1">
        <f t="array" aca="1" ref="R5" ca="1">INDIRECT($A5&amp;"!K9")</f>
        <v>0.177760452197642</v>
      </c>
      <c r="S5" s="774" cm="1">
        <f t="array" aca="1" ref="S5" ca="1">INDIRECT($A5&amp;"!K16")</f>
        <v>1251789.25</v>
      </c>
      <c r="T5" s="774" cm="1">
        <f t="array" aca="1" ref="T5" ca="1">INDIRECT($A5&amp;"!K75")</f>
        <v>21942.06</v>
      </c>
      <c r="U5" s="774" cm="1">
        <f t="array" aca="1" ref="U5" ca="1">INDIRECT($A5&amp;"!K34")</f>
        <v>120892.18</v>
      </c>
      <c r="V5" s="774" cm="1">
        <f t="array" aca="1" ref="V5" ca="1">INDIRECT($A5&amp;"!K36")</f>
        <v>32562.07</v>
      </c>
    </row>
  </sheetData>
  <mergeCells count="3">
    <mergeCell ref="B1:H1"/>
    <mergeCell ref="I1:O1"/>
    <mergeCell ref="P1:V1"/>
  </mergeCells>
  <phoneticPr fontId="5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"/>
  <sheetViews>
    <sheetView workbookViewId="0">
      <selection activeCell="H25" sqref="G25:H25"/>
    </sheetView>
  </sheetViews>
  <sheetFormatPr defaultColWidth="9.140625" defaultRowHeight="13.75"/>
  <cols>
    <col min="1" max="1" width="9.92578125" style="758" customWidth="1"/>
    <col min="2" max="3" width="10.140625" style="771" customWidth="1"/>
    <col min="4" max="4" width="11" style="772" customWidth="1"/>
    <col min="5" max="5" width="16.140625" style="773" customWidth="1"/>
    <col min="6" max="6" width="18.85546875" style="759" customWidth="1"/>
    <col min="7" max="10" width="12.85546875" style="759" customWidth="1"/>
    <col min="11" max="11" width="9.140625" style="772"/>
    <col min="12" max="12" width="16.140625" style="773" customWidth="1"/>
    <col min="13" max="13" width="18.85546875" style="759" customWidth="1"/>
    <col min="14" max="17" width="12.85546875" style="759" customWidth="1"/>
    <col min="18" max="18" width="11.640625" style="772" customWidth="1"/>
    <col min="19" max="19" width="16.140625" style="773" customWidth="1"/>
    <col min="20" max="20" width="18.85546875" style="759" customWidth="1"/>
    <col min="21" max="22" width="12.85546875" style="759" customWidth="1"/>
    <col min="23" max="16384" width="9.140625" style="761"/>
  </cols>
  <sheetData>
    <row r="1" spans="1:22" s="769" customFormat="1" ht="14.7" customHeight="1">
      <c r="A1" s="965"/>
      <c r="B1" s="910" t="s">
        <v>9</v>
      </c>
      <c r="C1" s="910"/>
      <c r="D1" s="910"/>
      <c r="E1" s="910"/>
      <c r="F1" s="910"/>
      <c r="G1" s="910"/>
      <c r="H1" s="910"/>
      <c r="I1" s="910" t="s">
        <v>249</v>
      </c>
      <c r="J1" s="910"/>
      <c r="K1" s="910"/>
      <c r="L1" s="910"/>
      <c r="M1" s="910"/>
      <c r="N1" s="910"/>
      <c r="O1" s="910"/>
      <c r="P1" s="910" t="s">
        <v>250</v>
      </c>
      <c r="Q1" s="910"/>
      <c r="R1" s="910"/>
      <c r="S1" s="910"/>
      <c r="T1" s="910"/>
      <c r="U1" s="910"/>
      <c r="V1" s="910"/>
    </row>
    <row r="2" spans="1:22" s="769" customFormat="1" ht="14.6">
      <c r="A2" s="965" t="s">
        <v>481</v>
      </c>
      <c r="B2" s="962" t="s">
        <v>234</v>
      </c>
      <c r="C2" s="962" t="s">
        <v>251</v>
      </c>
      <c r="D2" s="963" t="s">
        <v>252</v>
      </c>
      <c r="E2" s="966" t="s">
        <v>253</v>
      </c>
      <c r="F2" s="822" t="s">
        <v>254</v>
      </c>
      <c r="G2" s="822" t="s">
        <v>255</v>
      </c>
      <c r="H2" s="822" t="s">
        <v>256</v>
      </c>
      <c r="I2" s="962" t="s">
        <v>234</v>
      </c>
      <c r="J2" s="962" t="s">
        <v>251</v>
      </c>
      <c r="K2" s="963" t="s">
        <v>252</v>
      </c>
      <c r="L2" s="966" t="s">
        <v>253</v>
      </c>
      <c r="M2" s="822" t="s">
        <v>254</v>
      </c>
      <c r="N2" s="822" t="s">
        <v>255</v>
      </c>
      <c r="O2" s="822" t="s">
        <v>256</v>
      </c>
      <c r="P2" s="962" t="s">
        <v>234</v>
      </c>
      <c r="Q2" s="962" t="s">
        <v>251</v>
      </c>
      <c r="R2" s="963" t="s">
        <v>252</v>
      </c>
      <c r="S2" s="966" t="s">
        <v>253</v>
      </c>
      <c r="T2" s="822" t="s">
        <v>254</v>
      </c>
      <c r="U2" s="822" t="s">
        <v>255</v>
      </c>
      <c r="V2" s="822" t="s">
        <v>256</v>
      </c>
    </row>
    <row r="3" spans="1:22">
      <c r="A3" s="759" t="s">
        <v>140</v>
      </c>
      <c r="B3" s="774" cm="1">
        <f t="array" aca="1" ref="B3" ca="1">INDIRECT($A3&amp;"!M5")</f>
        <v>18135</v>
      </c>
      <c r="C3" s="774" cm="1">
        <f t="array" aca="1" ref="C3" ca="1">INDIRECT($A3&amp;"!M7")</f>
        <v>5673</v>
      </c>
      <c r="D3" s="775" cm="1">
        <f t="array" aca="1" ref="D3" ca="1">INDIRECT($A3&amp;"!M9")</f>
        <v>0.31282051282051299</v>
      </c>
      <c r="E3" s="774" cm="1">
        <f t="array" aca="1" ref="E3" ca="1">INDIRECT($A3&amp;"!M16")</f>
        <v>2831815.91</v>
      </c>
      <c r="F3" s="774" cm="1">
        <f t="array" aca="1" ref="F3" ca="1">INDIRECT($A3&amp;"!M75")</f>
        <v>69952.73</v>
      </c>
      <c r="G3" s="774" cm="1">
        <f t="array" aca="1" ref="G3" ca="1">INDIRECT($A3&amp;"!M34")</f>
        <v>939636.01</v>
      </c>
      <c r="H3" s="774" cm="1">
        <f t="array" aca="1" ref="H3" ca="1">INDIRECT($A3&amp;"!M36")</f>
        <v>46717.47</v>
      </c>
      <c r="I3" s="774" cm="1">
        <f t="array" aca="1" ref="I3" ca="1">INDIRECT($A3&amp;"!N5")</f>
        <v>18104</v>
      </c>
      <c r="J3" s="774" cm="1">
        <f t="array" aca="1" ref="J3" ca="1">INDIRECT($A3&amp;"!N7")</f>
        <v>4468</v>
      </c>
      <c r="K3" s="775" cm="1">
        <f t="array" aca="1" ref="K3" ca="1">INDIRECT($A3&amp;"!N9")</f>
        <v>0.24679628811312401</v>
      </c>
      <c r="L3" s="774" cm="1">
        <f t="array" aca="1" ref="L3" ca="1">INDIRECT($A3&amp;"!N16")</f>
        <v>2691281.43</v>
      </c>
      <c r="M3" s="774" cm="1">
        <f t="array" aca="1" ref="M3" ca="1">INDIRECT($A3&amp;"!N75")</f>
        <v>48543.69</v>
      </c>
      <c r="N3" s="774" cm="1">
        <f t="array" aca="1" ref="N3" ca="1">INDIRECT($A3&amp;"!N34")</f>
        <v>780583.94</v>
      </c>
      <c r="O3" s="774" cm="1">
        <f t="array" aca="1" ref="O3" ca="1">INDIRECT($A3&amp;"!N36")</f>
        <v>42167</v>
      </c>
      <c r="P3" s="774" cm="1">
        <f t="array" aca="1" ref="P3" ca="1">INDIRECT($A3&amp;"!P5")</f>
        <v>19561</v>
      </c>
      <c r="Q3" s="774" cm="1">
        <f t="array" aca="1" ref="Q3" ca="1">INDIRECT($A3&amp;"!P7")</f>
        <v>4260</v>
      </c>
      <c r="R3" s="775" cm="1">
        <f t="array" aca="1" ref="R3" ca="1">INDIRECT($A3&amp;"!P9")</f>
        <v>0.217780277081949</v>
      </c>
      <c r="S3" s="774" cm="1">
        <f t="array" aca="1" ref="S3" ca="1">INDIRECT($A3&amp;"!P16")</f>
        <v>2941734.5</v>
      </c>
      <c r="T3" s="774" cm="1">
        <f t="array" aca="1" ref="T3" ca="1">INDIRECT($A3&amp;"!P75")</f>
        <v>47126.04</v>
      </c>
      <c r="U3" s="774" cm="1">
        <f t="array" aca="1" ref="U3" ca="1">INDIRECT($A3&amp;"!P34")</f>
        <v>962610.95</v>
      </c>
      <c r="V3" s="774" cm="1">
        <f t="array" aca="1" ref="V3" ca="1">INDIRECT($A3&amp;"!P36")</f>
        <v>35318.51</v>
      </c>
    </row>
    <row r="4" spans="1:22">
      <c r="A4" s="759" t="s">
        <v>142</v>
      </c>
      <c r="B4" s="774" cm="1">
        <f t="array" aca="1" ref="B4" ca="1">INDIRECT($A4&amp;"!M5")</f>
        <v>10323</v>
      </c>
      <c r="C4" s="774" cm="1">
        <f t="array" aca="1" ref="C4" ca="1">INDIRECT($A4&amp;"!M7")</f>
        <v>331.5</v>
      </c>
      <c r="D4" s="775" cm="1">
        <f t="array" aca="1" ref="D4" ca="1">INDIRECT($A4&amp;"!M9")</f>
        <v>3.2112757919209499E-2</v>
      </c>
      <c r="E4" s="774" cm="1">
        <f t="array" aca="1" ref="E4" ca="1">INDIRECT($A4&amp;"!M16")</f>
        <v>129030.87</v>
      </c>
      <c r="F4" s="774" cm="1">
        <f t="array" aca="1" ref="F4" ca="1">INDIRECT($A4&amp;"!M75")</f>
        <v>1070.3399999999999</v>
      </c>
      <c r="G4" s="774" cm="1">
        <f t="array" aca="1" ref="G4" ca="1">INDIRECT($A4&amp;"!M34")</f>
        <v>137540.37</v>
      </c>
      <c r="H4" s="774" cm="1">
        <f t="array" aca="1" ref="H4" ca="1">INDIRECT($A4&amp;"!M36")</f>
        <v>16743.95</v>
      </c>
      <c r="I4" s="774" cm="1">
        <f t="array" aca="1" ref="I4" ca="1">INDIRECT($A4&amp;"!N5")</f>
        <v>10323</v>
      </c>
      <c r="J4" s="774" cm="1">
        <f t="array" aca="1" ref="J4" ca="1">INDIRECT($A4&amp;"!N7")</f>
        <v>1850</v>
      </c>
      <c r="K4" s="775" cm="1">
        <f t="array" aca="1" ref="K4" ca="1">INDIRECT($A4&amp;"!N9")</f>
        <v>0.17921146953405001</v>
      </c>
      <c r="L4" s="774" cm="1">
        <f t="array" aca="1" ref="L4" ca="1">INDIRECT($A4&amp;"!N16")</f>
        <v>631295.71</v>
      </c>
      <c r="M4" s="774" cm="1">
        <f t="array" aca="1" ref="M4" ca="1">INDIRECT($A4&amp;"!N75")</f>
        <v>4587.16</v>
      </c>
      <c r="N4" s="774" cm="1">
        <f t="array" aca="1" ref="N4" ca="1">INDIRECT($A4&amp;"!N34")</f>
        <v>114000</v>
      </c>
      <c r="O4" s="774" cm="1">
        <f t="array" aca="1" ref="O4" ca="1">INDIRECT($A4&amp;"!N36")</f>
        <v>20000</v>
      </c>
      <c r="P4" s="774" cm="1">
        <f t="array" aca="1" ref="P4" ca="1">INDIRECT($A4&amp;"!P5")</f>
        <v>10323</v>
      </c>
      <c r="Q4" s="774" cm="1">
        <f t="array" aca="1" ref="Q4" ca="1">INDIRECT($A4&amp;"!P7")</f>
        <v>2026.5</v>
      </c>
      <c r="R4" s="775" cm="1">
        <f t="array" aca="1" ref="R4" ca="1">INDIRECT($A4&amp;"!P9")</f>
        <v>0.19630921243824501</v>
      </c>
      <c r="S4" s="774" cm="1">
        <f t="array" aca="1" ref="S4" ca="1">INDIRECT($A4&amp;"!P16")</f>
        <v>808427.54</v>
      </c>
      <c r="T4" s="774" cm="1">
        <f t="array" aca="1" ref="T4" ca="1">INDIRECT($A4&amp;"!P75")</f>
        <v>4344.6499999999996</v>
      </c>
      <c r="U4" s="774" cm="1">
        <f t="array" aca="1" ref="U4" ca="1">INDIRECT($A4&amp;"!P34")</f>
        <v>124352.42</v>
      </c>
      <c r="V4" s="774" cm="1">
        <f t="array" aca="1" ref="V4" ca="1">INDIRECT($A4&amp;"!P36")</f>
        <v>12546.82</v>
      </c>
    </row>
    <row r="5" spans="1:22">
      <c r="A5" s="759" t="s">
        <v>144</v>
      </c>
      <c r="B5" s="774" cm="1">
        <f t="array" aca="1" ref="B5" ca="1">INDIRECT($A5&amp;"!M5")</f>
        <v>10261</v>
      </c>
      <c r="C5" s="774" cm="1">
        <f t="array" aca="1" ref="C5" ca="1">INDIRECT($A5&amp;"!M7")</f>
        <v>2307.5</v>
      </c>
      <c r="D5" s="775" cm="1">
        <f t="array" aca="1" ref="D5" ca="1">INDIRECT($A5&amp;"!M9")</f>
        <v>0.224880615924374</v>
      </c>
      <c r="E5" s="774" cm="1">
        <f t="array" aca="1" ref="E5" ca="1">INDIRECT($A5&amp;"!M16")</f>
        <v>1136568.83</v>
      </c>
      <c r="F5" s="774" cm="1">
        <f t="array" aca="1" ref="F5" ca="1">INDIRECT($A5&amp;"!M75")</f>
        <v>36757.129999999997</v>
      </c>
      <c r="G5" s="774" cm="1">
        <f t="array" aca="1" ref="G5" ca="1">INDIRECT($A5&amp;"!M34")</f>
        <v>132997.87</v>
      </c>
      <c r="H5" s="774" cm="1">
        <f t="array" aca="1" ref="H5" ca="1">INDIRECT($A5&amp;"!M36")</f>
        <v>18239.38</v>
      </c>
      <c r="I5" s="774" cm="1">
        <f t="array" aca="1" ref="I5" ca="1">INDIRECT($A5&amp;"!N5")</f>
        <v>10261</v>
      </c>
      <c r="J5" s="774" cm="1">
        <f t="array" aca="1" ref="J5" ca="1">INDIRECT($A5&amp;"!N7")</f>
        <v>2427</v>
      </c>
      <c r="K5" s="775" cm="1">
        <f t="array" aca="1" ref="K5" ca="1">INDIRECT($A5&amp;"!N9")</f>
        <v>0.236526654322191</v>
      </c>
      <c r="L5" s="774" cm="1">
        <f t="array" aca="1" ref="L5" ca="1">INDIRECT($A5&amp;"!N16")</f>
        <v>1160828.73</v>
      </c>
      <c r="M5" s="774" cm="1">
        <f t="array" aca="1" ref="M5" ca="1">INDIRECT($A5&amp;"!N75")</f>
        <v>19479.43</v>
      </c>
      <c r="N5" s="774" cm="1">
        <f t="array" aca="1" ref="N5" ca="1">INDIRECT($A5&amp;"!N34")</f>
        <v>144300</v>
      </c>
      <c r="O5" s="774" cm="1">
        <f t="array" aca="1" ref="O5" ca="1">INDIRECT($A5&amp;"!N36")</f>
        <v>28000</v>
      </c>
      <c r="P5" s="774" cm="1">
        <f t="array" aca="1" ref="P5" ca="1">INDIRECT($A5&amp;"!P5")</f>
        <v>10261</v>
      </c>
      <c r="Q5" s="774" cm="1">
        <f t="array" aca="1" ref="Q5" ca="1">INDIRECT($A5&amp;"!P7")</f>
        <v>1824</v>
      </c>
      <c r="R5" s="775" cm="1">
        <f t="array" aca="1" ref="R5" ca="1">INDIRECT($A5&amp;"!P9")</f>
        <v>0.177760452197642</v>
      </c>
      <c r="S5" s="774" cm="1">
        <f t="array" aca="1" ref="S5" ca="1">INDIRECT($A5&amp;"!P16")</f>
        <v>1251789.25</v>
      </c>
      <c r="T5" s="774" cm="1">
        <f t="array" aca="1" ref="T5" ca="1">INDIRECT($A5&amp;"!P75")</f>
        <v>21942.06</v>
      </c>
      <c r="U5" s="774" cm="1">
        <f t="array" aca="1" ref="U5" ca="1">INDIRECT($A5&amp;"!P34")</f>
        <v>120892.18</v>
      </c>
      <c r="V5" s="774" cm="1">
        <f t="array" aca="1" ref="V5" ca="1">INDIRECT($A5&amp;"!P36")</f>
        <v>32562.07</v>
      </c>
    </row>
    <row r="6" spans="1:22">
      <c r="D6" s="775"/>
    </row>
  </sheetData>
  <mergeCells count="3">
    <mergeCell ref="B1:H1"/>
    <mergeCell ref="I1:O1"/>
    <mergeCell ref="P1:V1"/>
  </mergeCells>
  <phoneticPr fontId="5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39"/>
  <sheetViews>
    <sheetView workbookViewId="0">
      <selection activeCell="E39" sqref="E39"/>
    </sheetView>
  </sheetViews>
  <sheetFormatPr defaultColWidth="9.140625" defaultRowHeight="13.75"/>
  <cols>
    <col min="1" max="1" width="13.640625" style="759" customWidth="1"/>
    <col min="2" max="2" width="15" style="760" customWidth="1"/>
    <col min="3" max="3" width="10.140625" style="759" customWidth="1"/>
    <col min="4" max="4" width="17.35546875" style="760" customWidth="1"/>
    <col min="5" max="5" width="17.35546875" style="759" customWidth="1"/>
    <col min="6" max="6" width="17.35546875" style="760" customWidth="1"/>
    <col min="7" max="34" width="17.35546875" style="759" customWidth="1"/>
    <col min="35" max="35" width="14.35546875" style="761" customWidth="1"/>
    <col min="36" max="16384" width="9.140625" style="761"/>
  </cols>
  <sheetData>
    <row r="1" spans="1:35" s="758" customFormat="1">
      <c r="A1" s="759"/>
      <c r="B1" s="762" t="s">
        <v>5</v>
      </c>
      <c r="C1" s="762" t="s">
        <v>5</v>
      </c>
      <c r="D1" s="762" t="s">
        <v>5</v>
      </c>
      <c r="E1" s="762" t="s">
        <v>5</v>
      </c>
      <c r="F1" s="762" t="s">
        <v>5</v>
      </c>
      <c r="G1" s="762" t="s">
        <v>5</v>
      </c>
      <c r="H1" s="762" t="s">
        <v>5</v>
      </c>
      <c r="I1" s="762" t="s">
        <v>5</v>
      </c>
      <c r="J1" s="762" t="s">
        <v>5</v>
      </c>
      <c r="K1" s="762" t="s">
        <v>5</v>
      </c>
      <c r="L1" s="763" t="s">
        <v>6</v>
      </c>
      <c r="M1" s="763" t="s">
        <v>6</v>
      </c>
      <c r="N1" s="763" t="s">
        <v>6</v>
      </c>
      <c r="O1" s="763" t="s">
        <v>6</v>
      </c>
      <c r="P1" s="763" t="s">
        <v>6</v>
      </c>
      <c r="Q1" s="763" t="s">
        <v>6</v>
      </c>
      <c r="R1" s="763" t="s">
        <v>6</v>
      </c>
      <c r="S1" s="763" t="s">
        <v>6</v>
      </c>
      <c r="T1" s="763" t="s">
        <v>6</v>
      </c>
      <c r="U1" s="763" t="s">
        <v>6</v>
      </c>
      <c r="V1" s="764" t="s">
        <v>7</v>
      </c>
      <c r="W1" s="764" t="s">
        <v>7</v>
      </c>
      <c r="X1" s="764" t="s">
        <v>7</v>
      </c>
      <c r="Y1" s="764" t="s">
        <v>7</v>
      </c>
      <c r="Z1" s="764" t="s">
        <v>7</v>
      </c>
      <c r="AA1" s="764" t="s">
        <v>7</v>
      </c>
      <c r="AB1" s="763" t="s">
        <v>8</v>
      </c>
      <c r="AC1" s="763" t="s">
        <v>8</v>
      </c>
      <c r="AD1" s="763" t="s">
        <v>8</v>
      </c>
      <c r="AE1" s="763" t="s">
        <v>8</v>
      </c>
      <c r="AF1" s="763" t="s">
        <v>8</v>
      </c>
      <c r="AG1" s="763" t="s">
        <v>8</v>
      </c>
      <c r="AH1" s="763" t="s">
        <v>8</v>
      </c>
      <c r="AI1" s="763" t="s">
        <v>8</v>
      </c>
    </row>
    <row r="2" spans="1:35">
      <c r="B2" s="760" t="s">
        <v>96</v>
      </c>
      <c r="C2" s="759" t="s">
        <v>96</v>
      </c>
      <c r="D2" s="760" t="s">
        <v>210</v>
      </c>
      <c r="E2" s="759" t="s">
        <v>210</v>
      </c>
      <c r="F2" s="760" t="s">
        <v>263</v>
      </c>
      <c r="G2" s="759" t="s">
        <v>263</v>
      </c>
      <c r="H2" s="759" t="s">
        <v>259</v>
      </c>
      <c r="I2" s="759" t="s">
        <v>259</v>
      </c>
      <c r="J2" s="759" t="s">
        <v>15</v>
      </c>
      <c r="K2" s="759" t="s">
        <v>15</v>
      </c>
      <c r="L2" s="759" t="s">
        <v>16</v>
      </c>
      <c r="M2" s="759" t="s">
        <v>16</v>
      </c>
      <c r="N2" s="759" t="s">
        <v>260</v>
      </c>
      <c r="O2" s="759" t="s">
        <v>260</v>
      </c>
      <c r="P2" s="759" t="s">
        <v>261</v>
      </c>
      <c r="Q2" s="759" t="s">
        <v>261</v>
      </c>
      <c r="R2" s="759" t="s">
        <v>259</v>
      </c>
      <c r="S2" s="759" t="s">
        <v>259</v>
      </c>
      <c r="T2" s="759" t="s">
        <v>19</v>
      </c>
      <c r="U2" s="759" t="s">
        <v>19</v>
      </c>
      <c r="V2" s="759" t="s">
        <v>20</v>
      </c>
      <c r="W2" s="759" t="s">
        <v>20</v>
      </c>
      <c r="X2" s="759" t="s">
        <v>259</v>
      </c>
      <c r="Y2" s="759" t="s">
        <v>259</v>
      </c>
      <c r="Z2" s="759" t="s">
        <v>21</v>
      </c>
      <c r="AA2" s="759" t="s">
        <v>21</v>
      </c>
      <c r="AB2" s="759" t="s">
        <v>22</v>
      </c>
      <c r="AC2" s="759" t="s">
        <v>22</v>
      </c>
      <c r="AD2" s="759" t="s">
        <v>259</v>
      </c>
      <c r="AE2" s="759" t="s">
        <v>259</v>
      </c>
      <c r="AF2" s="759" t="s">
        <v>23</v>
      </c>
      <c r="AG2" s="759" t="s">
        <v>23</v>
      </c>
      <c r="AH2" s="759" t="s">
        <v>24</v>
      </c>
      <c r="AI2" s="759" t="s">
        <v>24</v>
      </c>
    </row>
    <row r="3" spans="1:35">
      <c r="A3" s="759" t="s">
        <v>257</v>
      </c>
      <c r="B3" s="760" t="s">
        <v>262</v>
      </c>
      <c r="C3" s="759" t="s">
        <v>258</v>
      </c>
      <c r="D3" s="760" t="s">
        <v>262</v>
      </c>
      <c r="E3" s="759" t="s">
        <v>258</v>
      </c>
      <c r="F3" s="760" t="s">
        <v>262</v>
      </c>
      <c r="G3" s="759" t="s">
        <v>258</v>
      </c>
      <c r="H3" s="759" t="s">
        <v>262</v>
      </c>
      <c r="I3" s="759" t="s">
        <v>258</v>
      </c>
      <c r="J3" s="759" t="s">
        <v>262</v>
      </c>
      <c r="K3" s="759" t="s">
        <v>258</v>
      </c>
      <c r="L3" s="759" t="s">
        <v>262</v>
      </c>
      <c r="M3" s="759" t="s">
        <v>258</v>
      </c>
      <c r="N3" s="759" t="s">
        <v>262</v>
      </c>
      <c r="O3" s="759" t="s">
        <v>258</v>
      </c>
      <c r="P3" s="759" t="s">
        <v>262</v>
      </c>
      <c r="Q3" s="759" t="s">
        <v>258</v>
      </c>
      <c r="R3" s="759" t="s">
        <v>262</v>
      </c>
      <c r="S3" s="759" t="s">
        <v>258</v>
      </c>
      <c r="T3" s="759" t="s">
        <v>262</v>
      </c>
      <c r="U3" s="759" t="s">
        <v>258</v>
      </c>
      <c r="V3" s="759" t="s">
        <v>262</v>
      </c>
      <c r="W3" s="759" t="s">
        <v>258</v>
      </c>
      <c r="X3" s="759" t="s">
        <v>262</v>
      </c>
      <c r="Y3" s="759" t="s">
        <v>258</v>
      </c>
      <c r="Z3" s="759" t="s">
        <v>262</v>
      </c>
      <c r="AA3" s="759" t="s">
        <v>258</v>
      </c>
      <c r="AB3" s="759" t="s">
        <v>262</v>
      </c>
      <c r="AC3" s="759" t="s">
        <v>258</v>
      </c>
      <c r="AD3" s="759" t="s">
        <v>262</v>
      </c>
      <c r="AE3" s="759" t="s">
        <v>258</v>
      </c>
      <c r="AF3" s="759" t="s">
        <v>262</v>
      </c>
      <c r="AG3" s="759" t="s">
        <v>258</v>
      </c>
      <c r="AH3" s="759" t="s">
        <v>262</v>
      </c>
      <c r="AI3" s="759" t="s">
        <v>258</v>
      </c>
    </row>
    <row r="4" spans="1:35">
      <c r="A4" s="759" t="s">
        <v>28</v>
      </c>
      <c r="B4" s="765">
        <f ca="1">VLOOKUP($A4,'汇总-1月'!$B$5:$AE$23,2,0)</f>
        <v>283.18159100000003</v>
      </c>
      <c r="C4" s="759" t="e">
        <f t="shared" ref="C4:C39" ca="1" si="0">RANK(B4,$B$4:$B$59)</f>
        <v>#N/A</v>
      </c>
      <c r="D4" s="765">
        <f ca="1">VLOOKUP($A4,'汇总-1月'!$B$5:$AE$23,7,0)</f>
        <v>-34.304774000000002</v>
      </c>
      <c r="E4" s="759" t="e">
        <f t="shared" ref="E4:E39" ca="1" si="1">RANK(D4,$D$4:$D$59)</f>
        <v>#N/A</v>
      </c>
      <c r="F4" s="765">
        <f ca="1">VLOOKUP($A4,'汇总-1月'!$B$5:$AE$23,12,0)</f>
        <v>-58.735146999999998</v>
      </c>
      <c r="G4" s="759" t="e">
        <f t="shared" ref="G4:G39" ca="1" si="2">RANK(F4,$F$4:$F$59)</f>
        <v>#N/A</v>
      </c>
      <c r="H4" s="766">
        <f ca="1">VLOOKUP($A4,'汇总-1月'!$B$5:$AE$23,17,0)</f>
        <v>2.5475391726702998</v>
      </c>
      <c r="I4" s="759" t="e">
        <f t="shared" ref="I4:I39" ca="1" si="3">RANK(H4,$H$4:$H$59)</f>
        <v>#N/A</v>
      </c>
      <c r="J4" s="767">
        <f ca="1">VLOOKUP($A4,'汇总-1月'!$B$5:$AE$23,18,0)</f>
        <v>-0.121140551117251</v>
      </c>
      <c r="K4" s="759" t="e">
        <f t="shared" ref="K4:K39" ca="1" si="4">RANK(J4,$J$4:$J$59)</f>
        <v>#N/A</v>
      </c>
      <c r="L4" s="767">
        <f ca="1">VLOOKUP($A4,'汇总-1月'!$B$5:$AE$23,19,0)</f>
        <v>0.31282051282051299</v>
      </c>
      <c r="M4" s="759" t="e">
        <f t="shared" ref="M4:M39" ca="1" si="5">RANK(L4,$L$4:$L$59)</f>
        <v>#N/A</v>
      </c>
      <c r="N4" s="768">
        <f ca="1">VLOOKUP($A4,'汇总-1月'!$B$5:$AE$23,20,0)</f>
        <v>199.24168341265599</v>
      </c>
      <c r="O4" s="759" t="e">
        <f t="shared" ref="O4:O39" ca="1" si="6">RANK(N4,$N$4:$N$59)</f>
        <v>#N/A</v>
      </c>
      <c r="P4" s="768">
        <f ca="1">VLOOKUP($A4,'汇总-1月'!$B$5:$AE$23,21,0)</f>
        <v>62.326885580369499</v>
      </c>
      <c r="Q4" s="759" t="e">
        <f t="shared" ref="Q4:Q39" ca="1" si="7">RANK(P4,$P$4:$P$59)</f>
        <v>#N/A</v>
      </c>
      <c r="R4" s="768">
        <f ca="1">VLOOKUP($A4,'汇总-1月'!$B$5:$AE$23,22,0)</f>
        <v>3.9706352792525901</v>
      </c>
      <c r="S4" s="759" t="e">
        <f t="shared" ref="S4:S39" ca="1" si="8">RANK(R4,$R$4:$R$59)</f>
        <v>#N/A</v>
      </c>
      <c r="T4" s="767">
        <f ca="1">VLOOKUP($A4,'汇总-1月'!$B$5:$AE$23,23,0)</f>
        <v>0.56916344729471902</v>
      </c>
      <c r="U4" s="759" t="e">
        <f t="shared" ref="U4:U39" ca="1" si="9">RANK(T4,$T$4:$T$59)</f>
        <v>#N/A</v>
      </c>
      <c r="V4" s="767">
        <f ca="1">VLOOKUP($A4,'汇总-1月'!$B$5:$AE$23,24,0)</f>
        <v>0.53898494290128796</v>
      </c>
      <c r="W4" s="759" t="e">
        <f t="shared" ref="W4:W39" ca="1" si="10">RANK(V4,$V$4:$V$59)</f>
        <v>#N/A</v>
      </c>
      <c r="X4" s="768">
        <f ca="1">VLOOKUP($A4,'汇总-1月'!$B$5:$AE$23,25,0)</f>
        <v>5.0071107421836096</v>
      </c>
      <c r="Y4" s="759" t="e">
        <f t="shared" ref="Y4:Y39" ca="1" si="11">RANK(X4,$X$4:$X$59)</f>
        <v>#N/A</v>
      </c>
      <c r="Z4" s="767">
        <f ca="1">VLOOKUP($A4,'汇总-1月'!$B$5:$AE$23,26,0)</f>
        <v>0.31116500040032002</v>
      </c>
      <c r="AA4" s="759" t="e">
        <f t="shared" ref="AA4:AA39" ca="1" si="12">RANK(Z4,$Z$4:$Z$59)</f>
        <v>#N/A</v>
      </c>
      <c r="AB4" s="767">
        <f ca="1">VLOOKUP($A4,'汇总-1月'!$B$5:$AE$23,27,0)</f>
        <v>0.33181394549054599</v>
      </c>
      <c r="AC4" s="759" t="e">
        <f t="shared" ref="AC4:AC39" ca="1" si="13">RANK(AB4,$AB$4:$AB$59)</f>
        <v>#N/A</v>
      </c>
      <c r="AD4" s="768">
        <f ca="1">VLOOKUP($A4,'汇总-1月'!$B$5:$AE$23,28,0)</f>
        <v>5.5028083927558402</v>
      </c>
      <c r="AE4" s="759" t="e">
        <f t="shared" ref="AE4:AE39" ca="1" si="14">RANK(AD4,$AD$4:$AD$59)</f>
        <v>#N/A</v>
      </c>
      <c r="AF4" s="767">
        <f ca="1">VLOOKUP($A4,'汇总-1月'!$B$5:$AE$23,29,0)</f>
        <v>2.3047179645233399E-2</v>
      </c>
      <c r="AG4" s="759" t="e">
        <f t="shared" ref="AG4:AG39" ca="1" si="15">RANK(AF4,$AF$4:$AF$59)</f>
        <v>#N/A</v>
      </c>
      <c r="AH4" s="767">
        <f ca="1">VLOOKUP($A4,'汇总-1月'!$B$5:$AE$23,30,0)</f>
        <v>0.55986208157153805</v>
      </c>
      <c r="AI4" s="759" t="e">
        <f t="shared" ref="AI4:AI39" ca="1" si="16">RANK(AH4,$AH$4:$AH$59)</f>
        <v>#N/A</v>
      </c>
    </row>
    <row r="5" spans="1:35">
      <c r="A5" s="759" t="s">
        <v>30</v>
      </c>
      <c r="B5" s="765">
        <f ca="1">VLOOKUP($A5,'汇总-1月'!$B$5:$AE$23,2,0)</f>
        <v>12.903086999999999</v>
      </c>
      <c r="C5" s="759" t="e">
        <f t="shared" ca="1" si="0"/>
        <v>#N/A</v>
      </c>
      <c r="D5" s="765">
        <f ca="1">VLOOKUP($A5,'汇总-1月'!$B$5:$AE$23,7,0)</f>
        <v>-36.195543999999998</v>
      </c>
      <c r="E5" s="759" t="e">
        <f t="shared" ca="1" si="1"/>
        <v>#N/A</v>
      </c>
      <c r="F5" s="765">
        <f ca="1">VLOOKUP($A5,'汇总-1月'!$B$5:$AE$23,12,0)</f>
        <v>-40.646245</v>
      </c>
      <c r="G5" s="759" t="e">
        <f t="shared" ca="1" si="2"/>
        <v>#N/A</v>
      </c>
      <c r="H5" s="766">
        <f ca="1">VLOOKUP($A5,'汇总-1月'!$B$5:$AE$23,17,0)</f>
        <v>0.51806265066897195</v>
      </c>
      <c r="I5" s="759" t="e">
        <f t="shared" ca="1" si="3"/>
        <v>#N/A</v>
      </c>
      <c r="J5" s="767">
        <f ca="1">VLOOKUP($A5,'汇总-1月'!$B$5:$AE$23,18,0)</f>
        <v>-2.8051848367758798</v>
      </c>
      <c r="K5" s="759" t="e">
        <f t="shared" ca="1" si="4"/>
        <v>#N/A</v>
      </c>
      <c r="L5" s="767">
        <f ca="1">VLOOKUP($A5,'汇总-1月'!$B$5:$AE$23,19,0)</f>
        <v>3.2112757919209499E-2</v>
      </c>
      <c r="M5" s="759" t="e">
        <f t="shared" ca="1" si="5"/>
        <v>#N/A</v>
      </c>
      <c r="N5" s="768">
        <f ca="1">VLOOKUP($A5,'汇总-1月'!$B$5:$AE$23,20,0)</f>
        <v>165.84337858220201</v>
      </c>
      <c r="O5" s="759" t="e">
        <f t="shared" ca="1" si="6"/>
        <v>#N/A</v>
      </c>
      <c r="P5" s="768">
        <f ca="1">VLOOKUP($A5,'汇总-1月'!$B$5:$AE$23,21,0)</f>
        <v>5.3256882689140799</v>
      </c>
      <c r="Q5" s="759" t="e">
        <f t="shared" ca="1" si="7"/>
        <v>#N/A</v>
      </c>
      <c r="R5" s="768">
        <f ca="1">VLOOKUP($A5,'汇总-1月'!$B$5:$AE$23,22,0)</f>
        <v>0.81298808872838801</v>
      </c>
      <c r="S5" s="759" t="e">
        <f t="shared" ca="1" si="8"/>
        <v>#N/A</v>
      </c>
      <c r="T5" s="767">
        <f ca="1">VLOOKUP($A5,'汇总-1月'!$B$5:$AE$23,23,0)</f>
        <v>-0.59771863062783703</v>
      </c>
      <c r="U5" s="759" t="e">
        <f t="shared" ca="1" si="9"/>
        <v>#N/A</v>
      </c>
      <c r="V5" s="767">
        <f ca="1">VLOOKUP($A5,'汇总-1月'!$B$5:$AE$23,24,0)</f>
        <v>0.47804757233193801</v>
      </c>
      <c r="W5" s="759" t="e">
        <f t="shared" ca="1" si="10"/>
        <v>#N/A</v>
      </c>
      <c r="X5" s="768">
        <f ca="1">VLOOKUP($A5,'汇总-1月'!$B$5:$AE$23,25,0)</f>
        <v>0.98638897028471095</v>
      </c>
      <c r="Y5" s="759" t="e">
        <f t="shared" ca="1" si="11"/>
        <v>#N/A</v>
      </c>
      <c r="Z5" s="767">
        <f ca="1">VLOOKUP($A5,'汇总-1月'!$B$5:$AE$23,26,0)</f>
        <v>-0.59752879962580197</v>
      </c>
      <c r="AA5" s="759" t="e">
        <f t="shared" ca="1" si="12"/>
        <v>#N/A</v>
      </c>
      <c r="AB5" s="767">
        <f ca="1">VLOOKUP($A5,'汇总-1月'!$B$5:$AE$23,27,0)</f>
        <v>1.06594933444997</v>
      </c>
      <c r="AC5" s="759" t="e">
        <f t="shared" ca="1" si="13"/>
        <v>#N/A</v>
      </c>
      <c r="AD5" s="768">
        <f ca="1">VLOOKUP($A5,'汇总-1月'!$B$5:$AE$23,28,0)</f>
        <v>1.1984063893771899</v>
      </c>
      <c r="AE5" s="759" t="e">
        <f t="shared" ca="1" si="14"/>
        <v>#N/A</v>
      </c>
      <c r="AF5" s="767">
        <f ca="1">VLOOKUP($A5,'汇总-1月'!$B$5:$AE$23,29,0)</f>
        <v>1.6072897904199201E-3</v>
      </c>
      <c r="AG5" s="759" t="e">
        <f t="shared" ca="1" si="15"/>
        <v>#N/A</v>
      </c>
      <c r="AH5" s="767">
        <f ca="1">VLOOKUP($A5,'汇总-1月'!$B$5:$AE$23,30,0)</f>
        <v>2.2241328761094099</v>
      </c>
      <c r="AI5" s="759" t="e">
        <f t="shared" ca="1" si="16"/>
        <v>#N/A</v>
      </c>
    </row>
    <row r="6" spans="1:35">
      <c r="A6" s="759" t="s">
        <v>32</v>
      </c>
      <c r="B6" s="765">
        <f ca="1">VLOOKUP($A6,'汇总-1月'!$B$5:$AE$23,2,0)</f>
        <v>113.65688300000001</v>
      </c>
      <c r="C6" s="759" t="e">
        <f t="shared" ca="1" si="0"/>
        <v>#N/A</v>
      </c>
      <c r="D6" s="765">
        <f ca="1">VLOOKUP($A6,'汇总-1月'!$B$5:$AE$23,7,0)</f>
        <v>5.8022269999999994</v>
      </c>
      <c r="E6" s="759" t="e">
        <f t="shared" ca="1" si="1"/>
        <v>#N/A</v>
      </c>
      <c r="F6" s="765">
        <f ca="1">VLOOKUP($A6,'汇总-1月'!$B$5:$AE$23,12,0)</f>
        <v>-2.9581520000000001</v>
      </c>
      <c r="G6" s="759" t="e">
        <f t="shared" ca="1" si="2"/>
        <v>#N/A</v>
      </c>
      <c r="H6" s="766">
        <f ca="1">VLOOKUP($A6,'汇总-1月'!$B$5:$AE$23,17,0)</f>
        <v>2.1067654643068798</v>
      </c>
      <c r="I6" s="759" t="e">
        <f t="shared" ca="1" si="3"/>
        <v>#N/A</v>
      </c>
      <c r="J6" s="767">
        <f ca="1">VLOOKUP($A6,'汇总-1月'!$B$5:$AE$23,18,0)</f>
        <v>5.1050379412569298E-2</v>
      </c>
      <c r="K6" s="759" t="e">
        <f t="shared" ca="1" si="4"/>
        <v>#N/A</v>
      </c>
      <c r="L6" s="767">
        <f ca="1">VLOOKUP($A6,'汇总-1月'!$B$5:$AE$23,19,0)</f>
        <v>0.224880615924374</v>
      </c>
      <c r="M6" s="759" t="e">
        <f t="shared" ca="1" si="5"/>
        <v>#N/A</v>
      </c>
      <c r="N6" s="768">
        <f ca="1">VLOOKUP($A6,'汇总-1月'!$B$5:$AE$23,20,0)</f>
        <v>221.87889924160299</v>
      </c>
      <c r="O6" s="759" t="e">
        <f t="shared" ca="1" si="6"/>
        <v>#N/A</v>
      </c>
      <c r="P6" s="768">
        <f ca="1">VLOOKUP($A6,'汇总-1月'!$B$5:$AE$23,21,0)</f>
        <v>49.896263522073902</v>
      </c>
      <c r="Q6" s="759" t="e">
        <f t="shared" ca="1" si="7"/>
        <v>#N/A</v>
      </c>
      <c r="R6" s="768">
        <f ca="1">VLOOKUP($A6,'汇总-1月'!$B$5:$AE$23,22,0)</f>
        <v>4.7829934735342503</v>
      </c>
      <c r="S6" s="759" t="e">
        <f t="shared" ca="1" si="8"/>
        <v>#N/A</v>
      </c>
      <c r="T6" s="767">
        <f ca="1">VLOOKUP($A6,'汇总-1月'!$B$5:$AE$23,23,0)</f>
        <v>0.60995124635776399</v>
      </c>
      <c r="U6" s="759" t="e">
        <f t="shared" ca="1" si="9"/>
        <v>#N/A</v>
      </c>
      <c r="V6" s="767">
        <f ca="1">VLOOKUP($A6,'汇总-1月'!$B$5:$AE$23,24,0)</f>
        <v>0.59600743105589704</v>
      </c>
      <c r="W6" s="759" t="e">
        <f t="shared" ca="1" si="10"/>
        <v>#N/A</v>
      </c>
      <c r="X6" s="768">
        <f ca="1">VLOOKUP($A6,'汇总-1月'!$B$5:$AE$23,25,0)</f>
        <v>3.2034786446502199</v>
      </c>
      <c r="Y6" s="759" t="e">
        <f t="shared" ca="1" si="11"/>
        <v>#N/A</v>
      </c>
      <c r="Z6" s="767">
        <f ca="1">VLOOKUP($A6,'汇总-1月'!$B$5:$AE$23,26,0)</f>
        <v>0.260946142147227</v>
      </c>
      <c r="AA6" s="759" t="e">
        <f t="shared" ca="1" si="12"/>
        <v>#N/A</v>
      </c>
      <c r="AB6" s="767">
        <f ca="1">VLOOKUP($A6,'汇总-1月'!$B$5:$AE$23,27,0)</f>
        <v>0.117016995794263</v>
      </c>
      <c r="AC6" s="759" t="e">
        <f t="shared" ca="1" si="13"/>
        <v>#N/A</v>
      </c>
      <c r="AD6" s="768">
        <f ca="1">VLOOKUP($A6,'汇总-1月'!$B$5:$AE$23,28,0)</f>
        <v>4.5567032442403796</v>
      </c>
      <c r="AE6" s="759" t="e">
        <f t="shared" ca="1" si="14"/>
        <v>#N/A</v>
      </c>
      <c r="AF6" s="767">
        <f ca="1">VLOOKUP($A6,'汇总-1月'!$B$5:$AE$23,29,0)</f>
        <v>4.0234237287679303E-2</v>
      </c>
      <c r="AG6" s="759" t="e">
        <f t="shared" ca="1" si="15"/>
        <v>#N/A</v>
      </c>
      <c r="AH6" s="767">
        <f ca="1">VLOOKUP($A6,'汇总-1月'!$B$5:$AE$23,30,0)</f>
        <v>0.39204858363043399</v>
      </c>
      <c r="AI6" s="759" t="e">
        <f t="shared" ca="1" si="16"/>
        <v>#N/A</v>
      </c>
    </row>
    <row r="7" spans="1:35">
      <c r="A7" s="759" t="s">
        <v>33</v>
      </c>
      <c r="B7" s="765" t="e">
        <f>VLOOKUP($A7,'汇总-1月'!$B$5:$AE$23,2,0)</f>
        <v>#N/A</v>
      </c>
      <c r="C7" s="759" t="e">
        <f t="shared" si="0"/>
        <v>#N/A</v>
      </c>
      <c r="D7" s="765" t="e">
        <f>VLOOKUP($A7,'汇总-1月'!$B$5:$AE$23,7,0)</f>
        <v>#N/A</v>
      </c>
      <c r="E7" s="759" t="e">
        <f t="shared" si="1"/>
        <v>#N/A</v>
      </c>
      <c r="F7" s="765" t="e">
        <f>VLOOKUP($A7,'汇总-1月'!$B$5:$AE$23,12,0)</f>
        <v>#N/A</v>
      </c>
      <c r="G7" s="759" t="e">
        <f t="shared" si="2"/>
        <v>#N/A</v>
      </c>
      <c r="H7" s="766" t="e">
        <f>VLOOKUP($A7,'汇总-1月'!$B$5:$AE$23,17,0)</f>
        <v>#N/A</v>
      </c>
      <c r="I7" s="759" t="e">
        <f t="shared" si="3"/>
        <v>#N/A</v>
      </c>
      <c r="J7" s="767" t="e">
        <f>VLOOKUP($A7,'汇总-1月'!$B$5:$AE$23,18,0)</f>
        <v>#N/A</v>
      </c>
      <c r="K7" s="759" t="e">
        <f t="shared" si="4"/>
        <v>#N/A</v>
      </c>
      <c r="L7" s="767" t="e">
        <f>VLOOKUP($A7,'汇总-1月'!$B$5:$AE$23,19,0)</f>
        <v>#N/A</v>
      </c>
      <c r="M7" s="759" t="e">
        <f t="shared" si="5"/>
        <v>#N/A</v>
      </c>
      <c r="N7" s="768" t="e">
        <f>VLOOKUP($A7,'汇总-1月'!$B$5:$AE$23,20,0)</f>
        <v>#N/A</v>
      </c>
      <c r="O7" s="759" t="e">
        <f t="shared" si="6"/>
        <v>#N/A</v>
      </c>
      <c r="P7" s="768" t="e">
        <f>VLOOKUP($A7,'汇总-1月'!$B$5:$AE$23,21,0)</f>
        <v>#N/A</v>
      </c>
      <c r="Q7" s="759" t="e">
        <f t="shared" si="7"/>
        <v>#N/A</v>
      </c>
      <c r="R7" s="768" t="e">
        <f>VLOOKUP($A7,'汇总-1月'!$B$5:$AE$23,22,0)</f>
        <v>#N/A</v>
      </c>
      <c r="S7" s="759" t="e">
        <f t="shared" si="8"/>
        <v>#N/A</v>
      </c>
      <c r="T7" s="767" t="e">
        <f>VLOOKUP($A7,'汇总-1月'!$B$5:$AE$23,23,0)</f>
        <v>#N/A</v>
      </c>
      <c r="U7" s="759" t="e">
        <f t="shared" si="9"/>
        <v>#N/A</v>
      </c>
      <c r="V7" s="767" t="e">
        <f>VLOOKUP($A7,'汇总-1月'!$B$5:$AE$23,24,0)</f>
        <v>#N/A</v>
      </c>
      <c r="W7" s="759" t="e">
        <f t="shared" si="10"/>
        <v>#N/A</v>
      </c>
      <c r="X7" s="768" t="e">
        <f>VLOOKUP($A7,'汇总-1月'!$B$5:$AE$23,25,0)</f>
        <v>#N/A</v>
      </c>
      <c r="Y7" s="759" t="e">
        <f t="shared" si="11"/>
        <v>#N/A</v>
      </c>
      <c r="Z7" s="767" t="e">
        <f>VLOOKUP($A7,'汇总-1月'!$B$5:$AE$23,26,0)</f>
        <v>#N/A</v>
      </c>
      <c r="AA7" s="759" t="e">
        <f t="shared" si="12"/>
        <v>#N/A</v>
      </c>
      <c r="AB7" s="767" t="e">
        <f>VLOOKUP($A7,'汇总-1月'!$B$5:$AE$23,27,0)</f>
        <v>#N/A</v>
      </c>
      <c r="AC7" s="759" t="e">
        <f t="shared" si="13"/>
        <v>#N/A</v>
      </c>
      <c r="AD7" s="768" t="e">
        <f>VLOOKUP($A7,'汇总-1月'!$B$5:$AE$23,28,0)</f>
        <v>#N/A</v>
      </c>
      <c r="AE7" s="759" t="e">
        <f t="shared" si="14"/>
        <v>#N/A</v>
      </c>
      <c r="AF7" s="767" t="e">
        <f>VLOOKUP($A7,'汇总-1月'!$B$5:$AE$23,29,0)</f>
        <v>#N/A</v>
      </c>
      <c r="AG7" s="759" t="e">
        <f t="shared" si="15"/>
        <v>#N/A</v>
      </c>
      <c r="AH7" s="767" t="e">
        <f>VLOOKUP($A7,'汇总-1月'!$B$5:$AE$23,30,0)</f>
        <v>#N/A</v>
      </c>
      <c r="AI7" s="759" t="e">
        <f t="shared" si="16"/>
        <v>#N/A</v>
      </c>
    </row>
    <row r="8" spans="1:35">
      <c r="A8" s="759" t="s">
        <v>34</v>
      </c>
      <c r="B8" s="765" t="e">
        <f>VLOOKUP($A8,'汇总-1月'!$B$5:$AE$23,2,0)</f>
        <v>#N/A</v>
      </c>
      <c r="C8" s="759" t="e">
        <f t="shared" si="0"/>
        <v>#N/A</v>
      </c>
      <c r="D8" s="765" t="e">
        <f>VLOOKUP($A8,'汇总-1月'!$B$5:$AE$23,7,0)</f>
        <v>#N/A</v>
      </c>
      <c r="E8" s="759" t="e">
        <f t="shared" si="1"/>
        <v>#N/A</v>
      </c>
      <c r="F8" s="765" t="e">
        <f>VLOOKUP($A8,'汇总-1月'!$B$5:$AE$23,12,0)</f>
        <v>#N/A</v>
      </c>
      <c r="G8" s="759" t="e">
        <f t="shared" si="2"/>
        <v>#N/A</v>
      </c>
      <c r="H8" s="766" t="e">
        <f>VLOOKUP($A8,'汇总-1月'!$B$5:$AE$23,17,0)</f>
        <v>#N/A</v>
      </c>
      <c r="I8" s="759" t="e">
        <f t="shared" si="3"/>
        <v>#N/A</v>
      </c>
      <c r="J8" s="767" t="e">
        <f>VLOOKUP($A8,'汇总-1月'!$B$5:$AE$23,18,0)</f>
        <v>#N/A</v>
      </c>
      <c r="K8" s="759" t="e">
        <f t="shared" si="4"/>
        <v>#N/A</v>
      </c>
      <c r="L8" s="767" t="e">
        <f>VLOOKUP($A8,'汇总-1月'!$B$5:$AE$23,19,0)</f>
        <v>#N/A</v>
      </c>
      <c r="M8" s="759" t="e">
        <f t="shared" si="5"/>
        <v>#N/A</v>
      </c>
      <c r="N8" s="768" t="e">
        <f>VLOOKUP($A8,'汇总-1月'!$B$5:$AE$23,20,0)</f>
        <v>#N/A</v>
      </c>
      <c r="O8" s="759" t="e">
        <f t="shared" si="6"/>
        <v>#N/A</v>
      </c>
      <c r="P8" s="768" t="e">
        <f>VLOOKUP($A8,'汇总-1月'!$B$5:$AE$23,21,0)</f>
        <v>#N/A</v>
      </c>
      <c r="Q8" s="759" t="e">
        <f t="shared" si="7"/>
        <v>#N/A</v>
      </c>
      <c r="R8" s="768" t="e">
        <f>VLOOKUP($A8,'汇总-1月'!$B$5:$AE$23,22,0)</f>
        <v>#N/A</v>
      </c>
      <c r="S8" s="759" t="e">
        <f t="shared" si="8"/>
        <v>#N/A</v>
      </c>
      <c r="T8" s="767" t="e">
        <f>VLOOKUP($A8,'汇总-1月'!$B$5:$AE$23,23,0)</f>
        <v>#N/A</v>
      </c>
      <c r="U8" s="759" t="e">
        <f t="shared" si="9"/>
        <v>#N/A</v>
      </c>
      <c r="V8" s="767" t="e">
        <f>VLOOKUP($A8,'汇总-1月'!$B$5:$AE$23,24,0)</f>
        <v>#N/A</v>
      </c>
      <c r="W8" s="759" t="e">
        <f t="shared" si="10"/>
        <v>#N/A</v>
      </c>
      <c r="X8" s="768" t="e">
        <f>VLOOKUP($A8,'汇总-1月'!$B$5:$AE$23,25,0)</f>
        <v>#N/A</v>
      </c>
      <c r="Y8" s="759" t="e">
        <f t="shared" si="11"/>
        <v>#N/A</v>
      </c>
      <c r="Z8" s="767" t="e">
        <f>VLOOKUP($A8,'汇总-1月'!$B$5:$AE$23,26,0)</f>
        <v>#N/A</v>
      </c>
      <c r="AA8" s="759" t="e">
        <f t="shared" si="12"/>
        <v>#N/A</v>
      </c>
      <c r="AB8" s="767" t="e">
        <f>VLOOKUP($A8,'汇总-1月'!$B$5:$AE$23,27,0)</f>
        <v>#N/A</v>
      </c>
      <c r="AC8" s="759" t="e">
        <f t="shared" si="13"/>
        <v>#N/A</v>
      </c>
      <c r="AD8" s="768" t="e">
        <f>VLOOKUP($A8,'汇总-1月'!$B$5:$AE$23,28,0)</f>
        <v>#N/A</v>
      </c>
      <c r="AE8" s="759" t="e">
        <f t="shared" si="14"/>
        <v>#N/A</v>
      </c>
      <c r="AF8" s="767" t="e">
        <f>VLOOKUP($A8,'汇总-1月'!$B$5:$AE$23,29,0)</f>
        <v>#N/A</v>
      </c>
      <c r="AG8" s="759" t="e">
        <f t="shared" si="15"/>
        <v>#N/A</v>
      </c>
      <c r="AH8" s="767" t="e">
        <f>VLOOKUP($A8,'汇总-1月'!$B$5:$AE$23,30,0)</f>
        <v>#N/A</v>
      </c>
      <c r="AI8" s="759" t="e">
        <f t="shared" si="16"/>
        <v>#N/A</v>
      </c>
    </row>
    <row r="9" spans="1:35">
      <c r="A9" s="759" t="s">
        <v>35</v>
      </c>
      <c r="B9" s="765" t="e">
        <f>VLOOKUP($A9,'汇总-1月'!$B$5:$AE$23,2,0)</f>
        <v>#N/A</v>
      </c>
      <c r="C9" s="759" t="e">
        <f t="shared" si="0"/>
        <v>#N/A</v>
      </c>
      <c r="D9" s="765" t="e">
        <f>VLOOKUP($A9,'汇总-1月'!$B$5:$AE$23,7,0)</f>
        <v>#N/A</v>
      </c>
      <c r="E9" s="759" t="e">
        <f t="shared" si="1"/>
        <v>#N/A</v>
      </c>
      <c r="F9" s="765" t="e">
        <f>VLOOKUP($A9,'汇总-1月'!$B$5:$AE$23,12,0)</f>
        <v>#N/A</v>
      </c>
      <c r="G9" s="759" t="e">
        <f t="shared" si="2"/>
        <v>#N/A</v>
      </c>
      <c r="H9" s="766" t="e">
        <f>VLOOKUP($A9,'汇总-1月'!$B$5:$AE$23,17,0)</f>
        <v>#N/A</v>
      </c>
      <c r="I9" s="759" t="e">
        <f t="shared" si="3"/>
        <v>#N/A</v>
      </c>
      <c r="J9" s="767" t="e">
        <f>VLOOKUP($A9,'汇总-1月'!$B$5:$AE$23,18,0)</f>
        <v>#N/A</v>
      </c>
      <c r="K9" s="759" t="e">
        <f t="shared" si="4"/>
        <v>#N/A</v>
      </c>
      <c r="L9" s="767" t="e">
        <f>VLOOKUP($A9,'汇总-1月'!$B$5:$AE$23,19,0)</f>
        <v>#N/A</v>
      </c>
      <c r="M9" s="759" t="e">
        <f t="shared" si="5"/>
        <v>#N/A</v>
      </c>
      <c r="N9" s="768" t="e">
        <f>VLOOKUP($A9,'汇总-1月'!$B$5:$AE$23,20,0)</f>
        <v>#N/A</v>
      </c>
      <c r="O9" s="759" t="e">
        <f t="shared" si="6"/>
        <v>#N/A</v>
      </c>
      <c r="P9" s="768" t="e">
        <f>VLOOKUP($A9,'汇总-1月'!$B$5:$AE$23,21,0)</f>
        <v>#N/A</v>
      </c>
      <c r="Q9" s="759" t="e">
        <f t="shared" si="7"/>
        <v>#N/A</v>
      </c>
      <c r="R9" s="768" t="e">
        <f>VLOOKUP($A9,'汇总-1月'!$B$5:$AE$23,22,0)</f>
        <v>#N/A</v>
      </c>
      <c r="S9" s="759" t="e">
        <f t="shared" si="8"/>
        <v>#N/A</v>
      </c>
      <c r="T9" s="767" t="e">
        <f>VLOOKUP($A9,'汇总-1月'!$B$5:$AE$23,23,0)</f>
        <v>#N/A</v>
      </c>
      <c r="U9" s="759" t="e">
        <f t="shared" si="9"/>
        <v>#N/A</v>
      </c>
      <c r="V9" s="767" t="e">
        <f>VLOOKUP($A9,'汇总-1月'!$B$5:$AE$23,24,0)</f>
        <v>#N/A</v>
      </c>
      <c r="W9" s="759" t="e">
        <f t="shared" si="10"/>
        <v>#N/A</v>
      </c>
      <c r="X9" s="768" t="e">
        <f>VLOOKUP($A9,'汇总-1月'!$B$5:$AE$23,25,0)</f>
        <v>#N/A</v>
      </c>
      <c r="Y9" s="759" t="e">
        <f t="shared" si="11"/>
        <v>#N/A</v>
      </c>
      <c r="Z9" s="767" t="e">
        <f>VLOOKUP($A9,'汇总-1月'!$B$5:$AE$23,26,0)</f>
        <v>#N/A</v>
      </c>
      <c r="AA9" s="759" t="e">
        <f t="shared" si="12"/>
        <v>#N/A</v>
      </c>
      <c r="AB9" s="767" t="e">
        <f>VLOOKUP($A9,'汇总-1月'!$B$5:$AE$23,27,0)</f>
        <v>#N/A</v>
      </c>
      <c r="AC9" s="759" t="e">
        <f t="shared" si="13"/>
        <v>#N/A</v>
      </c>
      <c r="AD9" s="768" t="e">
        <f>VLOOKUP($A9,'汇总-1月'!$B$5:$AE$23,28,0)</f>
        <v>#N/A</v>
      </c>
      <c r="AE9" s="759" t="e">
        <f t="shared" si="14"/>
        <v>#N/A</v>
      </c>
      <c r="AF9" s="767" t="e">
        <f>VLOOKUP($A9,'汇总-1月'!$B$5:$AE$23,29,0)</f>
        <v>#N/A</v>
      </c>
      <c r="AG9" s="759" t="e">
        <f t="shared" si="15"/>
        <v>#N/A</v>
      </c>
      <c r="AH9" s="767" t="e">
        <f>VLOOKUP($A9,'汇总-1月'!$B$5:$AE$23,30,0)</f>
        <v>#N/A</v>
      </c>
      <c r="AI9" s="759" t="e">
        <f t="shared" si="16"/>
        <v>#N/A</v>
      </c>
    </row>
    <row r="10" spans="1:35">
      <c r="A10" s="759" t="s">
        <v>36</v>
      </c>
      <c r="B10" s="765" t="e">
        <f>VLOOKUP($A10,'汇总-1月'!$B$5:$AE$23,2,0)</f>
        <v>#N/A</v>
      </c>
      <c r="C10" s="759" t="e">
        <f t="shared" si="0"/>
        <v>#N/A</v>
      </c>
      <c r="D10" s="765" t="e">
        <f>VLOOKUP($A10,'汇总-1月'!$B$5:$AE$23,7,0)</f>
        <v>#N/A</v>
      </c>
      <c r="E10" s="759" t="e">
        <f t="shared" si="1"/>
        <v>#N/A</v>
      </c>
      <c r="F10" s="765" t="e">
        <f>VLOOKUP($A10,'汇总-1月'!$B$5:$AE$23,12,0)</f>
        <v>#N/A</v>
      </c>
      <c r="G10" s="759" t="e">
        <f t="shared" si="2"/>
        <v>#N/A</v>
      </c>
      <c r="H10" s="766" t="e">
        <f>VLOOKUP($A10,'汇总-1月'!$B$5:$AE$23,17,0)</f>
        <v>#N/A</v>
      </c>
      <c r="I10" s="759" t="e">
        <f t="shared" si="3"/>
        <v>#N/A</v>
      </c>
      <c r="J10" s="767" t="e">
        <f>VLOOKUP($A10,'汇总-1月'!$B$5:$AE$23,18,0)</f>
        <v>#N/A</v>
      </c>
      <c r="K10" s="759" t="e">
        <f t="shared" si="4"/>
        <v>#N/A</v>
      </c>
      <c r="L10" s="767" t="e">
        <f>VLOOKUP($A10,'汇总-1月'!$B$5:$AE$23,19,0)</f>
        <v>#N/A</v>
      </c>
      <c r="M10" s="759" t="e">
        <f t="shared" si="5"/>
        <v>#N/A</v>
      </c>
      <c r="N10" s="768" t="e">
        <f>VLOOKUP($A10,'汇总-1月'!$B$5:$AE$23,20,0)</f>
        <v>#N/A</v>
      </c>
      <c r="O10" s="759" t="e">
        <f t="shared" si="6"/>
        <v>#N/A</v>
      </c>
      <c r="P10" s="768" t="e">
        <f>VLOOKUP($A10,'汇总-1月'!$B$5:$AE$23,21,0)</f>
        <v>#N/A</v>
      </c>
      <c r="Q10" s="759" t="e">
        <f t="shared" si="7"/>
        <v>#N/A</v>
      </c>
      <c r="R10" s="768" t="e">
        <f>VLOOKUP($A10,'汇总-1月'!$B$5:$AE$23,22,0)</f>
        <v>#N/A</v>
      </c>
      <c r="S10" s="759" t="e">
        <f t="shared" si="8"/>
        <v>#N/A</v>
      </c>
      <c r="T10" s="767" t="e">
        <f>VLOOKUP($A10,'汇总-1月'!$B$5:$AE$23,23,0)</f>
        <v>#N/A</v>
      </c>
      <c r="U10" s="759" t="e">
        <f t="shared" si="9"/>
        <v>#N/A</v>
      </c>
      <c r="V10" s="767" t="e">
        <f>VLOOKUP($A10,'汇总-1月'!$B$5:$AE$23,24,0)</f>
        <v>#N/A</v>
      </c>
      <c r="W10" s="759" t="e">
        <f t="shared" si="10"/>
        <v>#N/A</v>
      </c>
      <c r="X10" s="768" t="e">
        <f>VLOOKUP($A10,'汇总-1月'!$B$5:$AE$23,25,0)</f>
        <v>#N/A</v>
      </c>
      <c r="Y10" s="759" t="e">
        <f t="shared" si="11"/>
        <v>#N/A</v>
      </c>
      <c r="Z10" s="767" t="e">
        <f>VLOOKUP($A10,'汇总-1月'!$B$5:$AE$23,26,0)</f>
        <v>#N/A</v>
      </c>
      <c r="AA10" s="759" t="e">
        <f t="shared" si="12"/>
        <v>#N/A</v>
      </c>
      <c r="AB10" s="767" t="e">
        <f>VLOOKUP($A10,'汇总-1月'!$B$5:$AE$23,27,0)</f>
        <v>#N/A</v>
      </c>
      <c r="AC10" s="759" t="e">
        <f t="shared" si="13"/>
        <v>#N/A</v>
      </c>
      <c r="AD10" s="768" t="e">
        <f>VLOOKUP($A10,'汇总-1月'!$B$5:$AE$23,28,0)</f>
        <v>#N/A</v>
      </c>
      <c r="AE10" s="759" t="e">
        <f t="shared" si="14"/>
        <v>#N/A</v>
      </c>
      <c r="AF10" s="767" t="e">
        <f>VLOOKUP($A10,'汇总-1月'!$B$5:$AE$23,29,0)</f>
        <v>#N/A</v>
      </c>
      <c r="AG10" s="759" t="e">
        <f t="shared" si="15"/>
        <v>#N/A</v>
      </c>
      <c r="AH10" s="767" t="e">
        <f>VLOOKUP($A10,'汇总-1月'!$B$5:$AE$23,30,0)</f>
        <v>#N/A</v>
      </c>
      <c r="AI10" s="759" t="e">
        <f t="shared" si="16"/>
        <v>#N/A</v>
      </c>
    </row>
    <row r="11" spans="1:35">
      <c r="A11" s="759" t="s">
        <v>37</v>
      </c>
      <c r="B11" s="765" t="e">
        <f>VLOOKUP($A11,'汇总-1月'!$B$5:$AE$23,2,0)</f>
        <v>#N/A</v>
      </c>
      <c r="C11" s="759" t="e">
        <f t="shared" si="0"/>
        <v>#N/A</v>
      </c>
      <c r="D11" s="765" t="e">
        <f>VLOOKUP($A11,'汇总-1月'!$B$5:$AE$23,7,0)</f>
        <v>#N/A</v>
      </c>
      <c r="E11" s="759" t="e">
        <f t="shared" si="1"/>
        <v>#N/A</v>
      </c>
      <c r="F11" s="765" t="e">
        <f>VLOOKUP($A11,'汇总-1月'!$B$5:$AE$23,12,0)</f>
        <v>#N/A</v>
      </c>
      <c r="G11" s="759" t="e">
        <f t="shared" si="2"/>
        <v>#N/A</v>
      </c>
      <c r="H11" s="766" t="e">
        <f>VLOOKUP($A11,'汇总-1月'!$B$5:$AE$23,17,0)</f>
        <v>#N/A</v>
      </c>
      <c r="I11" s="759" t="e">
        <f t="shared" si="3"/>
        <v>#N/A</v>
      </c>
      <c r="J11" s="767" t="e">
        <f>VLOOKUP($A11,'汇总-1月'!$B$5:$AE$23,18,0)</f>
        <v>#N/A</v>
      </c>
      <c r="K11" s="759" t="e">
        <f t="shared" si="4"/>
        <v>#N/A</v>
      </c>
      <c r="L11" s="767" t="e">
        <f>VLOOKUP($A11,'汇总-1月'!$B$5:$AE$23,19,0)</f>
        <v>#N/A</v>
      </c>
      <c r="M11" s="759" t="e">
        <f t="shared" si="5"/>
        <v>#N/A</v>
      </c>
      <c r="N11" s="768" t="e">
        <f>VLOOKUP($A11,'汇总-1月'!$B$5:$AE$23,20,0)</f>
        <v>#N/A</v>
      </c>
      <c r="O11" s="759" t="e">
        <f t="shared" si="6"/>
        <v>#N/A</v>
      </c>
      <c r="P11" s="768" t="e">
        <f>VLOOKUP($A11,'汇总-1月'!$B$5:$AE$23,21,0)</f>
        <v>#N/A</v>
      </c>
      <c r="Q11" s="759" t="e">
        <f t="shared" si="7"/>
        <v>#N/A</v>
      </c>
      <c r="R11" s="768" t="e">
        <f>VLOOKUP($A11,'汇总-1月'!$B$5:$AE$23,22,0)</f>
        <v>#N/A</v>
      </c>
      <c r="S11" s="759" t="e">
        <f t="shared" si="8"/>
        <v>#N/A</v>
      </c>
      <c r="T11" s="767" t="e">
        <f>VLOOKUP($A11,'汇总-1月'!$B$5:$AE$23,23,0)</f>
        <v>#N/A</v>
      </c>
      <c r="U11" s="759" t="e">
        <f t="shared" si="9"/>
        <v>#N/A</v>
      </c>
      <c r="V11" s="767" t="e">
        <f>VLOOKUP($A11,'汇总-1月'!$B$5:$AE$23,24,0)</f>
        <v>#N/A</v>
      </c>
      <c r="W11" s="759" t="e">
        <f t="shared" si="10"/>
        <v>#N/A</v>
      </c>
      <c r="X11" s="768" t="e">
        <f>VLOOKUP($A11,'汇总-1月'!$B$5:$AE$23,25,0)</f>
        <v>#N/A</v>
      </c>
      <c r="Y11" s="759" t="e">
        <f t="shared" si="11"/>
        <v>#N/A</v>
      </c>
      <c r="Z11" s="767" t="e">
        <f>VLOOKUP($A11,'汇总-1月'!$B$5:$AE$23,26,0)</f>
        <v>#N/A</v>
      </c>
      <c r="AA11" s="759" t="e">
        <f t="shared" si="12"/>
        <v>#N/A</v>
      </c>
      <c r="AB11" s="767" t="e">
        <f>VLOOKUP($A11,'汇总-1月'!$B$5:$AE$23,27,0)</f>
        <v>#N/A</v>
      </c>
      <c r="AC11" s="759" t="e">
        <f t="shared" si="13"/>
        <v>#N/A</v>
      </c>
      <c r="AD11" s="768" t="e">
        <f>VLOOKUP($A11,'汇总-1月'!$B$5:$AE$23,28,0)</f>
        <v>#N/A</v>
      </c>
      <c r="AE11" s="759" t="e">
        <f t="shared" si="14"/>
        <v>#N/A</v>
      </c>
      <c r="AF11" s="767" t="e">
        <f>VLOOKUP($A11,'汇总-1月'!$B$5:$AE$23,29,0)</f>
        <v>#N/A</v>
      </c>
      <c r="AG11" s="759" t="e">
        <f t="shared" si="15"/>
        <v>#N/A</v>
      </c>
      <c r="AH11" s="767" t="e">
        <f>VLOOKUP($A11,'汇总-1月'!$B$5:$AE$23,30,0)</f>
        <v>#N/A</v>
      </c>
      <c r="AI11" s="759" t="e">
        <f t="shared" si="16"/>
        <v>#N/A</v>
      </c>
    </row>
    <row r="12" spans="1:35">
      <c r="A12" s="759" t="s">
        <v>38</v>
      </c>
      <c r="B12" s="765" t="e">
        <f>VLOOKUP($A12,'汇总-1月'!$B$5:$AE$23,2,0)</f>
        <v>#N/A</v>
      </c>
      <c r="C12" s="759" t="e">
        <f t="shared" si="0"/>
        <v>#N/A</v>
      </c>
      <c r="D12" s="765" t="e">
        <f>VLOOKUP($A12,'汇总-1月'!$B$5:$AE$23,7,0)</f>
        <v>#N/A</v>
      </c>
      <c r="E12" s="759" t="e">
        <f t="shared" si="1"/>
        <v>#N/A</v>
      </c>
      <c r="F12" s="765" t="e">
        <f>VLOOKUP($A12,'汇总-1月'!$B$5:$AE$23,12,0)</f>
        <v>#N/A</v>
      </c>
      <c r="G12" s="759" t="e">
        <f t="shared" si="2"/>
        <v>#N/A</v>
      </c>
      <c r="H12" s="766" t="e">
        <f>VLOOKUP($A12,'汇总-1月'!$B$5:$AE$23,17,0)</f>
        <v>#N/A</v>
      </c>
      <c r="I12" s="759" t="e">
        <f t="shared" si="3"/>
        <v>#N/A</v>
      </c>
      <c r="J12" s="767" t="e">
        <f>VLOOKUP($A12,'汇总-1月'!$B$5:$AE$23,18,0)</f>
        <v>#N/A</v>
      </c>
      <c r="K12" s="759" t="e">
        <f t="shared" si="4"/>
        <v>#N/A</v>
      </c>
      <c r="L12" s="767" t="e">
        <f>VLOOKUP($A12,'汇总-1月'!$B$5:$AE$23,19,0)</f>
        <v>#N/A</v>
      </c>
      <c r="M12" s="759" t="e">
        <f t="shared" si="5"/>
        <v>#N/A</v>
      </c>
      <c r="N12" s="768" t="e">
        <f>VLOOKUP($A12,'汇总-1月'!$B$5:$AE$23,20,0)</f>
        <v>#N/A</v>
      </c>
      <c r="O12" s="759" t="e">
        <f t="shared" si="6"/>
        <v>#N/A</v>
      </c>
      <c r="P12" s="768" t="e">
        <f>VLOOKUP($A12,'汇总-1月'!$B$5:$AE$23,21,0)</f>
        <v>#N/A</v>
      </c>
      <c r="Q12" s="759" t="e">
        <f t="shared" si="7"/>
        <v>#N/A</v>
      </c>
      <c r="R12" s="768" t="e">
        <f>VLOOKUP($A12,'汇总-1月'!$B$5:$AE$23,22,0)</f>
        <v>#N/A</v>
      </c>
      <c r="S12" s="759" t="e">
        <f t="shared" si="8"/>
        <v>#N/A</v>
      </c>
      <c r="T12" s="767" t="e">
        <f>VLOOKUP($A12,'汇总-1月'!$B$5:$AE$23,23,0)</f>
        <v>#N/A</v>
      </c>
      <c r="U12" s="759" t="e">
        <f t="shared" si="9"/>
        <v>#N/A</v>
      </c>
      <c r="V12" s="767" t="e">
        <f>VLOOKUP($A12,'汇总-1月'!$B$5:$AE$23,24,0)</f>
        <v>#N/A</v>
      </c>
      <c r="W12" s="759" t="e">
        <f t="shared" si="10"/>
        <v>#N/A</v>
      </c>
      <c r="X12" s="768" t="e">
        <f>VLOOKUP($A12,'汇总-1月'!$B$5:$AE$23,25,0)</f>
        <v>#N/A</v>
      </c>
      <c r="Y12" s="759" t="e">
        <f t="shared" si="11"/>
        <v>#N/A</v>
      </c>
      <c r="Z12" s="767" t="e">
        <f>VLOOKUP($A12,'汇总-1月'!$B$5:$AE$23,26,0)</f>
        <v>#N/A</v>
      </c>
      <c r="AA12" s="759" t="e">
        <f t="shared" si="12"/>
        <v>#N/A</v>
      </c>
      <c r="AB12" s="767" t="e">
        <f>VLOOKUP($A12,'汇总-1月'!$B$5:$AE$23,27,0)</f>
        <v>#N/A</v>
      </c>
      <c r="AC12" s="759" t="e">
        <f t="shared" si="13"/>
        <v>#N/A</v>
      </c>
      <c r="AD12" s="768" t="e">
        <f>VLOOKUP($A12,'汇总-1月'!$B$5:$AE$23,28,0)</f>
        <v>#N/A</v>
      </c>
      <c r="AE12" s="759" t="e">
        <f t="shared" si="14"/>
        <v>#N/A</v>
      </c>
      <c r="AF12" s="767" t="e">
        <f>VLOOKUP($A12,'汇总-1月'!$B$5:$AE$23,29,0)</f>
        <v>#N/A</v>
      </c>
      <c r="AG12" s="759" t="e">
        <f t="shared" si="15"/>
        <v>#N/A</v>
      </c>
      <c r="AH12" s="767" t="e">
        <f>VLOOKUP($A12,'汇总-1月'!$B$5:$AE$23,30,0)</f>
        <v>#N/A</v>
      </c>
      <c r="AI12" s="759" t="e">
        <f t="shared" si="16"/>
        <v>#N/A</v>
      </c>
    </row>
    <row r="13" spans="1:35">
      <c r="A13" s="759" t="s">
        <v>39</v>
      </c>
      <c r="B13" s="765" t="e">
        <f>VLOOKUP($A13,'汇总-1月'!$B$5:$AE$23,2,0)</f>
        <v>#N/A</v>
      </c>
      <c r="C13" s="759" t="e">
        <f t="shared" si="0"/>
        <v>#N/A</v>
      </c>
      <c r="D13" s="765" t="e">
        <f>VLOOKUP($A13,'汇总-1月'!$B$5:$AE$23,7,0)</f>
        <v>#N/A</v>
      </c>
      <c r="E13" s="759" t="e">
        <f t="shared" si="1"/>
        <v>#N/A</v>
      </c>
      <c r="F13" s="765" t="e">
        <f>VLOOKUP($A13,'汇总-1月'!$B$5:$AE$23,12,0)</f>
        <v>#N/A</v>
      </c>
      <c r="G13" s="759" t="e">
        <f t="shared" si="2"/>
        <v>#N/A</v>
      </c>
      <c r="H13" s="766" t="e">
        <f>VLOOKUP($A13,'汇总-1月'!$B$5:$AE$23,17,0)</f>
        <v>#N/A</v>
      </c>
      <c r="I13" s="759" t="e">
        <f t="shared" si="3"/>
        <v>#N/A</v>
      </c>
      <c r="J13" s="767" t="e">
        <f>VLOOKUP($A13,'汇总-1月'!$B$5:$AE$23,18,0)</f>
        <v>#N/A</v>
      </c>
      <c r="K13" s="759" t="e">
        <f t="shared" si="4"/>
        <v>#N/A</v>
      </c>
      <c r="L13" s="767" t="e">
        <f>VLOOKUP($A13,'汇总-1月'!$B$5:$AE$23,19,0)</f>
        <v>#N/A</v>
      </c>
      <c r="M13" s="759" t="e">
        <f t="shared" si="5"/>
        <v>#N/A</v>
      </c>
      <c r="N13" s="768" t="e">
        <f>VLOOKUP($A13,'汇总-1月'!$B$5:$AE$23,20,0)</f>
        <v>#N/A</v>
      </c>
      <c r="O13" s="759" t="e">
        <f t="shared" si="6"/>
        <v>#N/A</v>
      </c>
      <c r="P13" s="768" t="e">
        <f>VLOOKUP($A13,'汇总-1月'!$B$5:$AE$23,21,0)</f>
        <v>#N/A</v>
      </c>
      <c r="Q13" s="759" t="e">
        <f t="shared" si="7"/>
        <v>#N/A</v>
      </c>
      <c r="R13" s="768" t="e">
        <f>VLOOKUP($A13,'汇总-1月'!$B$5:$AE$23,22,0)</f>
        <v>#N/A</v>
      </c>
      <c r="S13" s="759" t="e">
        <f t="shared" si="8"/>
        <v>#N/A</v>
      </c>
      <c r="T13" s="767" t="e">
        <f>VLOOKUP($A13,'汇总-1月'!$B$5:$AE$23,23,0)</f>
        <v>#N/A</v>
      </c>
      <c r="U13" s="759" t="e">
        <f t="shared" si="9"/>
        <v>#N/A</v>
      </c>
      <c r="V13" s="767" t="e">
        <f>VLOOKUP($A13,'汇总-1月'!$B$5:$AE$23,24,0)</f>
        <v>#N/A</v>
      </c>
      <c r="W13" s="759" t="e">
        <f t="shared" si="10"/>
        <v>#N/A</v>
      </c>
      <c r="X13" s="768" t="e">
        <f>VLOOKUP($A13,'汇总-1月'!$B$5:$AE$23,25,0)</f>
        <v>#N/A</v>
      </c>
      <c r="Y13" s="759" t="e">
        <f t="shared" si="11"/>
        <v>#N/A</v>
      </c>
      <c r="Z13" s="767" t="e">
        <f>VLOOKUP($A13,'汇总-1月'!$B$5:$AE$23,26,0)</f>
        <v>#N/A</v>
      </c>
      <c r="AA13" s="759" t="e">
        <f t="shared" si="12"/>
        <v>#N/A</v>
      </c>
      <c r="AB13" s="767" t="e">
        <f>VLOOKUP($A13,'汇总-1月'!$B$5:$AE$23,27,0)</f>
        <v>#N/A</v>
      </c>
      <c r="AC13" s="759" t="e">
        <f t="shared" si="13"/>
        <v>#N/A</v>
      </c>
      <c r="AD13" s="768" t="e">
        <f>VLOOKUP($A13,'汇总-1月'!$B$5:$AE$23,28,0)</f>
        <v>#N/A</v>
      </c>
      <c r="AE13" s="759" t="e">
        <f t="shared" si="14"/>
        <v>#N/A</v>
      </c>
      <c r="AF13" s="767" t="e">
        <f>VLOOKUP($A13,'汇总-1月'!$B$5:$AE$23,29,0)</f>
        <v>#N/A</v>
      </c>
      <c r="AG13" s="759" t="e">
        <f t="shared" si="15"/>
        <v>#N/A</v>
      </c>
      <c r="AH13" s="767" t="e">
        <f>VLOOKUP($A13,'汇总-1月'!$B$5:$AE$23,30,0)</f>
        <v>#N/A</v>
      </c>
      <c r="AI13" s="759" t="e">
        <f t="shared" si="16"/>
        <v>#N/A</v>
      </c>
    </row>
    <row r="14" spans="1:35">
      <c r="A14" s="759" t="s">
        <v>40</v>
      </c>
      <c r="B14" s="765" t="e">
        <f>VLOOKUP($A14,'汇总-1月'!$B$5:$AE$23,2,0)</f>
        <v>#N/A</v>
      </c>
      <c r="C14" s="759" t="e">
        <f t="shared" si="0"/>
        <v>#N/A</v>
      </c>
      <c r="D14" s="765" t="e">
        <f>VLOOKUP($A14,'汇总-1月'!$B$5:$AE$23,7,0)</f>
        <v>#N/A</v>
      </c>
      <c r="E14" s="759" t="e">
        <f t="shared" si="1"/>
        <v>#N/A</v>
      </c>
      <c r="F14" s="765" t="e">
        <f>VLOOKUP($A14,'汇总-1月'!$B$5:$AE$23,12,0)</f>
        <v>#N/A</v>
      </c>
      <c r="G14" s="759" t="e">
        <f t="shared" si="2"/>
        <v>#N/A</v>
      </c>
      <c r="H14" s="766" t="e">
        <f>VLOOKUP($A14,'汇总-1月'!$B$5:$AE$23,17,0)</f>
        <v>#N/A</v>
      </c>
      <c r="I14" s="759" t="e">
        <f t="shared" si="3"/>
        <v>#N/A</v>
      </c>
      <c r="J14" s="767" t="e">
        <f>VLOOKUP($A14,'汇总-1月'!$B$5:$AE$23,18,0)</f>
        <v>#N/A</v>
      </c>
      <c r="K14" s="759" t="e">
        <f t="shared" si="4"/>
        <v>#N/A</v>
      </c>
      <c r="L14" s="767" t="e">
        <f>VLOOKUP($A14,'汇总-1月'!$B$5:$AE$23,19,0)</f>
        <v>#N/A</v>
      </c>
      <c r="M14" s="759" t="e">
        <f t="shared" si="5"/>
        <v>#N/A</v>
      </c>
      <c r="N14" s="768" t="e">
        <f>VLOOKUP($A14,'汇总-1月'!$B$5:$AE$23,20,0)</f>
        <v>#N/A</v>
      </c>
      <c r="O14" s="759" t="e">
        <f t="shared" si="6"/>
        <v>#N/A</v>
      </c>
      <c r="P14" s="768" t="e">
        <f>VLOOKUP($A14,'汇总-1月'!$B$5:$AE$23,21,0)</f>
        <v>#N/A</v>
      </c>
      <c r="Q14" s="759" t="e">
        <f t="shared" si="7"/>
        <v>#N/A</v>
      </c>
      <c r="R14" s="768" t="e">
        <f>VLOOKUP($A14,'汇总-1月'!$B$5:$AE$23,22,0)</f>
        <v>#N/A</v>
      </c>
      <c r="S14" s="759" t="e">
        <f t="shared" si="8"/>
        <v>#N/A</v>
      </c>
      <c r="T14" s="767" t="e">
        <f>VLOOKUP($A14,'汇总-1月'!$B$5:$AE$23,23,0)</f>
        <v>#N/A</v>
      </c>
      <c r="U14" s="759" t="e">
        <f t="shared" si="9"/>
        <v>#N/A</v>
      </c>
      <c r="V14" s="767" t="e">
        <f>VLOOKUP($A14,'汇总-1月'!$B$5:$AE$23,24,0)</f>
        <v>#N/A</v>
      </c>
      <c r="W14" s="759" t="e">
        <f t="shared" si="10"/>
        <v>#N/A</v>
      </c>
      <c r="X14" s="768" t="e">
        <f>VLOOKUP($A14,'汇总-1月'!$B$5:$AE$23,25,0)</f>
        <v>#N/A</v>
      </c>
      <c r="Y14" s="759" t="e">
        <f t="shared" si="11"/>
        <v>#N/A</v>
      </c>
      <c r="Z14" s="767" t="e">
        <f>VLOOKUP($A14,'汇总-1月'!$B$5:$AE$23,26,0)</f>
        <v>#N/A</v>
      </c>
      <c r="AA14" s="759" t="e">
        <f t="shared" si="12"/>
        <v>#N/A</v>
      </c>
      <c r="AB14" s="767" t="e">
        <f>VLOOKUP($A14,'汇总-1月'!$B$5:$AE$23,27,0)</f>
        <v>#N/A</v>
      </c>
      <c r="AC14" s="759" t="e">
        <f t="shared" si="13"/>
        <v>#N/A</v>
      </c>
      <c r="AD14" s="768" t="e">
        <f>VLOOKUP($A14,'汇总-1月'!$B$5:$AE$23,28,0)</f>
        <v>#N/A</v>
      </c>
      <c r="AE14" s="759" t="e">
        <f t="shared" si="14"/>
        <v>#N/A</v>
      </c>
      <c r="AF14" s="767" t="e">
        <f>VLOOKUP($A14,'汇总-1月'!$B$5:$AE$23,29,0)</f>
        <v>#N/A</v>
      </c>
      <c r="AG14" s="759" t="e">
        <f t="shared" si="15"/>
        <v>#N/A</v>
      </c>
      <c r="AH14" s="767" t="e">
        <f>VLOOKUP($A14,'汇总-1月'!$B$5:$AE$23,30,0)</f>
        <v>#N/A</v>
      </c>
      <c r="AI14" s="759" t="e">
        <f t="shared" si="16"/>
        <v>#N/A</v>
      </c>
    </row>
    <row r="15" spans="1:35">
      <c r="A15" s="759" t="s">
        <v>41</v>
      </c>
      <c r="B15" s="765" t="e">
        <f>VLOOKUP($A15,'汇总-1月'!$B$5:$AE$23,2,0)</f>
        <v>#N/A</v>
      </c>
      <c r="C15" s="759" t="e">
        <f t="shared" si="0"/>
        <v>#N/A</v>
      </c>
      <c r="D15" s="765" t="e">
        <f>VLOOKUP($A15,'汇总-1月'!$B$5:$AE$23,7,0)</f>
        <v>#N/A</v>
      </c>
      <c r="E15" s="759" t="e">
        <f t="shared" si="1"/>
        <v>#N/A</v>
      </c>
      <c r="F15" s="765" t="e">
        <f>VLOOKUP($A15,'汇总-1月'!$B$5:$AE$23,12,0)</f>
        <v>#N/A</v>
      </c>
      <c r="G15" s="759" t="e">
        <f t="shared" si="2"/>
        <v>#N/A</v>
      </c>
      <c r="H15" s="766" t="e">
        <f>VLOOKUP($A15,'汇总-1月'!$B$5:$AE$23,17,0)</f>
        <v>#N/A</v>
      </c>
      <c r="I15" s="759" t="e">
        <f t="shared" si="3"/>
        <v>#N/A</v>
      </c>
      <c r="J15" s="767" t="e">
        <f>VLOOKUP($A15,'汇总-1月'!$B$5:$AE$23,18,0)</f>
        <v>#N/A</v>
      </c>
      <c r="K15" s="759" t="e">
        <f t="shared" si="4"/>
        <v>#N/A</v>
      </c>
      <c r="L15" s="767" t="e">
        <f>VLOOKUP($A15,'汇总-1月'!$B$5:$AE$23,19,0)</f>
        <v>#N/A</v>
      </c>
      <c r="M15" s="759" t="e">
        <f t="shared" si="5"/>
        <v>#N/A</v>
      </c>
      <c r="N15" s="768" t="e">
        <f>VLOOKUP($A15,'汇总-1月'!$B$5:$AE$23,20,0)</f>
        <v>#N/A</v>
      </c>
      <c r="O15" s="759" t="e">
        <f t="shared" si="6"/>
        <v>#N/A</v>
      </c>
      <c r="P15" s="768" t="e">
        <f>VLOOKUP($A15,'汇总-1月'!$B$5:$AE$23,21,0)</f>
        <v>#N/A</v>
      </c>
      <c r="Q15" s="759" t="e">
        <f t="shared" si="7"/>
        <v>#N/A</v>
      </c>
      <c r="R15" s="768" t="e">
        <f>VLOOKUP($A15,'汇总-1月'!$B$5:$AE$23,22,0)</f>
        <v>#N/A</v>
      </c>
      <c r="S15" s="759" t="e">
        <f t="shared" si="8"/>
        <v>#N/A</v>
      </c>
      <c r="T15" s="767" t="e">
        <f>VLOOKUP($A15,'汇总-1月'!$B$5:$AE$23,23,0)</f>
        <v>#N/A</v>
      </c>
      <c r="U15" s="759" t="e">
        <f t="shared" si="9"/>
        <v>#N/A</v>
      </c>
      <c r="V15" s="767" t="e">
        <f>VLOOKUP($A15,'汇总-1月'!$B$5:$AE$23,24,0)</f>
        <v>#N/A</v>
      </c>
      <c r="W15" s="759" t="e">
        <f t="shared" si="10"/>
        <v>#N/A</v>
      </c>
      <c r="X15" s="768" t="e">
        <f>VLOOKUP($A15,'汇总-1月'!$B$5:$AE$23,25,0)</f>
        <v>#N/A</v>
      </c>
      <c r="Y15" s="759" t="e">
        <f t="shared" si="11"/>
        <v>#N/A</v>
      </c>
      <c r="Z15" s="767" t="e">
        <f>VLOOKUP($A15,'汇总-1月'!$B$5:$AE$23,26,0)</f>
        <v>#N/A</v>
      </c>
      <c r="AA15" s="759" t="e">
        <f t="shared" si="12"/>
        <v>#N/A</v>
      </c>
      <c r="AB15" s="767" t="e">
        <f>VLOOKUP($A15,'汇总-1月'!$B$5:$AE$23,27,0)</f>
        <v>#N/A</v>
      </c>
      <c r="AC15" s="759" t="e">
        <f t="shared" si="13"/>
        <v>#N/A</v>
      </c>
      <c r="AD15" s="768" t="e">
        <f>VLOOKUP($A15,'汇总-1月'!$B$5:$AE$23,28,0)</f>
        <v>#N/A</v>
      </c>
      <c r="AE15" s="759" t="e">
        <f t="shared" si="14"/>
        <v>#N/A</v>
      </c>
      <c r="AF15" s="767" t="e">
        <f>VLOOKUP($A15,'汇总-1月'!$B$5:$AE$23,29,0)</f>
        <v>#N/A</v>
      </c>
      <c r="AG15" s="759" t="e">
        <f t="shared" si="15"/>
        <v>#N/A</v>
      </c>
      <c r="AH15" s="767" t="e">
        <f>VLOOKUP($A15,'汇总-1月'!$B$5:$AE$23,30,0)</f>
        <v>#N/A</v>
      </c>
      <c r="AI15" s="759" t="e">
        <f t="shared" si="16"/>
        <v>#N/A</v>
      </c>
    </row>
    <row r="16" spans="1:35">
      <c r="A16" s="759" t="s">
        <v>42</v>
      </c>
      <c r="B16" s="765" t="e">
        <f>VLOOKUP($A16,'汇总-1月'!$B$5:$AE$23,2,0)</f>
        <v>#N/A</v>
      </c>
      <c r="C16" s="759" t="e">
        <f t="shared" si="0"/>
        <v>#N/A</v>
      </c>
      <c r="D16" s="765" t="e">
        <f>VLOOKUP($A16,'汇总-1月'!$B$5:$AE$23,7,0)</f>
        <v>#N/A</v>
      </c>
      <c r="E16" s="759" t="e">
        <f t="shared" si="1"/>
        <v>#N/A</v>
      </c>
      <c r="F16" s="765" t="e">
        <f>VLOOKUP($A16,'汇总-1月'!$B$5:$AE$23,12,0)</f>
        <v>#N/A</v>
      </c>
      <c r="G16" s="759" t="e">
        <f t="shared" si="2"/>
        <v>#N/A</v>
      </c>
      <c r="H16" s="766" t="e">
        <f>VLOOKUP($A16,'汇总-1月'!$B$5:$AE$23,17,0)</f>
        <v>#N/A</v>
      </c>
      <c r="I16" s="759" t="e">
        <f t="shared" si="3"/>
        <v>#N/A</v>
      </c>
      <c r="J16" s="767" t="e">
        <f>VLOOKUP($A16,'汇总-1月'!$B$5:$AE$23,18,0)</f>
        <v>#N/A</v>
      </c>
      <c r="K16" s="759" t="e">
        <f t="shared" si="4"/>
        <v>#N/A</v>
      </c>
      <c r="L16" s="767" t="e">
        <f>VLOOKUP($A16,'汇总-1月'!$B$5:$AE$23,19,0)</f>
        <v>#N/A</v>
      </c>
      <c r="M16" s="759" t="e">
        <f t="shared" si="5"/>
        <v>#N/A</v>
      </c>
      <c r="N16" s="768" t="e">
        <f>VLOOKUP($A16,'汇总-1月'!$B$5:$AE$23,20,0)</f>
        <v>#N/A</v>
      </c>
      <c r="O16" s="759" t="e">
        <f t="shared" si="6"/>
        <v>#N/A</v>
      </c>
      <c r="P16" s="768" t="e">
        <f>VLOOKUP($A16,'汇总-1月'!$B$5:$AE$23,21,0)</f>
        <v>#N/A</v>
      </c>
      <c r="Q16" s="759" t="e">
        <f t="shared" si="7"/>
        <v>#N/A</v>
      </c>
      <c r="R16" s="768" t="e">
        <f>VLOOKUP($A16,'汇总-1月'!$B$5:$AE$23,22,0)</f>
        <v>#N/A</v>
      </c>
      <c r="S16" s="759" t="e">
        <f t="shared" si="8"/>
        <v>#N/A</v>
      </c>
      <c r="T16" s="767" t="e">
        <f>VLOOKUP($A16,'汇总-1月'!$B$5:$AE$23,23,0)</f>
        <v>#N/A</v>
      </c>
      <c r="U16" s="759" t="e">
        <f t="shared" si="9"/>
        <v>#N/A</v>
      </c>
      <c r="V16" s="767" t="e">
        <f>VLOOKUP($A16,'汇总-1月'!$B$5:$AE$23,24,0)</f>
        <v>#N/A</v>
      </c>
      <c r="W16" s="759" t="e">
        <f t="shared" si="10"/>
        <v>#N/A</v>
      </c>
      <c r="X16" s="768" t="e">
        <f>VLOOKUP($A16,'汇总-1月'!$B$5:$AE$23,25,0)</f>
        <v>#N/A</v>
      </c>
      <c r="Y16" s="759" t="e">
        <f t="shared" si="11"/>
        <v>#N/A</v>
      </c>
      <c r="Z16" s="767" t="e">
        <f>VLOOKUP($A16,'汇总-1月'!$B$5:$AE$23,26,0)</f>
        <v>#N/A</v>
      </c>
      <c r="AA16" s="759" t="e">
        <f t="shared" si="12"/>
        <v>#N/A</v>
      </c>
      <c r="AB16" s="767" t="e">
        <f>VLOOKUP($A16,'汇总-1月'!$B$5:$AE$23,27,0)</f>
        <v>#N/A</v>
      </c>
      <c r="AC16" s="759" t="e">
        <f t="shared" si="13"/>
        <v>#N/A</v>
      </c>
      <c r="AD16" s="768" t="e">
        <f>VLOOKUP($A16,'汇总-1月'!$B$5:$AE$23,28,0)</f>
        <v>#N/A</v>
      </c>
      <c r="AE16" s="759" t="e">
        <f t="shared" si="14"/>
        <v>#N/A</v>
      </c>
      <c r="AF16" s="767" t="e">
        <f>VLOOKUP($A16,'汇总-1月'!$B$5:$AE$23,29,0)</f>
        <v>#N/A</v>
      </c>
      <c r="AG16" s="759" t="e">
        <f t="shared" si="15"/>
        <v>#N/A</v>
      </c>
      <c r="AH16" s="767" t="e">
        <f>VLOOKUP($A16,'汇总-1月'!$B$5:$AE$23,30,0)</f>
        <v>#N/A</v>
      </c>
      <c r="AI16" s="759" t="e">
        <f t="shared" si="16"/>
        <v>#N/A</v>
      </c>
    </row>
    <row r="17" spans="1:35">
      <c r="A17" s="759" t="s">
        <v>43</v>
      </c>
      <c r="B17" s="765" t="e">
        <f>VLOOKUP($A17,'汇总-1月'!$B$5:$AE$23,2,0)</f>
        <v>#N/A</v>
      </c>
      <c r="C17" s="759" t="e">
        <f t="shared" si="0"/>
        <v>#N/A</v>
      </c>
      <c r="D17" s="765" t="e">
        <f>VLOOKUP($A17,'汇总-1月'!$B$5:$AE$23,7,0)</f>
        <v>#N/A</v>
      </c>
      <c r="E17" s="759" t="e">
        <f t="shared" si="1"/>
        <v>#N/A</v>
      </c>
      <c r="F17" s="765" t="e">
        <f>VLOOKUP($A17,'汇总-1月'!$B$5:$AE$23,12,0)</f>
        <v>#N/A</v>
      </c>
      <c r="G17" s="759" t="e">
        <f t="shared" si="2"/>
        <v>#N/A</v>
      </c>
      <c r="H17" s="766" t="e">
        <f>VLOOKUP($A17,'汇总-1月'!$B$5:$AE$23,17,0)</f>
        <v>#N/A</v>
      </c>
      <c r="I17" s="759" t="e">
        <f t="shared" si="3"/>
        <v>#N/A</v>
      </c>
      <c r="J17" s="767" t="e">
        <f>VLOOKUP($A17,'汇总-1月'!$B$5:$AE$23,18,0)</f>
        <v>#N/A</v>
      </c>
      <c r="K17" s="759" t="e">
        <f t="shared" si="4"/>
        <v>#N/A</v>
      </c>
      <c r="L17" s="767" t="e">
        <f>VLOOKUP($A17,'汇总-1月'!$B$5:$AE$23,19,0)</f>
        <v>#N/A</v>
      </c>
      <c r="M17" s="759" t="e">
        <f t="shared" si="5"/>
        <v>#N/A</v>
      </c>
      <c r="N17" s="768" t="e">
        <f>VLOOKUP($A17,'汇总-1月'!$B$5:$AE$23,20,0)</f>
        <v>#N/A</v>
      </c>
      <c r="O17" s="759" t="e">
        <f t="shared" si="6"/>
        <v>#N/A</v>
      </c>
      <c r="P17" s="768" t="e">
        <f>VLOOKUP($A17,'汇总-1月'!$B$5:$AE$23,21,0)</f>
        <v>#N/A</v>
      </c>
      <c r="Q17" s="759" t="e">
        <f t="shared" si="7"/>
        <v>#N/A</v>
      </c>
      <c r="R17" s="768" t="e">
        <f>VLOOKUP($A17,'汇总-1月'!$B$5:$AE$23,22,0)</f>
        <v>#N/A</v>
      </c>
      <c r="S17" s="759" t="e">
        <f t="shared" si="8"/>
        <v>#N/A</v>
      </c>
      <c r="T17" s="767" t="e">
        <f>VLOOKUP($A17,'汇总-1月'!$B$5:$AE$23,23,0)</f>
        <v>#N/A</v>
      </c>
      <c r="U17" s="759" t="e">
        <f t="shared" si="9"/>
        <v>#N/A</v>
      </c>
      <c r="V17" s="767" t="e">
        <f>VLOOKUP($A17,'汇总-1月'!$B$5:$AE$23,24,0)</f>
        <v>#N/A</v>
      </c>
      <c r="W17" s="759" t="e">
        <f t="shared" si="10"/>
        <v>#N/A</v>
      </c>
      <c r="X17" s="768" t="e">
        <f>VLOOKUP($A17,'汇总-1月'!$B$5:$AE$23,25,0)</f>
        <v>#N/A</v>
      </c>
      <c r="Y17" s="759" t="e">
        <f t="shared" si="11"/>
        <v>#N/A</v>
      </c>
      <c r="Z17" s="767" t="e">
        <f>VLOOKUP($A17,'汇总-1月'!$B$5:$AE$23,26,0)</f>
        <v>#N/A</v>
      </c>
      <c r="AA17" s="759" t="e">
        <f t="shared" si="12"/>
        <v>#N/A</v>
      </c>
      <c r="AB17" s="767" t="e">
        <f>VLOOKUP($A17,'汇总-1月'!$B$5:$AE$23,27,0)</f>
        <v>#N/A</v>
      </c>
      <c r="AC17" s="759" t="e">
        <f t="shared" si="13"/>
        <v>#N/A</v>
      </c>
      <c r="AD17" s="768" t="e">
        <f>VLOOKUP($A17,'汇总-1月'!$B$5:$AE$23,28,0)</f>
        <v>#N/A</v>
      </c>
      <c r="AE17" s="759" t="e">
        <f t="shared" si="14"/>
        <v>#N/A</v>
      </c>
      <c r="AF17" s="767" t="e">
        <f>VLOOKUP($A17,'汇总-1月'!$B$5:$AE$23,29,0)</f>
        <v>#N/A</v>
      </c>
      <c r="AG17" s="759" t="e">
        <f t="shared" si="15"/>
        <v>#N/A</v>
      </c>
      <c r="AH17" s="767" t="e">
        <f>VLOOKUP($A17,'汇总-1月'!$B$5:$AE$23,30,0)</f>
        <v>#N/A</v>
      </c>
      <c r="AI17" s="759" t="e">
        <f t="shared" si="16"/>
        <v>#N/A</v>
      </c>
    </row>
    <row r="18" spans="1:35">
      <c r="A18" s="759" t="s">
        <v>44</v>
      </c>
      <c r="B18" s="765" t="e">
        <f>VLOOKUP($A18,'汇总-1月'!$B$5:$AE$23,2,0)</f>
        <v>#N/A</v>
      </c>
      <c r="C18" s="759" t="e">
        <f t="shared" si="0"/>
        <v>#N/A</v>
      </c>
      <c r="D18" s="765" t="e">
        <f>VLOOKUP($A18,'汇总-1月'!$B$5:$AE$23,7,0)</f>
        <v>#N/A</v>
      </c>
      <c r="E18" s="759" t="e">
        <f t="shared" si="1"/>
        <v>#N/A</v>
      </c>
      <c r="F18" s="765" t="e">
        <f>VLOOKUP($A18,'汇总-1月'!$B$5:$AE$23,12,0)</f>
        <v>#N/A</v>
      </c>
      <c r="G18" s="759" t="e">
        <f t="shared" si="2"/>
        <v>#N/A</v>
      </c>
      <c r="H18" s="766" t="e">
        <f>VLOOKUP($A18,'汇总-1月'!$B$5:$AE$23,17,0)</f>
        <v>#N/A</v>
      </c>
      <c r="I18" s="759" t="e">
        <f t="shared" si="3"/>
        <v>#N/A</v>
      </c>
      <c r="J18" s="767" t="e">
        <f>VLOOKUP($A18,'汇总-1月'!$B$5:$AE$23,18,0)</f>
        <v>#N/A</v>
      </c>
      <c r="K18" s="759" t="e">
        <f t="shared" si="4"/>
        <v>#N/A</v>
      </c>
      <c r="L18" s="767" t="e">
        <f>VLOOKUP($A18,'汇总-1月'!$B$5:$AE$23,19,0)</f>
        <v>#N/A</v>
      </c>
      <c r="M18" s="759" t="e">
        <f t="shared" si="5"/>
        <v>#N/A</v>
      </c>
      <c r="N18" s="768" t="e">
        <f>VLOOKUP($A18,'汇总-1月'!$B$5:$AE$23,20,0)</f>
        <v>#N/A</v>
      </c>
      <c r="O18" s="759" t="e">
        <f t="shared" si="6"/>
        <v>#N/A</v>
      </c>
      <c r="P18" s="768" t="e">
        <f>VLOOKUP($A18,'汇总-1月'!$B$5:$AE$23,21,0)</f>
        <v>#N/A</v>
      </c>
      <c r="Q18" s="759" t="e">
        <f t="shared" si="7"/>
        <v>#N/A</v>
      </c>
      <c r="R18" s="768" t="e">
        <f>VLOOKUP($A18,'汇总-1月'!$B$5:$AE$23,22,0)</f>
        <v>#N/A</v>
      </c>
      <c r="S18" s="759" t="e">
        <f t="shared" si="8"/>
        <v>#N/A</v>
      </c>
      <c r="T18" s="767" t="e">
        <f>VLOOKUP($A18,'汇总-1月'!$B$5:$AE$23,23,0)</f>
        <v>#N/A</v>
      </c>
      <c r="U18" s="759" t="e">
        <f t="shared" si="9"/>
        <v>#N/A</v>
      </c>
      <c r="V18" s="767" t="e">
        <f>VLOOKUP($A18,'汇总-1月'!$B$5:$AE$23,24,0)</f>
        <v>#N/A</v>
      </c>
      <c r="W18" s="759" t="e">
        <f t="shared" si="10"/>
        <v>#N/A</v>
      </c>
      <c r="X18" s="768" t="e">
        <f>VLOOKUP($A18,'汇总-1月'!$B$5:$AE$23,25,0)</f>
        <v>#N/A</v>
      </c>
      <c r="Y18" s="759" t="e">
        <f t="shared" si="11"/>
        <v>#N/A</v>
      </c>
      <c r="Z18" s="767" t="e">
        <f>VLOOKUP($A18,'汇总-1月'!$B$5:$AE$23,26,0)</f>
        <v>#N/A</v>
      </c>
      <c r="AA18" s="759" t="e">
        <f t="shared" si="12"/>
        <v>#N/A</v>
      </c>
      <c r="AB18" s="767" t="e">
        <f>VLOOKUP($A18,'汇总-1月'!$B$5:$AE$23,27,0)</f>
        <v>#N/A</v>
      </c>
      <c r="AC18" s="759" t="e">
        <f t="shared" si="13"/>
        <v>#N/A</v>
      </c>
      <c r="AD18" s="768" t="e">
        <f>VLOOKUP($A18,'汇总-1月'!$B$5:$AE$23,28,0)</f>
        <v>#N/A</v>
      </c>
      <c r="AE18" s="759" t="e">
        <f t="shared" si="14"/>
        <v>#N/A</v>
      </c>
      <c r="AF18" s="767" t="e">
        <f>VLOOKUP($A18,'汇总-1月'!$B$5:$AE$23,29,0)</f>
        <v>#N/A</v>
      </c>
      <c r="AG18" s="759" t="e">
        <f t="shared" si="15"/>
        <v>#N/A</v>
      </c>
      <c r="AH18" s="767" t="e">
        <f>VLOOKUP($A18,'汇总-1月'!$B$5:$AE$23,30,0)</f>
        <v>#N/A</v>
      </c>
      <c r="AI18" s="759" t="e">
        <f t="shared" si="16"/>
        <v>#N/A</v>
      </c>
    </row>
    <row r="19" spans="1:35">
      <c r="A19" s="759" t="s">
        <v>45</v>
      </c>
      <c r="B19" s="765" t="e">
        <f>VLOOKUP($A19,'汇总-1月'!$B$5:$AE$23,2,0)</f>
        <v>#N/A</v>
      </c>
      <c r="C19" s="759" t="e">
        <f t="shared" si="0"/>
        <v>#N/A</v>
      </c>
      <c r="D19" s="765" t="e">
        <f>VLOOKUP($A19,'汇总-1月'!$B$5:$AE$23,7,0)</f>
        <v>#N/A</v>
      </c>
      <c r="E19" s="759" t="e">
        <f t="shared" si="1"/>
        <v>#N/A</v>
      </c>
      <c r="F19" s="765" t="e">
        <f>VLOOKUP($A19,'汇总-1月'!$B$5:$AE$23,12,0)</f>
        <v>#N/A</v>
      </c>
      <c r="G19" s="759" t="e">
        <f t="shared" si="2"/>
        <v>#N/A</v>
      </c>
      <c r="H19" s="766" t="e">
        <f>VLOOKUP($A19,'汇总-1月'!$B$5:$AE$23,17,0)</f>
        <v>#N/A</v>
      </c>
      <c r="I19" s="759" t="e">
        <f t="shared" si="3"/>
        <v>#N/A</v>
      </c>
      <c r="J19" s="767" t="e">
        <f>VLOOKUP($A19,'汇总-1月'!$B$5:$AE$23,18,0)</f>
        <v>#N/A</v>
      </c>
      <c r="K19" s="759" t="e">
        <f t="shared" si="4"/>
        <v>#N/A</v>
      </c>
      <c r="L19" s="767" t="e">
        <f>VLOOKUP($A19,'汇总-1月'!$B$5:$AE$23,19,0)</f>
        <v>#N/A</v>
      </c>
      <c r="M19" s="759" t="e">
        <f t="shared" si="5"/>
        <v>#N/A</v>
      </c>
      <c r="N19" s="768" t="e">
        <f>VLOOKUP($A19,'汇总-1月'!$B$5:$AE$23,20,0)</f>
        <v>#N/A</v>
      </c>
      <c r="O19" s="759" t="e">
        <f t="shared" si="6"/>
        <v>#N/A</v>
      </c>
      <c r="P19" s="768" t="e">
        <f>VLOOKUP($A19,'汇总-1月'!$B$5:$AE$23,21,0)</f>
        <v>#N/A</v>
      </c>
      <c r="Q19" s="759" t="e">
        <f t="shared" si="7"/>
        <v>#N/A</v>
      </c>
      <c r="R19" s="768" t="e">
        <f>VLOOKUP($A19,'汇总-1月'!$B$5:$AE$23,22,0)</f>
        <v>#N/A</v>
      </c>
      <c r="S19" s="759" t="e">
        <f t="shared" si="8"/>
        <v>#N/A</v>
      </c>
      <c r="T19" s="767" t="e">
        <f>VLOOKUP($A19,'汇总-1月'!$B$5:$AE$23,23,0)</f>
        <v>#N/A</v>
      </c>
      <c r="U19" s="759" t="e">
        <f t="shared" si="9"/>
        <v>#N/A</v>
      </c>
      <c r="V19" s="767" t="e">
        <f>VLOOKUP($A19,'汇总-1月'!$B$5:$AE$23,24,0)</f>
        <v>#N/A</v>
      </c>
      <c r="W19" s="759" t="e">
        <f t="shared" si="10"/>
        <v>#N/A</v>
      </c>
      <c r="X19" s="768" t="e">
        <f>VLOOKUP($A19,'汇总-1月'!$B$5:$AE$23,25,0)</f>
        <v>#N/A</v>
      </c>
      <c r="Y19" s="759" t="e">
        <f t="shared" si="11"/>
        <v>#N/A</v>
      </c>
      <c r="Z19" s="767" t="e">
        <f>VLOOKUP($A19,'汇总-1月'!$B$5:$AE$23,26,0)</f>
        <v>#N/A</v>
      </c>
      <c r="AA19" s="759" t="e">
        <f t="shared" si="12"/>
        <v>#N/A</v>
      </c>
      <c r="AB19" s="767" t="e">
        <f>VLOOKUP($A19,'汇总-1月'!$B$5:$AE$23,27,0)</f>
        <v>#N/A</v>
      </c>
      <c r="AC19" s="759" t="e">
        <f t="shared" si="13"/>
        <v>#N/A</v>
      </c>
      <c r="AD19" s="768" t="e">
        <f>VLOOKUP($A19,'汇总-1月'!$B$5:$AE$23,28,0)</f>
        <v>#N/A</v>
      </c>
      <c r="AE19" s="759" t="e">
        <f t="shared" si="14"/>
        <v>#N/A</v>
      </c>
      <c r="AF19" s="767" t="e">
        <f>VLOOKUP($A19,'汇总-1月'!$B$5:$AE$23,29,0)</f>
        <v>#N/A</v>
      </c>
      <c r="AG19" s="759" t="e">
        <f t="shared" si="15"/>
        <v>#N/A</v>
      </c>
      <c r="AH19" s="767" t="e">
        <f>VLOOKUP($A19,'汇总-1月'!$B$5:$AE$23,30,0)</f>
        <v>#N/A</v>
      </c>
      <c r="AI19" s="759" t="e">
        <f t="shared" si="16"/>
        <v>#N/A</v>
      </c>
    </row>
    <row r="20" spans="1:35">
      <c r="A20" s="759" t="s">
        <v>46</v>
      </c>
      <c r="B20" s="765" t="e">
        <f>VLOOKUP($A20,'汇总-1月'!$B$5:$AE$23,2,0)</f>
        <v>#N/A</v>
      </c>
      <c r="C20" s="759" t="e">
        <f t="shared" si="0"/>
        <v>#N/A</v>
      </c>
      <c r="D20" s="765" t="e">
        <f>VLOOKUP($A20,'汇总-1月'!$B$5:$AE$23,7,0)</f>
        <v>#N/A</v>
      </c>
      <c r="E20" s="759" t="e">
        <f t="shared" si="1"/>
        <v>#N/A</v>
      </c>
      <c r="F20" s="765" t="e">
        <f>VLOOKUP($A20,'汇总-1月'!$B$5:$AE$23,12,0)</f>
        <v>#N/A</v>
      </c>
      <c r="G20" s="759" t="e">
        <f t="shared" si="2"/>
        <v>#N/A</v>
      </c>
      <c r="H20" s="766" t="e">
        <f>VLOOKUP($A20,'汇总-1月'!$B$5:$AE$23,17,0)</f>
        <v>#N/A</v>
      </c>
      <c r="I20" s="759" t="e">
        <f t="shared" si="3"/>
        <v>#N/A</v>
      </c>
      <c r="J20" s="767" t="e">
        <f>VLOOKUP($A20,'汇总-1月'!$B$5:$AE$23,18,0)</f>
        <v>#N/A</v>
      </c>
      <c r="K20" s="759" t="e">
        <f t="shared" si="4"/>
        <v>#N/A</v>
      </c>
      <c r="L20" s="767" t="e">
        <f>VLOOKUP($A20,'汇总-1月'!$B$5:$AE$23,19,0)</f>
        <v>#N/A</v>
      </c>
      <c r="M20" s="759" t="e">
        <f t="shared" si="5"/>
        <v>#N/A</v>
      </c>
      <c r="N20" s="768" t="e">
        <f>VLOOKUP($A20,'汇总-1月'!$B$5:$AE$23,20,0)</f>
        <v>#N/A</v>
      </c>
      <c r="O20" s="759" t="e">
        <f t="shared" si="6"/>
        <v>#N/A</v>
      </c>
      <c r="P20" s="768" t="e">
        <f>VLOOKUP($A20,'汇总-1月'!$B$5:$AE$23,21,0)</f>
        <v>#N/A</v>
      </c>
      <c r="Q20" s="759" t="e">
        <f t="shared" si="7"/>
        <v>#N/A</v>
      </c>
      <c r="R20" s="768" t="e">
        <f>VLOOKUP($A20,'汇总-1月'!$B$5:$AE$23,22,0)</f>
        <v>#N/A</v>
      </c>
      <c r="S20" s="759" t="e">
        <f t="shared" si="8"/>
        <v>#N/A</v>
      </c>
      <c r="T20" s="767" t="e">
        <f>VLOOKUP($A20,'汇总-1月'!$B$5:$AE$23,23,0)</f>
        <v>#N/A</v>
      </c>
      <c r="U20" s="759" t="e">
        <f t="shared" si="9"/>
        <v>#N/A</v>
      </c>
      <c r="V20" s="767" t="e">
        <f>VLOOKUP($A20,'汇总-1月'!$B$5:$AE$23,24,0)</f>
        <v>#N/A</v>
      </c>
      <c r="W20" s="759" t="e">
        <f t="shared" si="10"/>
        <v>#N/A</v>
      </c>
      <c r="X20" s="768" t="e">
        <f>VLOOKUP($A20,'汇总-1月'!$B$5:$AE$23,25,0)</f>
        <v>#N/A</v>
      </c>
      <c r="Y20" s="759" t="e">
        <f t="shared" si="11"/>
        <v>#N/A</v>
      </c>
      <c r="Z20" s="767" t="e">
        <f>VLOOKUP($A20,'汇总-1月'!$B$5:$AE$23,26,0)</f>
        <v>#N/A</v>
      </c>
      <c r="AA20" s="759" t="e">
        <f t="shared" si="12"/>
        <v>#N/A</v>
      </c>
      <c r="AB20" s="767" t="e">
        <f>VLOOKUP($A20,'汇总-1月'!$B$5:$AE$23,27,0)</f>
        <v>#N/A</v>
      </c>
      <c r="AC20" s="759" t="e">
        <f t="shared" si="13"/>
        <v>#N/A</v>
      </c>
      <c r="AD20" s="768" t="e">
        <f>VLOOKUP($A20,'汇总-1月'!$B$5:$AE$23,28,0)</f>
        <v>#N/A</v>
      </c>
      <c r="AE20" s="759" t="e">
        <f t="shared" si="14"/>
        <v>#N/A</v>
      </c>
      <c r="AF20" s="767" t="e">
        <f>VLOOKUP($A20,'汇总-1月'!$B$5:$AE$23,29,0)</f>
        <v>#N/A</v>
      </c>
      <c r="AG20" s="759" t="e">
        <f t="shared" si="15"/>
        <v>#N/A</v>
      </c>
      <c r="AH20" s="767" t="e">
        <f>VLOOKUP($A20,'汇总-1月'!$B$5:$AE$23,30,0)</f>
        <v>#N/A</v>
      </c>
      <c r="AI20" s="759" t="e">
        <f t="shared" si="16"/>
        <v>#N/A</v>
      </c>
    </row>
    <row r="21" spans="1:35">
      <c r="A21" s="759" t="s">
        <v>47</v>
      </c>
      <c r="B21" s="765" t="e">
        <f>VLOOKUP($A21,'汇总-1月'!$B$5:$AE$23,2,0)</f>
        <v>#N/A</v>
      </c>
      <c r="C21" s="759" t="e">
        <f t="shared" si="0"/>
        <v>#N/A</v>
      </c>
      <c r="D21" s="765" t="e">
        <f>VLOOKUP($A21,'汇总-1月'!$B$5:$AE$23,7,0)</f>
        <v>#N/A</v>
      </c>
      <c r="E21" s="759" t="e">
        <f t="shared" si="1"/>
        <v>#N/A</v>
      </c>
      <c r="F21" s="765" t="e">
        <f>VLOOKUP($A21,'汇总-1月'!$B$5:$AE$23,12,0)</f>
        <v>#N/A</v>
      </c>
      <c r="G21" s="759" t="e">
        <f t="shared" si="2"/>
        <v>#N/A</v>
      </c>
      <c r="H21" s="766" t="e">
        <f>VLOOKUP($A21,'汇总-1月'!$B$5:$AE$23,17,0)</f>
        <v>#N/A</v>
      </c>
      <c r="I21" s="759" t="e">
        <f t="shared" si="3"/>
        <v>#N/A</v>
      </c>
      <c r="J21" s="767" t="e">
        <f>VLOOKUP($A21,'汇总-1月'!$B$5:$AE$23,18,0)</f>
        <v>#N/A</v>
      </c>
      <c r="K21" s="759" t="e">
        <f t="shared" si="4"/>
        <v>#N/A</v>
      </c>
      <c r="L21" s="767" t="e">
        <f>VLOOKUP($A21,'汇总-1月'!$B$5:$AE$23,19,0)</f>
        <v>#N/A</v>
      </c>
      <c r="M21" s="759" t="e">
        <f t="shared" si="5"/>
        <v>#N/A</v>
      </c>
      <c r="N21" s="768" t="e">
        <f>VLOOKUP($A21,'汇总-1月'!$B$5:$AE$23,20,0)</f>
        <v>#N/A</v>
      </c>
      <c r="O21" s="759" t="e">
        <f t="shared" si="6"/>
        <v>#N/A</v>
      </c>
      <c r="P21" s="768" t="e">
        <f>VLOOKUP($A21,'汇总-1月'!$B$5:$AE$23,21,0)</f>
        <v>#N/A</v>
      </c>
      <c r="Q21" s="759" t="e">
        <f t="shared" si="7"/>
        <v>#N/A</v>
      </c>
      <c r="R21" s="768" t="e">
        <f>VLOOKUP($A21,'汇总-1月'!$B$5:$AE$23,22,0)</f>
        <v>#N/A</v>
      </c>
      <c r="S21" s="759" t="e">
        <f t="shared" si="8"/>
        <v>#N/A</v>
      </c>
      <c r="T21" s="767" t="e">
        <f>VLOOKUP($A21,'汇总-1月'!$B$5:$AE$23,23,0)</f>
        <v>#N/A</v>
      </c>
      <c r="U21" s="759" t="e">
        <f t="shared" si="9"/>
        <v>#N/A</v>
      </c>
      <c r="V21" s="767" t="e">
        <f>VLOOKUP($A21,'汇总-1月'!$B$5:$AE$23,24,0)</f>
        <v>#N/A</v>
      </c>
      <c r="W21" s="759" t="e">
        <f t="shared" si="10"/>
        <v>#N/A</v>
      </c>
      <c r="X21" s="768" t="e">
        <f>VLOOKUP($A21,'汇总-1月'!$B$5:$AE$23,25,0)</f>
        <v>#N/A</v>
      </c>
      <c r="Y21" s="759" t="e">
        <f t="shared" si="11"/>
        <v>#N/A</v>
      </c>
      <c r="Z21" s="767" t="e">
        <f>VLOOKUP($A21,'汇总-1月'!$B$5:$AE$23,26,0)</f>
        <v>#N/A</v>
      </c>
      <c r="AA21" s="759" t="e">
        <f t="shared" si="12"/>
        <v>#N/A</v>
      </c>
      <c r="AB21" s="767" t="e">
        <f>VLOOKUP($A21,'汇总-1月'!$B$5:$AE$23,27,0)</f>
        <v>#N/A</v>
      </c>
      <c r="AC21" s="759" t="e">
        <f t="shared" si="13"/>
        <v>#N/A</v>
      </c>
      <c r="AD21" s="768" t="e">
        <f>VLOOKUP($A21,'汇总-1月'!$B$5:$AE$23,28,0)</f>
        <v>#N/A</v>
      </c>
      <c r="AE21" s="759" t="e">
        <f t="shared" si="14"/>
        <v>#N/A</v>
      </c>
      <c r="AF21" s="767" t="e">
        <f>VLOOKUP($A21,'汇总-1月'!$B$5:$AE$23,29,0)</f>
        <v>#N/A</v>
      </c>
      <c r="AG21" s="759" t="e">
        <f t="shared" si="15"/>
        <v>#N/A</v>
      </c>
      <c r="AH21" s="767" t="e">
        <f>VLOOKUP($A21,'汇总-1月'!$B$5:$AE$23,30,0)</f>
        <v>#N/A</v>
      </c>
      <c r="AI21" s="759" t="e">
        <f t="shared" si="16"/>
        <v>#N/A</v>
      </c>
    </row>
    <row r="22" spans="1:35">
      <c r="A22" s="759" t="s">
        <v>48</v>
      </c>
      <c r="B22" s="765" t="e">
        <f>VLOOKUP($A22,'汇总-1月'!$B$5:$AE$23,2,0)</f>
        <v>#N/A</v>
      </c>
      <c r="C22" s="759" t="e">
        <f t="shared" si="0"/>
        <v>#N/A</v>
      </c>
      <c r="D22" s="765" t="e">
        <f>VLOOKUP($A22,'汇总-1月'!$B$5:$AE$23,7,0)</f>
        <v>#N/A</v>
      </c>
      <c r="E22" s="759" t="e">
        <f t="shared" si="1"/>
        <v>#N/A</v>
      </c>
      <c r="F22" s="765" t="e">
        <f>VLOOKUP($A22,'汇总-1月'!$B$5:$AE$23,12,0)</f>
        <v>#N/A</v>
      </c>
      <c r="G22" s="759" t="e">
        <f t="shared" si="2"/>
        <v>#N/A</v>
      </c>
      <c r="H22" s="766" t="e">
        <f>VLOOKUP($A22,'汇总-1月'!$B$5:$AE$23,17,0)</f>
        <v>#N/A</v>
      </c>
      <c r="I22" s="759" t="e">
        <f t="shared" si="3"/>
        <v>#N/A</v>
      </c>
      <c r="J22" s="767" t="e">
        <f>VLOOKUP($A22,'汇总-1月'!$B$5:$AE$23,18,0)</f>
        <v>#N/A</v>
      </c>
      <c r="K22" s="759" t="e">
        <f t="shared" si="4"/>
        <v>#N/A</v>
      </c>
      <c r="L22" s="767" t="e">
        <f>VLOOKUP($A22,'汇总-1月'!$B$5:$AE$23,19,0)</f>
        <v>#N/A</v>
      </c>
      <c r="M22" s="759" t="e">
        <f t="shared" si="5"/>
        <v>#N/A</v>
      </c>
      <c r="N22" s="768" t="e">
        <f>VLOOKUP($A22,'汇总-1月'!$B$5:$AE$23,20,0)</f>
        <v>#N/A</v>
      </c>
      <c r="O22" s="759" t="e">
        <f t="shared" si="6"/>
        <v>#N/A</v>
      </c>
      <c r="P22" s="768" t="e">
        <f>VLOOKUP($A22,'汇总-1月'!$B$5:$AE$23,21,0)</f>
        <v>#N/A</v>
      </c>
      <c r="Q22" s="759" t="e">
        <f t="shared" si="7"/>
        <v>#N/A</v>
      </c>
      <c r="R22" s="768" t="e">
        <f>VLOOKUP($A22,'汇总-1月'!$B$5:$AE$23,22,0)</f>
        <v>#N/A</v>
      </c>
      <c r="S22" s="759" t="e">
        <f t="shared" si="8"/>
        <v>#N/A</v>
      </c>
      <c r="T22" s="767" t="e">
        <f>VLOOKUP($A22,'汇总-1月'!$B$5:$AE$23,23,0)</f>
        <v>#N/A</v>
      </c>
      <c r="U22" s="759" t="e">
        <f t="shared" si="9"/>
        <v>#N/A</v>
      </c>
      <c r="V22" s="767" t="e">
        <f>VLOOKUP($A22,'汇总-1月'!$B$5:$AE$23,24,0)</f>
        <v>#N/A</v>
      </c>
      <c r="W22" s="759" t="e">
        <f t="shared" si="10"/>
        <v>#N/A</v>
      </c>
      <c r="X22" s="768" t="e">
        <f>VLOOKUP($A22,'汇总-1月'!$B$5:$AE$23,25,0)</f>
        <v>#N/A</v>
      </c>
      <c r="Y22" s="759" t="e">
        <f t="shared" si="11"/>
        <v>#N/A</v>
      </c>
      <c r="Z22" s="767" t="e">
        <f>VLOOKUP($A22,'汇总-1月'!$B$5:$AE$23,26,0)</f>
        <v>#N/A</v>
      </c>
      <c r="AA22" s="759" t="e">
        <f t="shared" si="12"/>
        <v>#N/A</v>
      </c>
      <c r="AB22" s="767" t="e">
        <f>VLOOKUP($A22,'汇总-1月'!$B$5:$AE$23,27,0)</f>
        <v>#N/A</v>
      </c>
      <c r="AC22" s="759" t="e">
        <f t="shared" si="13"/>
        <v>#N/A</v>
      </c>
      <c r="AD22" s="768" t="e">
        <f>VLOOKUP($A22,'汇总-1月'!$B$5:$AE$23,28,0)</f>
        <v>#N/A</v>
      </c>
      <c r="AE22" s="759" t="e">
        <f t="shared" si="14"/>
        <v>#N/A</v>
      </c>
      <c r="AF22" s="767" t="e">
        <f>VLOOKUP($A22,'汇总-1月'!$B$5:$AE$23,29,0)</f>
        <v>#N/A</v>
      </c>
      <c r="AG22" s="759" t="e">
        <f t="shared" si="15"/>
        <v>#N/A</v>
      </c>
      <c r="AH22" s="767" t="e">
        <f>VLOOKUP($A22,'汇总-1月'!$B$5:$AE$23,30,0)</f>
        <v>#N/A</v>
      </c>
      <c r="AI22" s="759" t="e">
        <f t="shared" si="16"/>
        <v>#N/A</v>
      </c>
    </row>
    <row r="23" spans="1:35">
      <c r="A23" s="759" t="s">
        <v>49</v>
      </c>
      <c r="B23" s="765" t="e">
        <f>VLOOKUP($A23,'汇总-1月'!$B$5:$AE$23,2,0)</f>
        <v>#N/A</v>
      </c>
      <c r="C23" s="759" t="e">
        <f t="shared" si="0"/>
        <v>#N/A</v>
      </c>
      <c r="D23" s="765" t="e">
        <f>VLOOKUP($A23,'汇总-1月'!$B$5:$AE$23,7,0)</f>
        <v>#N/A</v>
      </c>
      <c r="E23" s="759" t="e">
        <f t="shared" si="1"/>
        <v>#N/A</v>
      </c>
      <c r="F23" s="765" t="e">
        <f>VLOOKUP($A23,'汇总-1月'!$B$5:$AE$23,12,0)</f>
        <v>#N/A</v>
      </c>
      <c r="G23" s="759" t="e">
        <f t="shared" si="2"/>
        <v>#N/A</v>
      </c>
      <c r="H23" s="766" t="e">
        <f>VLOOKUP($A23,'汇总-1月'!$B$5:$AE$23,17,0)</f>
        <v>#N/A</v>
      </c>
      <c r="I23" s="759" t="e">
        <f t="shared" si="3"/>
        <v>#N/A</v>
      </c>
      <c r="J23" s="767" t="e">
        <f>VLOOKUP($A23,'汇总-1月'!$B$5:$AE$23,18,0)</f>
        <v>#N/A</v>
      </c>
      <c r="K23" s="759" t="e">
        <f t="shared" si="4"/>
        <v>#N/A</v>
      </c>
      <c r="L23" s="767" t="e">
        <f>VLOOKUP($A23,'汇总-1月'!$B$5:$AE$23,19,0)</f>
        <v>#N/A</v>
      </c>
      <c r="M23" s="759" t="e">
        <f t="shared" si="5"/>
        <v>#N/A</v>
      </c>
      <c r="N23" s="768" t="e">
        <f>VLOOKUP($A23,'汇总-1月'!$B$5:$AE$23,20,0)</f>
        <v>#N/A</v>
      </c>
      <c r="O23" s="759" t="e">
        <f t="shared" si="6"/>
        <v>#N/A</v>
      </c>
      <c r="P23" s="768" t="e">
        <f>VLOOKUP($A23,'汇总-1月'!$B$5:$AE$23,21,0)</f>
        <v>#N/A</v>
      </c>
      <c r="Q23" s="759" t="e">
        <f t="shared" si="7"/>
        <v>#N/A</v>
      </c>
      <c r="R23" s="768" t="e">
        <f>VLOOKUP($A23,'汇总-1月'!$B$5:$AE$23,22,0)</f>
        <v>#N/A</v>
      </c>
      <c r="S23" s="759" t="e">
        <f t="shared" si="8"/>
        <v>#N/A</v>
      </c>
      <c r="T23" s="767" t="e">
        <f>VLOOKUP($A23,'汇总-1月'!$B$5:$AE$23,23,0)</f>
        <v>#N/A</v>
      </c>
      <c r="U23" s="759" t="e">
        <f t="shared" si="9"/>
        <v>#N/A</v>
      </c>
      <c r="V23" s="767" t="e">
        <f>VLOOKUP($A23,'汇总-1月'!$B$5:$AE$23,24,0)</f>
        <v>#N/A</v>
      </c>
      <c r="W23" s="759" t="e">
        <f t="shared" si="10"/>
        <v>#N/A</v>
      </c>
      <c r="X23" s="768" t="e">
        <f>VLOOKUP($A23,'汇总-1月'!$B$5:$AE$23,25,0)</f>
        <v>#N/A</v>
      </c>
      <c r="Y23" s="759" t="e">
        <f t="shared" si="11"/>
        <v>#N/A</v>
      </c>
      <c r="Z23" s="767" t="e">
        <f>VLOOKUP($A23,'汇总-1月'!$B$5:$AE$23,26,0)</f>
        <v>#N/A</v>
      </c>
      <c r="AA23" s="759" t="e">
        <f t="shared" si="12"/>
        <v>#N/A</v>
      </c>
      <c r="AB23" s="767" t="e">
        <f>VLOOKUP($A23,'汇总-1月'!$B$5:$AE$23,27,0)</f>
        <v>#N/A</v>
      </c>
      <c r="AC23" s="759" t="e">
        <f t="shared" si="13"/>
        <v>#N/A</v>
      </c>
      <c r="AD23" s="768" t="e">
        <f>VLOOKUP($A23,'汇总-1月'!$B$5:$AE$23,28,0)</f>
        <v>#N/A</v>
      </c>
      <c r="AE23" s="759" t="e">
        <f t="shared" si="14"/>
        <v>#N/A</v>
      </c>
      <c r="AF23" s="767" t="e">
        <f>VLOOKUP($A23,'汇总-1月'!$B$5:$AE$23,29,0)</f>
        <v>#N/A</v>
      </c>
      <c r="AG23" s="759" t="e">
        <f t="shared" si="15"/>
        <v>#N/A</v>
      </c>
      <c r="AH23" s="767" t="e">
        <f>VLOOKUP($A23,'汇总-1月'!$B$5:$AE$23,30,0)</f>
        <v>#N/A</v>
      </c>
      <c r="AI23" s="759" t="e">
        <f t="shared" si="16"/>
        <v>#N/A</v>
      </c>
    </row>
    <row r="24" spans="1:35">
      <c r="A24" s="759" t="s">
        <v>50</v>
      </c>
      <c r="B24" s="765" t="e">
        <f>VLOOKUP($A24,'汇总-1月'!$B$5:$AE$23,2,0)</f>
        <v>#N/A</v>
      </c>
      <c r="C24" s="759" t="e">
        <f t="shared" si="0"/>
        <v>#N/A</v>
      </c>
      <c r="D24" s="765" t="e">
        <f>VLOOKUP($A24,'汇总-1月'!$B$5:$AE$23,7,0)</f>
        <v>#N/A</v>
      </c>
      <c r="E24" s="759" t="e">
        <f t="shared" si="1"/>
        <v>#N/A</v>
      </c>
      <c r="F24" s="765" t="e">
        <f>VLOOKUP($A24,'汇总-1月'!$B$5:$AE$23,12,0)</f>
        <v>#N/A</v>
      </c>
      <c r="G24" s="759" t="e">
        <f t="shared" si="2"/>
        <v>#N/A</v>
      </c>
      <c r="H24" s="766" t="e">
        <f>VLOOKUP($A24,'汇总-1月'!$B$5:$AE$23,17,0)</f>
        <v>#N/A</v>
      </c>
      <c r="I24" s="759" t="e">
        <f t="shared" si="3"/>
        <v>#N/A</v>
      </c>
      <c r="J24" s="767" t="e">
        <f>VLOOKUP($A24,'汇总-1月'!$B$5:$AE$23,18,0)</f>
        <v>#N/A</v>
      </c>
      <c r="K24" s="759" t="e">
        <f t="shared" si="4"/>
        <v>#N/A</v>
      </c>
      <c r="L24" s="767" t="e">
        <f>VLOOKUP($A24,'汇总-1月'!$B$5:$AE$23,19,0)</f>
        <v>#N/A</v>
      </c>
      <c r="M24" s="759" t="e">
        <f t="shared" si="5"/>
        <v>#N/A</v>
      </c>
      <c r="N24" s="768" t="e">
        <f>VLOOKUP($A24,'汇总-1月'!$B$5:$AE$23,20,0)</f>
        <v>#N/A</v>
      </c>
      <c r="O24" s="759" t="e">
        <f t="shared" si="6"/>
        <v>#N/A</v>
      </c>
      <c r="P24" s="768" t="e">
        <f>VLOOKUP($A24,'汇总-1月'!$B$5:$AE$23,21,0)</f>
        <v>#N/A</v>
      </c>
      <c r="Q24" s="759" t="e">
        <f t="shared" si="7"/>
        <v>#N/A</v>
      </c>
      <c r="R24" s="768" t="e">
        <f>VLOOKUP($A24,'汇总-1月'!$B$5:$AE$23,22,0)</f>
        <v>#N/A</v>
      </c>
      <c r="S24" s="759" t="e">
        <f t="shared" si="8"/>
        <v>#N/A</v>
      </c>
      <c r="T24" s="767" t="e">
        <f>VLOOKUP($A24,'汇总-1月'!$B$5:$AE$23,23,0)</f>
        <v>#N/A</v>
      </c>
      <c r="U24" s="759" t="e">
        <f t="shared" si="9"/>
        <v>#N/A</v>
      </c>
      <c r="V24" s="767" t="e">
        <f>VLOOKUP($A24,'汇总-1月'!$B$5:$AE$23,24,0)</f>
        <v>#N/A</v>
      </c>
      <c r="W24" s="759" t="e">
        <f t="shared" si="10"/>
        <v>#N/A</v>
      </c>
      <c r="X24" s="768" t="e">
        <f>VLOOKUP($A24,'汇总-1月'!$B$5:$AE$23,25,0)</f>
        <v>#N/A</v>
      </c>
      <c r="Y24" s="759" t="e">
        <f t="shared" si="11"/>
        <v>#N/A</v>
      </c>
      <c r="Z24" s="767" t="e">
        <f>VLOOKUP($A24,'汇总-1月'!$B$5:$AE$23,26,0)</f>
        <v>#N/A</v>
      </c>
      <c r="AA24" s="759" t="e">
        <f t="shared" si="12"/>
        <v>#N/A</v>
      </c>
      <c r="AB24" s="767" t="e">
        <f>VLOOKUP($A24,'汇总-1月'!$B$5:$AE$23,27,0)</f>
        <v>#N/A</v>
      </c>
      <c r="AC24" s="759" t="e">
        <f t="shared" si="13"/>
        <v>#N/A</v>
      </c>
      <c r="AD24" s="768" t="e">
        <f>VLOOKUP($A24,'汇总-1月'!$B$5:$AE$23,28,0)</f>
        <v>#N/A</v>
      </c>
      <c r="AE24" s="759" t="e">
        <f t="shared" si="14"/>
        <v>#N/A</v>
      </c>
      <c r="AF24" s="767" t="e">
        <f>VLOOKUP($A24,'汇总-1月'!$B$5:$AE$23,29,0)</f>
        <v>#N/A</v>
      </c>
      <c r="AG24" s="759" t="e">
        <f t="shared" si="15"/>
        <v>#N/A</v>
      </c>
      <c r="AH24" s="767" t="e">
        <f>VLOOKUP($A24,'汇总-1月'!$B$5:$AE$23,30,0)</f>
        <v>#N/A</v>
      </c>
      <c r="AI24" s="759" t="e">
        <f t="shared" si="16"/>
        <v>#N/A</v>
      </c>
    </row>
    <row r="25" spans="1:35">
      <c r="A25" s="759" t="s">
        <v>51</v>
      </c>
      <c r="B25" s="765" t="e">
        <f>VLOOKUP($A25,'汇总-1月'!$B$5:$AE$23,2,0)</f>
        <v>#N/A</v>
      </c>
      <c r="C25" s="759" t="e">
        <f t="shared" si="0"/>
        <v>#N/A</v>
      </c>
      <c r="D25" s="765" t="e">
        <f>VLOOKUP($A25,'汇总-1月'!$B$5:$AE$23,7,0)</f>
        <v>#N/A</v>
      </c>
      <c r="E25" s="759" t="e">
        <f t="shared" si="1"/>
        <v>#N/A</v>
      </c>
      <c r="F25" s="765" t="e">
        <f>VLOOKUP($A25,'汇总-1月'!$B$5:$AE$23,12,0)</f>
        <v>#N/A</v>
      </c>
      <c r="G25" s="759" t="e">
        <f t="shared" si="2"/>
        <v>#N/A</v>
      </c>
      <c r="H25" s="766" t="e">
        <f>VLOOKUP($A25,'汇总-1月'!$B$5:$AE$23,17,0)</f>
        <v>#N/A</v>
      </c>
      <c r="I25" s="759" t="e">
        <f t="shared" si="3"/>
        <v>#N/A</v>
      </c>
      <c r="J25" s="767" t="e">
        <f>VLOOKUP($A25,'汇总-1月'!$B$5:$AE$23,18,0)</f>
        <v>#N/A</v>
      </c>
      <c r="K25" s="759" t="e">
        <f t="shared" si="4"/>
        <v>#N/A</v>
      </c>
      <c r="L25" s="767" t="e">
        <f>VLOOKUP($A25,'汇总-1月'!$B$5:$AE$23,19,0)</f>
        <v>#N/A</v>
      </c>
      <c r="M25" s="759" t="e">
        <f t="shared" si="5"/>
        <v>#N/A</v>
      </c>
      <c r="N25" s="768" t="e">
        <f>VLOOKUP($A25,'汇总-1月'!$B$5:$AE$23,20,0)</f>
        <v>#N/A</v>
      </c>
      <c r="O25" s="759" t="e">
        <f t="shared" si="6"/>
        <v>#N/A</v>
      </c>
      <c r="P25" s="768" t="e">
        <f>VLOOKUP($A25,'汇总-1月'!$B$5:$AE$23,21,0)</f>
        <v>#N/A</v>
      </c>
      <c r="Q25" s="759" t="e">
        <f t="shared" si="7"/>
        <v>#N/A</v>
      </c>
      <c r="R25" s="768" t="e">
        <f>VLOOKUP($A25,'汇总-1月'!$B$5:$AE$23,22,0)</f>
        <v>#N/A</v>
      </c>
      <c r="S25" s="759" t="e">
        <f t="shared" si="8"/>
        <v>#N/A</v>
      </c>
      <c r="T25" s="767" t="e">
        <f>VLOOKUP($A25,'汇总-1月'!$B$5:$AE$23,23,0)</f>
        <v>#N/A</v>
      </c>
      <c r="U25" s="759" t="e">
        <f t="shared" si="9"/>
        <v>#N/A</v>
      </c>
      <c r="V25" s="767" t="e">
        <f>VLOOKUP($A25,'汇总-1月'!$B$5:$AE$23,24,0)</f>
        <v>#N/A</v>
      </c>
      <c r="W25" s="759" t="e">
        <f t="shared" si="10"/>
        <v>#N/A</v>
      </c>
      <c r="X25" s="768" t="e">
        <f>VLOOKUP($A25,'汇总-1月'!$B$5:$AE$23,25,0)</f>
        <v>#N/A</v>
      </c>
      <c r="Y25" s="759" t="e">
        <f t="shared" si="11"/>
        <v>#N/A</v>
      </c>
      <c r="Z25" s="767" t="e">
        <f>VLOOKUP($A25,'汇总-1月'!$B$5:$AE$23,26,0)</f>
        <v>#N/A</v>
      </c>
      <c r="AA25" s="759" t="e">
        <f t="shared" si="12"/>
        <v>#N/A</v>
      </c>
      <c r="AB25" s="767" t="e">
        <f>VLOOKUP($A25,'汇总-1月'!$B$5:$AE$23,27,0)</f>
        <v>#N/A</v>
      </c>
      <c r="AC25" s="759" t="e">
        <f t="shared" si="13"/>
        <v>#N/A</v>
      </c>
      <c r="AD25" s="768" t="e">
        <f>VLOOKUP($A25,'汇总-1月'!$B$5:$AE$23,28,0)</f>
        <v>#N/A</v>
      </c>
      <c r="AE25" s="759" t="e">
        <f t="shared" si="14"/>
        <v>#N/A</v>
      </c>
      <c r="AF25" s="767" t="e">
        <f>VLOOKUP($A25,'汇总-1月'!$B$5:$AE$23,29,0)</f>
        <v>#N/A</v>
      </c>
      <c r="AG25" s="759" t="e">
        <f t="shared" si="15"/>
        <v>#N/A</v>
      </c>
      <c r="AH25" s="767" t="e">
        <f>VLOOKUP($A25,'汇总-1月'!$B$5:$AE$23,30,0)</f>
        <v>#N/A</v>
      </c>
      <c r="AI25" s="759" t="e">
        <f t="shared" si="16"/>
        <v>#N/A</v>
      </c>
    </row>
    <row r="26" spans="1:35">
      <c r="A26" s="759" t="s">
        <v>52</v>
      </c>
      <c r="B26" s="765" t="e">
        <f>VLOOKUP($A26,'汇总-1月'!$B$5:$AE$23,2,0)</f>
        <v>#N/A</v>
      </c>
      <c r="C26" s="759" t="e">
        <f t="shared" si="0"/>
        <v>#N/A</v>
      </c>
      <c r="D26" s="765" t="e">
        <f>VLOOKUP($A26,'汇总-1月'!$B$5:$AE$23,7,0)</f>
        <v>#N/A</v>
      </c>
      <c r="E26" s="759" t="e">
        <f t="shared" si="1"/>
        <v>#N/A</v>
      </c>
      <c r="F26" s="765" t="e">
        <f>VLOOKUP($A26,'汇总-1月'!$B$5:$AE$23,12,0)</f>
        <v>#N/A</v>
      </c>
      <c r="G26" s="759" t="e">
        <f t="shared" si="2"/>
        <v>#N/A</v>
      </c>
      <c r="H26" s="766" t="e">
        <f>VLOOKUP($A26,'汇总-1月'!$B$5:$AE$23,17,0)</f>
        <v>#N/A</v>
      </c>
      <c r="I26" s="759" t="e">
        <f t="shared" si="3"/>
        <v>#N/A</v>
      </c>
      <c r="J26" s="767" t="e">
        <f>VLOOKUP($A26,'汇总-1月'!$B$5:$AE$23,18,0)</f>
        <v>#N/A</v>
      </c>
      <c r="K26" s="759" t="e">
        <f t="shared" si="4"/>
        <v>#N/A</v>
      </c>
      <c r="L26" s="767" t="e">
        <f>VLOOKUP($A26,'汇总-1月'!$B$5:$AE$23,19,0)</f>
        <v>#N/A</v>
      </c>
      <c r="M26" s="759" t="e">
        <f t="shared" si="5"/>
        <v>#N/A</v>
      </c>
      <c r="N26" s="768" t="e">
        <f>VLOOKUP($A26,'汇总-1月'!$B$5:$AE$23,20,0)</f>
        <v>#N/A</v>
      </c>
      <c r="O26" s="759" t="e">
        <f t="shared" si="6"/>
        <v>#N/A</v>
      </c>
      <c r="P26" s="768" t="e">
        <f>VLOOKUP($A26,'汇总-1月'!$B$5:$AE$23,21,0)</f>
        <v>#N/A</v>
      </c>
      <c r="Q26" s="759" t="e">
        <f t="shared" si="7"/>
        <v>#N/A</v>
      </c>
      <c r="R26" s="768" t="e">
        <f>VLOOKUP($A26,'汇总-1月'!$B$5:$AE$23,22,0)</f>
        <v>#N/A</v>
      </c>
      <c r="S26" s="759" t="e">
        <f t="shared" si="8"/>
        <v>#N/A</v>
      </c>
      <c r="T26" s="767" t="e">
        <f>VLOOKUP($A26,'汇总-1月'!$B$5:$AE$23,23,0)</f>
        <v>#N/A</v>
      </c>
      <c r="U26" s="759" t="e">
        <f t="shared" si="9"/>
        <v>#N/A</v>
      </c>
      <c r="V26" s="767" t="e">
        <f>VLOOKUP($A26,'汇总-1月'!$B$5:$AE$23,24,0)</f>
        <v>#N/A</v>
      </c>
      <c r="W26" s="759" t="e">
        <f t="shared" si="10"/>
        <v>#N/A</v>
      </c>
      <c r="X26" s="768" t="e">
        <f>VLOOKUP($A26,'汇总-1月'!$B$5:$AE$23,25,0)</f>
        <v>#N/A</v>
      </c>
      <c r="Y26" s="759" t="e">
        <f t="shared" si="11"/>
        <v>#N/A</v>
      </c>
      <c r="Z26" s="767" t="e">
        <f>VLOOKUP($A26,'汇总-1月'!$B$5:$AE$23,26,0)</f>
        <v>#N/A</v>
      </c>
      <c r="AA26" s="759" t="e">
        <f t="shared" si="12"/>
        <v>#N/A</v>
      </c>
      <c r="AB26" s="767" t="e">
        <f>VLOOKUP($A26,'汇总-1月'!$B$5:$AE$23,27,0)</f>
        <v>#N/A</v>
      </c>
      <c r="AC26" s="759" t="e">
        <f t="shared" si="13"/>
        <v>#N/A</v>
      </c>
      <c r="AD26" s="768" t="e">
        <f>VLOOKUP($A26,'汇总-1月'!$B$5:$AE$23,28,0)</f>
        <v>#N/A</v>
      </c>
      <c r="AE26" s="759" t="e">
        <f t="shared" si="14"/>
        <v>#N/A</v>
      </c>
      <c r="AF26" s="767" t="e">
        <f>VLOOKUP($A26,'汇总-1月'!$B$5:$AE$23,29,0)</f>
        <v>#N/A</v>
      </c>
      <c r="AG26" s="759" t="e">
        <f t="shared" si="15"/>
        <v>#N/A</v>
      </c>
      <c r="AH26" s="767" t="e">
        <f>VLOOKUP($A26,'汇总-1月'!$B$5:$AE$23,30,0)</f>
        <v>#N/A</v>
      </c>
      <c r="AI26" s="759" t="e">
        <f t="shared" si="16"/>
        <v>#N/A</v>
      </c>
    </row>
    <row r="27" spans="1:35">
      <c r="A27" s="759" t="s">
        <v>53</v>
      </c>
      <c r="B27" s="765" t="e">
        <f>VLOOKUP($A27,'汇总-1月'!$B$5:$AE$23,2,0)</f>
        <v>#N/A</v>
      </c>
      <c r="C27" s="759" t="e">
        <f t="shared" si="0"/>
        <v>#N/A</v>
      </c>
      <c r="D27" s="765" t="e">
        <f>VLOOKUP($A27,'汇总-1月'!$B$5:$AE$23,7,0)</f>
        <v>#N/A</v>
      </c>
      <c r="E27" s="759" t="e">
        <f t="shared" si="1"/>
        <v>#N/A</v>
      </c>
      <c r="F27" s="765" t="e">
        <f>VLOOKUP($A27,'汇总-1月'!$B$5:$AE$23,12,0)</f>
        <v>#N/A</v>
      </c>
      <c r="G27" s="759" t="e">
        <f t="shared" si="2"/>
        <v>#N/A</v>
      </c>
      <c r="H27" s="766" t="e">
        <f>VLOOKUP($A27,'汇总-1月'!$B$5:$AE$23,17,0)</f>
        <v>#N/A</v>
      </c>
      <c r="I27" s="759" t="e">
        <f t="shared" si="3"/>
        <v>#N/A</v>
      </c>
      <c r="J27" s="767" t="e">
        <f>VLOOKUP($A27,'汇总-1月'!$B$5:$AE$23,18,0)</f>
        <v>#N/A</v>
      </c>
      <c r="K27" s="759" t="e">
        <f t="shared" si="4"/>
        <v>#N/A</v>
      </c>
      <c r="L27" s="767" t="e">
        <f>VLOOKUP($A27,'汇总-1月'!$B$5:$AE$23,19,0)</f>
        <v>#N/A</v>
      </c>
      <c r="M27" s="759" t="e">
        <f t="shared" si="5"/>
        <v>#N/A</v>
      </c>
      <c r="N27" s="768" t="e">
        <f>VLOOKUP($A27,'汇总-1月'!$B$5:$AE$23,20,0)</f>
        <v>#N/A</v>
      </c>
      <c r="O27" s="759" t="e">
        <f t="shared" si="6"/>
        <v>#N/A</v>
      </c>
      <c r="P27" s="768" t="e">
        <f>VLOOKUP($A27,'汇总-1月'!$B$5:$AE$23,21,0)</f>
        <v>#N/A</v>
      </c>
      <c r="Q27" s="759" t="e">
        <f t="shared" si="7"/>
        <v>#N/A</v>
      </c>
      <c r="R27" s="768" t="e">
        <f>VLOOKUP($A27,'汇总-1月'!$B$5:$AE$23,22,0)</f>
        <v>#N/A</v>
      </c>
      <c r="S27" s="759" t="e">
        <f t="shared" si="8"/>
        <v>#N/A</v>
      </c>
      <c r="T27" s="767" t="e">
        <f>VLOOKUP($A27,'汇总-1月'!$B$5:$AE$23,23,0)</f>
        <v>#N/A</v>
      </c>
      <c r="U27" s="759" t="e">
        <f t="shared" si="9"/>
        <v>#N/A</v>
      </c>
      <c r="V27" s="767" t="e">
        <f>VLOOKUP($A27,'汇总-1月'!$B$5:$AE$23,24,0)</f>
        <v>#N/A</v>
      </c>
      <c r="W27" s="759" t="e">
        <f t="shared" si="10"/>
        <v>#N/A</v>
      </c>
      <c r="X27" s="768" t="e">
        <f>VLOOKUP($A27,'汇总-1月'!$B$5:$AE$23,25,0)</f>
        <v>#N/A</v>
      </c>
      <c r="Y27" s="759" t="e">
        <f t="shared" si="11"/>
        <v>#N/A</v>
      </c>
      <c r="Z27" s="767" t="e">
        <f>VLOOKUP($A27,'汇总-1月'!$B$5:$AE$23,26,0)</f>
        <v>#N/A</v>
      </c>
      <c r="AA27" s="759" t="e">
        <f t="shared" si="12"/>
        <v>#N/A</v>
      </c>
      <c r="AB27" s="767" t="e">
        <f>VLOOKUP($A27,'汇总-1月'!$B$5:$AE$23,27,0)</f>
        <v>#N/A</v>
      </c>
      <c r="AC27" s="759" t="e">
        <f t="shared" si="13"/>
        <v>#N/A</v>
      </c>
      <c r="AD27" s="768" t="e">
        <f>VLOOKUP($A27,'汇总-1月'!$B$5:$AE$23,28,0)</f>
        <v>#N/A</v>
      </c>
      <c r="AE27" s="759" t="e">
        <f t="shared" si="14"/>
        <v>#N/A</v>
      </c>
      <c r="AF27" s="767" t="e">
        <f>VLOOKUP($A27,'汇总-1月'!$B$5:$AE$23,29,0)</f>
        <v>#N/A</v>
      </c>
      <c r="AG27" s="759" t="e">
        <f t="shared" si="15"/>
        <v>#N/A</v>
      </c>
      <c r="AH27" s="767" t="e">
        <f>VLOOKUP($A27,'汇总-1月'!$B$5:$AE$23,30,0)</f>
        <v>#N/A</v>
      </c>
      <c r="AI27" s="759" t="e">
        <f t="shared" si="16"/>
        <v>#N/A</v>
      </c>
    </row>
    <row r="28" spans="1:35">
      <c r="A28" s="759" t="s">
        <v>54</v>
      </c>
      <c r="B28" s="765" t="e">
        <f>VLOOKUP($A28,'汇总-1月'!$B$5:$AE$23,2,0)</f>
        <v>#N/A</v>
      </c>
      <c r="C28" s="759" t="e">
        <f t="shared" si="0"/>
        <v>#N/A</v>
      </c>
      <c r="D28" s="765" t="e">
        <f>VLOOKUP($A28,'汇总-1月'!$B$5:$AE$23,7,0)</f>
        <v>#N/A</v>
      </c>
      <c r="E28" s="759" t="e">
        <f t="shared" si="1"/>
        <v>#N/A</v>
      </c>
      <c r="F28" s="765" t="e">
        <f>VLOOKUP($A28,'汇总-1月'!$B$5:$AE$23,12,0)</f>
        <v>#N/A</v>
      </c>
      <c r="G28" s="759" t="e">
        <f t="shared" si="2"/>
        <v>#N/A</v>
      </c>
      <c r="H28" s="766" t="e">
        <f>VLOOKUP($A28,'汇总-1月'!$B$5:$AE$23,17,0)</f>
        <v>#N/A</v>
      </c>
      <c r="I28" s="759" t="e">
        <f t="shared" si="3"/>
        <v>#N/A</v>
      </c>
      <c r="J28" s="767" t="e">
        <f>VLOOKUP($A28,'汇总-1月'!$B$5:$AE$23,18,0)</f>
        <v>#N/A</v>
      </c>
      <c r="K28" s="759" t="e">
        <f t="shared" si="4"/>
        <v>#N/A</v>
      </c>
      <c r="L28" s="767" t="e">
        <f>VLOOKUP($A28,'汇总-1月'!$B$5:$AE$23,19,0)</f>
        <v>#N/A</v>
      </c>
      <c r="M28" s="759" t="e">
        <f t="shared" si="5"/>
        <v>#N/A</v>
      </c>
      <c r="N28" s="768" t="e">
        <f>VLOOKUP($A28,'汇总-1月'!$B$5:$AE$23,20,0)</f>
        <v>#N/A</v>
      </c>
      <c r="O28" s="759" t="e">
        <f t="shared" si="6"/>
        <v>#N/A</v>
      </c>
      <c r="P28" s="768" t="e">
        <f>VLOOKUP($A28,'汇总-1月'!$B$5:$AE$23,21,0)</f>
        <v>#N/A</v>
      </c>
      <c r="Q28" s="759" t="e">
        <f t="shared" si="7"/>
        <v>#N/A</v>
      </c>
      <c r="R28" s="768" t="e">
        <f>VLOOKUP($A28,'汇总-1月'!$B$5:$AE$23,22,0)</f>
        <v>#N/A</v>
      </c>
      <c r="S28" s="759" t="e">
        <f t="shared" si="8"/>
        <v>#N/A</v>
      </c>
      <c r="T28" s="767" t="e">
        <f>VLOOKUP($A28,'汇总-1月'!$B$5:$AE$23,23,0)</f>
        <v>#N/A</v>
      </c>
      <c r="U28" s="759" t="e">
        <f t="shared" si="9"/>
        <v>#N/A</v>
      </c>
      <c r="V28" s="767" t="e">
        <f>VLOOKUP($A28,'汇总-1月'!$B$5:$AE$23,24,0)</f>
        <v>#N/A</v>
      </c>
      <c r="W28" s="759" t="e">
        <f t="shared" si="10"/>
        <v>#N/A</v>
      </c>
      <c r="X28" s="768" t="e">
        <f>VLOOKUP($A28,'汇总-1月'!$B$5:$AE$23,25,0)</f>
        <v>#N/A</v>
      </c>
      <c r="Y28" s="759" t="e">
        <f t="shared" si="11"/>
        <v>#N/A</v>
      </c>
      <c r="Z28" s="767" t="e">
        <f>VLOOKUP($A28,'汇总-1月'!$B$5:$AE$23,26,0)</f>
        <v>#N/A</v>
      </c>
      <c r="AA28" s="759" t="e">
        <f t="shared" si="12"/>
        <v>#N/A</v>
      </c>
      <c r="AB28" s="767" t="e">
        <f>VLOOKUP($A28,'汇总-1月'!$B$5:$AE$23,27,0)</f>
        <v>#N/A</v>
      </c>
      <c r="AC28" s="759" t="e">
        <f t="shared" si="13"/>
        <v>#N/A</v>
      </c>
      <c r="AD28" s="768" t="e">
        <f>VLOOKUP($A28,'汇总-1月'!$B$5:$AE$23,28,0)</f>
        <v>#N/A</v>
      </c>
      <c r="AE28" s="759" t="e">
        <f t="shared" si="14"/>
        <v>#N/A</v>
      </c>
      <c r="AF28" s="767" t="e">
        <f>VLOOKUP($A28,'汇总-1月'!$B$5:$AE$23,29,0)</f>
        <v>#N/A</v>
      </c>
      <c r="AG28" s="759" t="e">
        <f t="shared" si="15"/>
        <v>#N/A</v>
      </c>
      <c r="AH28" s="767" t="e">
        <f>VLOOKUP($A28,'汇总-1月'!$B$5:$AE$23,30,0)</f>
        <v>#N/A</v>
      </c>
      <c r="AI28" s="759" t="e">
        <f t="shared" si="16"/>
        <v>#N/A</v>
      </c>
    </row>
    <row r="29" spans="1:35">
      <c r="A29" s="759" t="s">
        <v>55</v>
      </c>
      <c r="B29" s="765" t="e">
        <f>VLOOKUP($A29,'汇总-1月'!$B$5:$AE$23,2,0)</f>
        <v>#N/A</v>
      </c>
      <c r="C29" s="759" t="e">
        <f t="shared" si="0"/>
        <v>#N/A</v>
      </c>
      <c r="D29" s="765" t="e">
        <f>VLOOKUP($A29,'汇总-1月'!$B$5:$AE$23,7,0)</f>
        <v>#N/A</v>
      </c>
      <c r="E29" s="759" t="e">
        <f t="shared" si="1"/>
        <v>#N/A</v>
      </c>
      <c r="F29" s="765" t="e">
        <f>VLOOKUP($A29,'汇总-1月'!$B$5:$AE$23,12,0)</f>
        <v>#N/A</v>
      </c>
      <c r="G29" s="759" t="e">
        <f t="shared" si="2"/>
        <v>#N/A</v>
      </c>
      <c r="H29" s="766" t="e">
        <f>VLOOKUP($A29,'汇总-1月'!$B$5:$AE$23,17,0)</f>
        <v>#N/A</v>
      </c>
      <c r="I29" s="759" t="e">
        <f t="shared" si="3"/>
        <v>#N/A</v>
      </c>
      <c r="J29" s="767" t="e">
        <f>VLOOKUP($A29,'汇总-1月'!$B$5:$AE$23,18,0)</f>
        <v>#N/A</v>
      </c>
      <c r="K29" s="759" t="e">
        <f t="shared" si="4"/>
        <v>#N/A</v>
      </c>
      <c r="L29" s="767" t="e">
        <f>VLOOKUP($A29,'汇总-1月'!$B$5:$AE$23,19,0)</f>
        <v>#N/A</v>
      </c>
      <c r="M29" s="759" t="e">
        <f t="shared" si="5"/>
        <v>#N/A</v>
      </c>
      <c r="N29" s="768" t="e">
        <f>VLOOKUP($A29,'汇总-1月'!$B$5:$AE$23,20,0)</f>
        <v>#N/A</v>
      </c>
      <c r="O29" s="759" t="e">
        <f t="shared" si="6"/>
        <v>#N/A</v>
      </c>
      <c r="P29" s="768" t="e">
        <f>VLOOKUP($A29,'汇总-1月'!$B$5:$AE$23,21,0)</f>
        <v>#N/A</v>
      </c>
      <c r="Q29" s="759" t="e">
        <f t="shared" si="7"/>
        <v>#N/A</v>
      </c>
      <c r="R29" s="768" t="e">
        <f>VLOOKUP($A29,'汇总-1月'!$B$5:$AE$23,22,0)</f>
        <v>#N/A</v>
      </c>
      <c r="S29" s="759" t="e">
        <f t="shared" si="8"/>
        <v>#N/A</v>
      </c>
      <c r="T29" s="767" t="e">
        <f>VLOOKUP($A29,'汇总-1月'!$B$5:$AE$23,23,0)</f>
        <v>#N/A</v>
      </c>
      <c r="U29" s="759" t="e">
        <f t="shared" si="9"/>
        <v>#N/A</v>
      </c>
      <c r="V29" s="767" t="e">
        <f>VLOOKUP($A29,'汇总-1月'!$B$5:$AE$23,24,0)</f>
        <v>#N/A</v>
      </c>
      <c r="W29" s="759" t="e">
        <f t="shared" si="10"/>
        <v>#N/A</v>
      </c>
      <c r="X29" s="768" t="e">
        <f>VLOOKUP($A29,'汇总-1月'!$B$5:$AE$23,25,0)</f>
        <v>#N/A</v>
      </c>
      <c r="Y29" s="759" t="e">
        <f t="shared" si="11"/>
        <v>#N/A</v>
      </c>
      <c r="Z29" s="767" t="e">
        <f>VLOOKUP($A29,'汇总-1月'!$B$5:$AE$23,26,0)</f>
        <v>#N/A</v>
      </c>
      <c r="AA29" s="759" t="e">
        <f t="shared" si="12"/>
        <v>#N/A</v>
      </c>
      <c r="AB29" s="767" t="e">
        <f>VLOOKUP($A29,'汇总-1月'!$B$5:$AE$23,27,0)</f>
        <v>#N/A</v>
      </c>
      <c r="AC29" s="759" t="e">
        <f t="shared" si="13"/>
        <v>#N/A</v>
      </c>
      <c r="AD29" s="768" t="e">
        <f>VLOOKUP($A29,'汇总-1月'!$B$5:$AE$23,28,0)</f>
        <v>#N/A</v>
      </c>
      <c r="AE29" s="759" t="e">
        <f t="shared" si="14"/>
        <v>#N/A</v>
      </c>
      <c r="AF29" s="767" t="e">
        <f>VLOOKUP($A29,'汇总-1月'!$B$5:$AE$23,29,0)</f>
        <v>#N/A</v>
      </c>
      <c r="AG29" s="759" t="e">
        <f t="shared" si="15"/>
        <v>#N/A</v>
      </c>
      <c r="AH29" s="767" t="e">
        <f>VLOOKUP($A29,'汇总-1月'!$B$5:$AE$23,30,0)</f>
        <v>#N/A</v>
      </c>
      <c r="AI29" s="759" t="e">
        <f t="shared" si="16"/>
        <v>#N/A</v>
      </c>
    </row>
    <row r="30" spans="1:35">
      <c r="A30" s="759" t="s">
        <v>56</v>
      </c>
      <c r="B30" s="765" t="e">
        <f>VLOOKUP($A30,'汇总-1月'!$B$5:$AE$23,2,0)</f>
        <v>#N/A</v>
      </c>
      <c r="C30" s="759" t="e">
        <f t="shared" si="0"/>
        <v>#N/A</v>
      </c>
      <c r="D30" s="765" t="e">
        <f>VLOOKUP($A30,'汇总-1月'!$B$5:$AE$23,7,0)</f>
        <v>#N/A</v>
      </c>
      <c r="E30" s="759" t="e">
        <f t="shared" si="1"/>
        <v>#N/A</v>
      </c>
      <c r="F30" s="765" t="e">
        <f>VLOOKUP($A30,'汇总-1月'!$B$5:$AE$23,12,0)</f>
        <v>#N/A</v>
      </c>
      <c r="G30" s="759" t="e">
        <f t="shared" si="2"/>
        <v>#N/A</v>
      </c>
      <c r="H30" s="766" t="e">
        <f>VLOOKUP($A30,'汇总-1月'!$B$5:$AE$23,17,0)</f>
        <v>#N/A</v>
      </c>
      <c r="I30" s="759" t="e">
        <f t="shared" si="3"/>
        <v>#N/A</v>
      </c>
      <c r="J30" s="767" t="e">
        <f>VLOOKUP($A30,'汇总-1月'!$B$5:$AE$23,18,0)</f>
        <v>#N/A</v>
      </c>
      <c r="K30" s="759" t="e">
        <f t="shared" si="4"/>
        <v>#N/A</v>
      </c>
      <c r="L30" s="767" t="e">
        <f>VLOOKUP($A30,'汇总-1月'!$B$5:$AE$23,19,0)</f>
        <v>#N/A</v>
      </c>
      <c r="M30" s="759" t="e">
        <f t="shared" si="5"/>
        <v>#N/A</v>
      </c>
      <c r="N30" s="768" t="e">
        <f>VLOOKUP($A30,'汇总-1月'!$B$5:$AE$23,20,0)</f>
        <v>#N/A</v>
      </c>
      <c r="O30" s="759" t="e">
        <f t="shared" si="6"/>
        <v>#N/A</v>
      </c>
      <c r="P30" s="768" t="e">
        <f>VLOOKUP($A30,'汇总-1月'!$B$5:$AE$23,21,0)</f>
        <v>#N/A</v>
      </c>
      <c r="Q30" s="759" t="e">
        <f t="shared" si="7"/>
        <v>#N/A</v>
      </c>
      <c r="R30" s="768" t="e">
        <f>VLOOKUP($A30,'汇总-1月'!$B$5:$AE$23,22,0)</f>
        <v>#N/A</v>
      </c>
      <c r="S30" s="759" t="e">
        <f t="shared" si="8"/>
        <v>#N/A</v>
      </c>
      <c r="T30" s="767" t="e">
        <f>VLOOKUP($A30,'汇总-1月'!$B$5:$AE$23,23,0)</f>
        <v>#N/A</v>
      </c>
      <c r="U30" s="759" t="e">
        <f t="shared" si="9"/>
        <v>#N/A</v>
      </c>
      <c r="V30" s="767" t="e">
        <f>VLOOKUP($A30,'汇总-1月'!$B$5:$AE$23,24,0)</f>
        <v>#N/A</v>
      </c>
      <c r="W30" s="759" t="e">
        <f t="shared" si="10"/>
        <v>#N/A</v>
      </c>
      <c r="X30" s="768" t="e">
        <f>VLOOKUP($A30,'汇总-1月'!$B$5:$AE$23,25,0)</f>
        <v>#N/A</v>
      </c>
      <c r="Y30" s="759" t="e">
        <f t="shared" si="11"/>
        <v>#N/A</v>
      </c>
      <c r="Z30" s="767" t="e">
        <f>VLOOKUP($A30,'汇总-1月'!$B$5:$AE$23,26,0)</f>
        <v>#N/A</v>
      </c>
      <c r="AA30" s="759" t="e">
        <f t="shared" si="12"/>
        <v>#N/A</v>
      </c>
      <c r="AB30" s="767" t="e">
        <f>VLOOKUP($A30,'汇总-1月'!$B$5:$AE$23,27,0)</f>
        <v>#N/A</v>
      </c>
      <c r="AC30" s="759" t="e">
        <f t="shared" si="13"/>
        <v>#N/A</v>
      </c>
      <c r="AD30" s="768" t="e">
        <f>VLOOKUP($A30,'汇总-1月'!$B$5:$AE$23,28,0)</f>
        <v>#N/A</v>
      </c>
      <c r="AE30" s="759" t="e">
        <f t="shared" si="14"/>
        <v>#N/A</v>
      </c>
      <c r="AF30" s="767" t="e">
        <f>VLOOKUP($A30,'汇总-1月'!$B$5:$AE$23,29,0)</f>
        <v>#N/A</v>
      </c>
      <c r="AG30" s="759" t="e">
        <f t="shared" si="15"/>
        <v>#N/A</v>
      </c>
      <c r="AH30" s="767" t="e">
        <f>VLOOKUP($A30,'汇总-1月'!$B$5:$AE$23,30,0)</f>
        <v>#N/A</v>
      </c>
      <c r="AI30" s="759" t="e">
        <f t="shared" si="16"/>
        <v>#N/A</v>
      </c>
    </row>
    <row r="31" spans="1:35">
      <c r="A31" s="759" t="s">
        <v>57</v>
      </c>
      <c r="B31" s="765" t="e">
        <f>VLOOKUP($A31,'汇总-1月'!$B$5:$AE$23,2,0)</f>
        <v>#N/A</v>
      </c>
      <c r="C31" s="759" t="e">
        <f t="shared" si="0"/>
        <v>#N/A</v>
      </c>
      <c r="D31" s="765" t="e">
        <f>VLOOKUP($A31,'汇总-1月'!$B$5:$AE$23,7,0)</f>
        <v>#N/A</v>
      </c>
      <c r="E31" s="759" t="e">
        <f t="shared" si="1"/>
        <v>#N/A</v>
      </c>
      <c r="F31" s="765" t="e">
        <f>VLOOKUP($A31,'汇总-1月'!$B$5:$AE$23,12,0)</f>
        <v>#N/A</v>
      </c>
      <c r="G31" s="759" t="e">
        <f t="shared" si="2"/>
        <v>#N/A</v>
      </c>
      <c r="H31" s="766" t="e">
        <f>VLOOKUP($A31,'汇总-1月'!$B$5:$AE$23,17,0)</f>
        <v>#N/A</v>
      </c>
      <c r="I31" s="759" t="e">
        <f t="shared" si="3"/>
        <v>#N/A</v>
      </c>
      <c r="J31" s="767" t="e">
        <f>VLOOKUP($A31,'汇总-1月'!$B$5:$AE$23,18,0)</f>
        <v>#N/A</v>
      </c>
      <c r="K31" s="759" t="e">
        <f t="shared" si="4"/>
        <v>#N/A</v>
      </c>
      <c r="L31" s="767" t="e">
        <f>VLOOKUP($A31,'汇总-1月'!$B$5:$AE$23,19,0)</f>
        <v>#N/A</v>
      </c>
      <c r="M31" s="759" t="e">
        <f t="shared" si="5"/>
        <v>#N/A</v>
      </c>
      <c r="N31" s="768" t="e">
        <f>VLOOKUP($A31,'汇总-1月'!$B$5:$AE$23,20,0)</f>
        <v>#N/A</v>
      </c>
      <c r="O31" s="759" t="e">
        <f t="shared" si="6"/>
        <v>#N/A</v>
      </c>
      <c r="P31" s="768" t="e">
        <f>VLOOKUP($A31,'汇总-1月'!$B$5:$AE$23,21,0)</f>
        <v>#N/A</v>
      </c>
      <c r="Q31" s="759" t="e">
        <f t="shared" si="7"/>
        <v>#N/A</v>
      </c>
      <c r="R31" s="768" t="e">
        <f>VLOOKUP($A31,'汇总-1月'!$B$5:$AE$23,22,0)</f>
        <v>#N/A</v>
      </c>
      <c r="S31" s="759" t="e">
        <f t="shared" si="8"/>
        <v>#N/A</v>
      </c>
      <c r="T31" s="767" t="e">
        <f>VLOOKUP($A31,'汇总-1月'!$B$5:$AE$23,23,0)</f>
        <v>#N/A</v>
      </c>
      <c r="U31" s="759" t="e">
        <f t="shared" si="9"/>
        <v>#N/A</v>
      </c>
      <c r="V31" s="767" t="e">
        <f>VLOOKUP($A31,'汇总-1月'!$B$5:$AE$23,24,0)</f>
        <v>#N/A</v>
      </c>
      <c r="W31" s="759" t="e">
        <f t="shared" si="10"/>
        <v>#N/A</v>
      </c>
      <c r="X31" s="768" t="e">
        <f>VLOOKUP($A31,'汇总-1月'!$B$5:$AE$23,25,0)</f>
        <v>#N/A</v>
      </c>
      <c r="Y31" s="759" t="e">
        <f t="shared" si="11"/>
        <v>#N/A</v>
      </c>
      <c r="Z31" s="767" t="e">
        <f>VLOOKUP($A31,'汇总-1月'!$B$5:$AE$23,26,0)</f>
        <v>#N/A</v>
      </c>
      <c r="AA31" s="759" t="e">
        <f t="shared" si="12"/>
        <v>#N/A</v>
      </c>
      <c r="AB31" s="767" t="e">
        <f>VLOOKUP($A31,'汇总-1月'!$B$5:$AE$23,27,0)</f>
        <v>#N/A</v>
      </c>
      <c r="AC31" s="759" t="e">
        <f t="shared" si="13"/>
        <v>#N/A</v>
      </c>
      <c r="AD31" s="768" t="e">
        <f>VLOOKUP($A31,'汇总-1月'!$B$5:$AE$23,28,0)</f>
        <v>#N/A</v>
      </c>
      <c r="AE31" s="759" t="e">
        <f t="shared" si="14"/>
        <v>#N/A</v>
      </c>
      <c r="AF31" s="767" t="e">
        <f>VLOOKUP($A31,'汇总-1月'!$B$5:$AE$23,29,0)</f>
        <v>#N/A</v>
      </c>
      <c r="AG31" s="759" t="e">
        <f t="shared" si="15"/>
        <v>#N/A</v>
      </c>
      <c r="AH31" s="767" t="e">
        <f>VLOOKUP($A31,'汇总-1月'!$B$5:$AE$23,30,0)</f>
        <v>#N/A</v>
      </c>
      <c r="AI31" s="759" t="e">
        <f t="shared" si="16"/>
        <v>#N/A</v>
      </c>
    </row>
    <row r="32" spans="1:35">
      <c r="A32" s="759" t="s">
        <v>58</v>
      </c>
      <c r="B32" s="765" t="e">
        <f>VLOOKUP($A32,'汇总-1月'!$B$5:$AE$23,2,0)</f>
        <v>#N/A</v>
      </c>
      <c r="C32" s="759" t="e">
        <f t="shared" si="0"/>
        <v>#N/A</v>
      </c>
      <c r="D32" s="765" t="e">
        <f>VLOOKUP($A32,'汇总-1月'!$B$5:$AE$23,7,0)</f>
        <v>#N/A</v>
      </c>
      <c r="E32" s="759" t="e">
        <f t="shared" si="1"/>
        <v>#N/A</v>
      </c>
      <c r="F32" s="765" t="e">
        <f>VLOOKUP($A32,'汇总-1月'!$B$5:$AE$23,12,0)</f>
        <v>#N/A</v>
      </c>
      <c r="G32" s="759" t="e">
        <f t="shared" si="2"/>
        <v>#N/A</v>
      </c>
      <c r="H32" s="766" t="e">
        <f>VLOOKUP($A32,'汇总-1月'!$B$5:$AE$23,17,0)</f>
        <v>#N/A</v>
      </c>
      <c r="I32" s="759" t="e">
        <f t="shared" si="3"/>
        <v>#N/A</v>
      </c>
      <c r="J32" s="767" t="e">
        <f>VLOOKUP($A32,'汇总-1月'!$B$5:$AE$23,18,0)</f>
        <v>#N/A</v>
      </c>
      <c r="K32" s="759" t="e">
        <f t="shared" si="4"/>
        <v>#N/A</v>
      </c>
      <c r="L32" s="767" t="e">
        <f>VLOOKUP($A32,'汇总-1月'!$B$5:$AE$23,19,0)</f>
        <v>#N/A</v>
      </c>
      <c r="M32" s="759" t="e">
        <f t="shared" si="5"/>
        <v>#N/A</v>
      </c>
      <c r="N32" s="768" t="e">
        <f>VLOOKUP($A32,'汇总-1月'!$B$5:$AE$23,20,0)</f>
        <v>#N/A</v>
      </c>
      <c r="O32" s="759" t="e">
        <f t="shared" si="6"/>
        <v>#N/A</v>
      </c>
      <c r="P32" s="768" t="e">
        <f>VLOOKUP($A32,'汇总-1月'!$B$5:$AE$23,21,0)</f>
        <v>#N/A</v>
      </c>
      <c r="Q32" s="759" t="e">
        <f t="shared" si="7"/>
        <v>#N/A</v>
      </c>
      <c r="R32" s="768" t="e">
        <f>VLOOKUP($A32,'汇总-1月'!$B$5:$AE$23,22,0)</f>
        <v>#N/A</v>
      </c>
      <c r="S32" s="759" t="e">
        <f t="shared" si="8"/>
        <v>#N/A</v>
      </c>
      <c r="T32" s="767" t="e">
        <f>VLOOKUP($A32,'汇总-1月'!$B$5:$AE$23,23,0)</f>
        <v>#N/A</v>
      </c>
      <c r="U32" s="759" t="e">
        <f t="shared" si="9"/>
        <v>#N/A</v>
      </c>
      <c r="V32" s="767" t="e">
        <f>VLOOKUP($A32,'汇总-1月'!$B$5:$AE$23,24,0)</f>
        <v>#N/A</v>
      </c>
      <c r="W32" s="759" t="e">
        <f t="shared" si="10"/>
        <v>#N/A</v>
      </c>
      <c r="X32" s="768" t="e">
        <f>VLOOKUP($A32,'汇总-1月'!$B$5:$AE$23,25,0)</f>
        <v>#N/A</v>
      </c>
      <c r="Y32" s="759" t="e">
        <f t="shared" si="11"/>
        <v>#N/A</v>
      </c>
      <c r="Z32" s="767" t="e">
        <f>VLOOKUP($A32,'汇总-1月'!$B$5:$AE$23,26,0)</f>
        <v>#N/A</v>
      </c>
      <c r="AA32" s="759" t="e">
        <f t="shared" si="12"/>
        <v>#N/A</v>
      </c>
      <c r="AB32" s="767" t="e">
        <f>VLOOKUP($A32,'汇总-1月'!$B$5:$AE$23,27,0)</f>
        <v>#N/A</v>
      </c>
      <c r="AC32" s="759" t="e">
        <f t="shared" si="13"/>
        <v>#N/A</v>
      </c>
      <c r="AD32" s="768" t="e">
        <f>VLOOKUP($A32,'汇总-1月'!$B$5:$AE$23,28,0)</f>
        <v>#N/A</v>
      </c>
      <c r="AE32" s="759" t="e">
        <f t="shared" si="14"/>
        <v>#N/A</v>
      </c>
      <c r="AF32" s="767" t="e">
        <f>VLOOKUP($A32,'汇总-1月'!$B$5:$AE$23,29,0)</f>
        <v>#N/A</v>
      </c>
      <c r="AG32" s="759" t="e">
        <f t="shared" si="15"/>
        <v>#N/A</v>
      </c>
      <c r="AH32" s="767" t="e">
        <f>VLOOKUP($A32,'汇总-1月'!$B$5:$AE$23,30,0)</f>
        <v>#N/A</v>
      </c>
      <c r="AI32" s="759" t="e">
        <f t="shared" si="16"/>
        <v>#N/A</v>
      </c>
    </row>
    <row r="33" spans="1:35">
      <c r="A33" s="759" t="s">
        <v>59</v>
      </c>
      <c r="B33" s="765" t="e">
        <f>VLOOKUP($A33,'汇总-1月'!$B$5:$AE$23,2,0)</f>
        <v>#N/A</v>
      </c>
      <c r="C33" s="759" t="e">
        <f t="shared" si="0"/>
        <v>#N/A</v>
      </c>
      <c r="D33" s="765" t="e">
        <f>VLOOKUP($A33,'汇总-1月'!$B$5:$AE$23,7,0)</f>
        <v>#N/A</v>
      </c>
      <c r="E33" s="759" t="e">
        <f t="shared" si="1"/>
        <v>#N/A</v>
      </c>
      <c r="F33" s="765" t="e">
        <f>VLOOKUP($A33,'汇总-1月'!$B$5:$AE$23,12,0)</f>
        <v>#N/A</v>
      </c>
      <c r="G33" s="759" t="e">
        <f t="shared" si="2"/>
        <v>#N/A</v>
      </c>
      <c r="H33" s="766" t="e">
        <f>VLOOKUP($A33,'汇总-1月'!$B$5:$AE$23,17,0)</f>
        <v>#N/A</v>
      </c>
      <c r="I33" s="759" t="e">
        <f t="shared" si="3"/>
        <v>#N/A</v>
      </c>
      <c r="J33" s="767" t="e">
        <f>VLOOKUP($A33,'汇总-1月'!$B$5:$AE$23,18,0)</f>
        <v>#N/A</v>
      </c>
      <c r="K33" s="759" t="e">
        <f t="shared" si="4"/>
        <v>#N/A</v>
      </c>
      <c r="L33" s="767" t="e">
        <f>VLOOKUP($A33,'汇总-1月'!$B$5:$AE$23,19,0)</f>
        <v>#N/A</v>
      </c>
      <c r="M33" s="759" t="e">
        <f t="shared" si="5"/>
        <v>#N/A</v>
      </c>
      <c r="N33" s="768" t="e">
        <f>VLOOKUP($A33,'汇总-1月'!$B$5:$AE$23,20,0)</f>
        <v>#N/A</v>
      </c>
      <c r="O33" s="759" t="e">
        <f t="shared" si="6"/>
        <v>#N/A</v>
      </c>
      <c r="P33" s="768" t="e">
        <f>VLOOKUP($A33,'汇总-1月'!$B$5:$AE$23,21,0)</f>
        <v>#N/A</v>
      </c>
      <c r="Q33" s="759" t="e">
        <f t="shared" si="7"/>
        <v>#N/A</v>
      </c>
      <c r="R33" s="768" t="e">
        <f>VLOOKUP($A33,'汇总-1月'!$B$5:$AE$23,22,0)</f>
        <v>#N/A</v>
      </c>
      <c r="S33" s="759" t="e">
        <f t="shared" si="8"/>
        <v>#N/A</v>
      </c>
      <c r="T33" s="767" t="e">
        <f>VLOOKUP($A33,'汇总-1月'!$B$5:$AE$23,23,0)</f>
        <v>#N/A</v>
      </c>
      <c r="U33" s="759" t="e">
        <f t="shared" si="9"/>
        <v>#N/A</v>
      </c>
      <c r="V33" s="767" t="e">
        <f>VLOOKUP($A33,'汇总-1月'!$B$5:$AE$23,24,0)</f>
        <v>#N/A</v>
      </c>
      <c r="W33" s="759" t="e">
        <f t="shared" si="10"/>
        <v>#N/A</v>
      </c>
      <c r="X33" s="768" t="e">
        <f>VLOOKUP($A33,'汇总-1月'!$B$5:$AE$23,25,0)</f>
        <v>#N/A</v>
      </c>
      <c r="Y33" s="759" t="e">
        <f t="shared" si="11"/>
        <v>#N/A</v>
      </c>
      <c r="Z33" s="767" t="e">
        <f>VLOOKUP($A33,'汇总-1月'!$B$5:$AE$23,26,0)</f>
        <v>#N/A</v>
      </c>
      <c r="AA33" s="759" t="e">
        <f t="shared" si="12"/>
        <v>#N/A</v>
      </c>
      <c r="AB33" s="767" t="e">
        <f>VLOOKUP($A33,'汇总-1月'!$B$5:$AE$23,27,0)</f>
        <v>#N/A</v>
      </c>
      <c r="AC33" s="759" t="e">
        <f t="shared" si="13"/>
        <v>#N/A</v>
      </c>
      <c r="AD33" s="768" t="e">
        <f>VLOOKUP($A33,'汇总-1月'!$B$5:$AE$23,28,0)</f>
        <v>#N/A</v>
      </c>
      <c r="AE33" s="759" t="e">
        <f t="shared" si="14"/>
        <v>#N/A</v>
      </c>
      <c r="AF33" s="767" t="e">
        <f>VLOOKUP($A33,'汇总-1月'!$B$5:$AE$23,29,0)</f>
        <v>#N/A</v>
      </c>
      <c r="AG33" s="759" t="e">
        <f t="shared" si="15"/>
        <v>#N/A</v>
      </c>
      <c r="AH33" s="767" t="e">
        <f>VLOOKUP($A33,'汇总-1月'!$B$5:$AE$23,30,0)</f>
        <v>#N/A</v>
      </c>
      <c r="AI33" s="759" t="e">
        <f t="shared" si="16"/>
        <v>#N/A</v>
      </c>
    </row>
    <row r="34" spans="1:35">
      <c r="A34" s="759" t="s">
        <v>60</v>
      </c>
      <c r="B34" s="765" t="e">
        <f>VLOOKUP($A34,'汇总-1月'!$B$5:$AE$23,2,0)</f>
        <v>#N/A</v>
      </c>
      <c r="C34" s="759" t="e">
        <f t="shared" si="0"/>
        <v>#N/A</v>
      </c>
      <c r="D34" s="765" t="e">
        <f>VLOOKUP($A34,'汇总-1月'!$B$5:$AE$23,7,0)</f>
        <v>#N/A</v>
      </c>
      <c r="E34" s="759" t="e">
        <f t="shared" si="1"/>
        <v>#N/A</v>
      </c>
      <c r="F34" s="765" t="e">
        <f>VLOOKUP($A34,'汇总-1月'!$B$5:$AE$23,12,0)</f>
        <v>#N/A</v>
      </c>
      <c r="G34" s="759" t="e">
        <f t="shared" si="2"/>
        <v>#N/A</v>
      </c>
      <c r="H34" s="766" t="e">
        <f>VLOOKUP($A34,'汇总-1月'!$B$5:$AE$23,17,0)</f>
        <v>#N/A</v>
      </c>
      <c r="I34" s="759" t="e">
        <f t="shared" si="3"/>
        <v>#N/A</v>
      </c>
      <c r="J34" s="767" t="e">
        <f>VLOOKUP($A34,'汇总-1月'!$B$5:$AE$23,18,0)</f>
        <v>#N/A</v>
      </c>
      <c r="K34" s="759" t="e">
        <f t="shared" si="4"/>
        <v>#N/A</v>
      </c>
      <c r="L34" s="767" t="e">
        <f>VLOOKUP($A34,'汇总-1月'!$B$5:$AE$23,19,0)</f>
        <v>#N/A</v>
      </c>
      <c r="M34" s="759" t="e">
        <f t="shared" si="5"/>
        <v>#N/A</v>
      </c>
      <c r="N34" s="768" t="e">
        <f>VLOOKUP($A34,'汇总-1月'!$B$5:$AE$23,20,0)</f>
        <v>#N/A</v>
      </c>
      <c r="O34" s="759" t="e">
        <f t="shared" si="6"/>
        <v>#N/A</v>
      </c>
      <c r="P34" s="768" t="e">
        <f>VLOOKUP($A34,'汇总-1月'!$B$5:$AE$23,21,0)</f>
        <v>#N/A</v>
      </c>
      <c r="Q34" s="759" t="e">
        <f t="shared" si="7"/>
        <v>#N/A</v>
      </c>
      <c r="R34" s="768" t="e">
        <f>VLOOKUP($A34,'汇总-1月'!$B$5:$AE$23,22,0)</f>
        <v>#N/A</v>
      </c>
      <c r="S34" s="759" t="e">
        <f t="shared" si="8"/>
        <v>#N/A</v>
      </c>
      <c r="T34" s="767" t="e">
        <f>VLOOKUP($A34,'汇总-1月'!$B$5:$AE$23,23,0)</f>
        <v>#N/A</v>
      </c>
      <c r="U34" s="759" t="e">
        <f t="shared" si="9"/>
        <v>#N/A</v>
      </c>
      <c r="V34" s="767" t="e">
        <f>VLOOKUP($A34,'汇总-1月'!$B$5:$AE$23,24,0)</f>
        <v>#N/A</v>
      </c>
      <c r="W34" s="759" t="e">
        <f t="shared" si="10"/>
        <v>#N/A</v>
      </c>
      <c r="X34" s="768" t="e">
        <f>VLOOKUP($A34,'汇总-1月'!$B$5:$AE$23,25,0)</f>
        <v>#N/A</v>
      </c>
      <c r="Y34" s="759" t="e">
        <f t="shared" si="11"/>
        <v>#N/A</v>
      </c>
      <c r="Z34" s="767" t="e">
        <f>VLOOKUP($A34,'汇总-1月'!$B$5:$AE$23,26,0)</f>
        <v>#N/A</v>
      </c>
      <c r="AA34" s="759" t="e">
        <f t="shared" si="12"/>
        <v>#N/A</v>
      </c>
      <c r="AB34" s="767" t="e">
        <f>VLOOKUP($A34,'汇总-1月'!$B$5:$AE$23,27,0)</f>
        <v>#N/A</v>
      </c>
      <c r="AC34" s="759" t="e">
        <f t="shared" si="13"/>
        <v>#N/A</v>
      </c>
      <c r="AD34" s="768" t="e">
        <f>VLOOKUP($A34,'汇总-1月'!$B$5:$AE$23,28,0)</f>
        <v>#N/A</v>
      </c>
      <c r="AE34" s="759" t="e">
        <f t="shared" si="14"/>
        <v>#N/A</v>
      </c>
      <c r="AF34" s="767" t="e">
        <f>VLOOKUP($A34,'汇总-1月'!$B$5:$AE$23,29,0)</f>
        <v>#N/A</v>
      </c>
      <c r="AG34" s="759" t="e">
        <f t="shared" si="15"/>
        <v>#N/A</v>
      </c>
      <c r="AH34" s="767" t="e">
        <f>VLOOKUP($A34,'汇总-1月'!$B$5:$AE$23,30,0)</f>
        <v>#N/A</v>
      </c>
      <c r="AI34" s="759" t="e">
        <f t="shared" si="16"/>
        <v>#N/A</v>
      </c>
    </row>
    <row r="35" spans="1:35">
      <c r="A35" s="759" t="s">
        <v>61</v>
      </c>
      <c r="B35" s="765" t="e">
        <f>VLOOKUP($A35,'汇总-1月'!$B$5:$AE$23,2,0)</f>
        <v>#N/A</v>
      </c>
      <c r="C35" s="759" t="e">
        <f t="shared" si="0"/>
        <v>#N/A</v>
      </c>
      <c r="D35" s="765" t="e">
        <f>VLOOKUP($A35,'汇总-1月'!$B$5:$AE$23,7,0)</f>
        <v>#N/A</v>
      </c>
      <c r="E35" s="759" t="e">
        <f t="shared" si="1"/>
        <v>#N/A</v>
      </c>
      <c r="F35" s="765" t="e">
        <f>VLOOKUP($A35,'汇总-1月'!$B$5:$AE$23,12,0)</f>
        <v>#N/A</v>
      </c>
      <c r="G35" s="759" t="e">
        <f t="shared" si="2"/>
        <v>#N/A</v>
      </c>
      <c r="H35" s="766" t="e">
        <f>VLOOKUP($A35,'汇总-1月'!$B$5:$AE$23,17,0)</f>
        <v>#N/A</v>
      </c>
      <c r="I35" s="759" t="e">
        <f t="shared" si="3"/>
        <v>#N/A</v>
      </c>
      <c r="J35" s="767" t="e">
        <f>VLOOKUP($A35,'汇总-1月'!$B$5:$AE$23,18,0)</f>
        <v>#N/A</v>
      </c>
      <c r="K35" s="759" t="e">
        <f t="shared" si="4"/>
        <v>#N/A</v>
      </c>
      <c r="L35" s="767" t="e">
        <f>VLOOKUP($A35,'汇总-1月'!$B$5:$AE$23,19,0)</f>
        <v>#N/A</v>
      </c>
      <c r="M35" s="759" t="e">
        <f t="shared" si="5"/>
        <v>#N/A</v>
      </c>
      <c r="N35" s="768" t="e">
        <f>VLOOKUP($A35,'汇总-1月'!$B$5:$AE$23,20,0)</f>
        <v>#N/A</v>
      </c>
      <c r="O35" s="759" t="e">
        <f t="shared" si="6"/>
        <v>#N/A</v>
      </c>
      <c r="P35" s="768" t="e">
        <f>VLOOKUP($A35,'汇总-1月'!$B$5:$AE$23,21,0)</f>
        <v>#N/A</v>
      </c>
      <c r="Q35" s="759" t="e">
        <f t="shared" si="7"/>
        <v>#N/A</v>
      </c>
      <c r="R35" s="768" t="e">
        <f>VLOOKUP($A35,'汇总-1月'!$B$5:$AE$23,22,0)</f>
        <v>#N/A</v>
      </c>
      <c r="S35" s="759" t="e">
        <f t="shared" si="8"/>
        <v>#N/A</v>
      </c>
      <c r="T35" s="767" t="e">
        <f>VLOOKUP($A35,'汇总-1月'!$B$5:$AE$23,23,0)</f>
        <v>#N/A</v>
      </c>
      <c r="U35" s="759" t="e">
        <f t="shared" si="9"/>
        <v>#N/A</v>
      </c>
      <c r="V35" s="767" t="e">
        <f>VLOOKUP($A35,'汇总-1月'!$B$5:$AE$23,24,0)</f>
        <v>#N/A</v>
      </c>
      <c r="W35" s="759" t="e">
        <f t="shared" si="10"/>
        <v>#N/A</v>
      </c>
      <c r="X35" s="768" t="e">
        <f>VLOOKUP($A35,'汇总-1月'!$B$5:$AE$23,25,0)</f>
        <v>#N/A</v>
      </c>
      <c r="Y35" s="759" t="e">
        <f t="shared" si="11"/>
        <v>#N/A</v>
      </c>
      <c r="Z35" s="767" t="e">
        <f>VLOOKUP($A35,'汇总-1月'!$B$5:$AE$23,26,0)</f>
        <v>#N/A</v>
      </c>
      <c r="AA35" s="759" t="e">
        <f t="shared" si="12"/>
        <v>#N/A</v>
      </c>
      <c r="AB35" s="767" t="e">
        <f>VLOOKUP($A35,'汇总-1月'!$B$5:$AE$23,27,0)</f>
        <v>#N/A</v>
      </c>
      <c r="AC35" s="759" t="e">
        <f t="shared" si="13"/>
        <v>#N/A</v>
      </c>
      <c r="AD35" s="768" t="e">
        <f>VLOOKUP($A35,'汇总-1月'!$B$5:$AE$23,28,0)</f>
        <v>#N/A</v>
      </c>
      <c r="AE35" s="759" t="e">
        <f t="shared" si="14"/>
        <v>#N/A</v>
      </c>
      <c r="AF35" s="767" t="e">
        <f>VLOOKUP($A35,'汇总-1月'!$B$5:$AE$23,29,0)</f>
        <v>#N/A</v>
      </c>
      <c r="AG35" s="759" t="e">
        <f t="shared" si="15"/>
        <v>#N/A</v>
      </c>
      <c r="AH35" s="767" t="e">
        <f>VLOOKUP($A35,'汇总-1月'!$B$5:$AE$23,30,0)</f>
        <v>#N/A</v>
      </c>
      <c r="AI35" s="759" t="e">
        <f t="shared" si="16"/>
        <v>#N/A</v>
      </c>
    </row>
    <row r="36" spans="1:35">
      <c r="A36" s="759" t="s">
        <v>62</v>
      </c>
      <c r="B36" s="765" t="e">
        <f>VLOOKUP($A36,'汇总-1月'!$B$5:$AE$23,2,0)</f>
        <v>#N/A</v>
      </c>
      <c r="C36" s="759" t="e">
        <f t="shared" si="0"/>
        <v>#N/A</v>
      </c>
      <c r="D36" s="765" t="e">
        <f>VLOOKUP($A36,'汇总-1月'!$B$5:$AE$23,7,0)</f>
        <v>#N/A</v>
      </c>
      <c r="E36" s="759" t="e">
        <f t="shared" si="1"/>
        <v>#N/A</v>
      </c>
      <c r="F36" s="765" t="e">
        <f>VLOOKUP($A36,'汇总-1月'!$B$5:$AE$23,12,0)</f>
        <v>#N/A</v>
      </c>
      <c r="G36" s="759" t="e">
        <f t="shared" si="2"/>
        <v>#N/A</v>
      </c>
      <c r="H36" s="766" t="e">
        <f>VLOOKUP($A36,'汇总-1月'!$B$5:$AE$23,17,0)</f>
        <v>#N/A</v>
      </c>
      <c r="I36" s="759" t="e">
        <f t="shared" si="3"/>
        <v>#N/A</v>
      </c>
      <c r="J36" s="767" t="e">
        <f>VLOOKUP($A36,'汇总-1月'!$B$5:$AE$23,18,0)</f>
        <v>#N/A</v>
      </c>
      <c r="K36" s="759" t="e">
        <f t="shared" si="4"/>
        <v>#N/A</v>
      </c>
      <c r="L36" s="767" t="e">
        <f>VLOOKUP($A36,'汇总-1月'!$B$5:$AE$23,19,0)</f>
        <v>#N/A</v>
      </c>
      <c r="M36" s="759" t="e">
        <f t="shared" si="5"/>
        <v>#N/A</v>
      </c>
      <c r="N36" s="768" t="e">
        <f>VLOOKUP($A36,'汇总-1月'!$B$5:$AE$23,20,0)</f>
        <v>#N/A</v>
      </c>
      <c r="O36" s="759" t="e">
        <f t="shared" si="6"/>
        <v>#N/A</v>
      </c>
      <c r="P36" s="768" t="e">
        <f>VLOOKUP($A36,'汇总-1月'!$B$5:$AE$23,21,0)</f>
        <v>#N/A</v>
      </c>
      <c r="Q36" s="759" t="e">
        <f t="shared" si="7"/>
        <v>#N/A</v>
      </c>
      <c r="R36" s="768" t="e">
        <f>VLOOKUP($A36,'汇总-1月'!$B$5:$AE$23,22,0)</f>
        <v>#N/A</v>
      </c>
      <c r="S36" s="759" t="e">
        <f t="shared" si="8"/>
        <v>#N/A</v>
      </c>
      <c r="T36" s="767" t="e">
        <f>VLOOKUP($A36,'汇总-1月'!$B$5:$AE$23,23,0)</f>
        <v>#N/A</v>
      </c>
      <c r="U36" s="759" t="e">
        <f t="shared" si="9"/>
        <v>#N/A</v>
      </c>
      <c r="V36" s="767" t="e">
        <f>VLOOKUP($A36,'汇总-1月'!$B$5:$AE$23,24,0)</f>
        <v>#N/A</v>
      </c>
      <c r="W36" s="759" t="e">
        <f t="shared" si="10"/>
        <v>#N/A</v>
      </c>
      <c r="X36" s="768" t="e">
        <f>VLOOKUP($A36,'汇总-1月'!$B$5:$AE$23,25,0)</f>
        <v>#N/A</v>
      </c>
      <c r="Y36" s="759" t="e">
        <f t="shared" si="11"/>
        <v>#N/A</v>
      </c>
      <c r="Z36" s="767" t="e">
        <f>VLOOKUP($A36,'汇总-1月'!$B$5:$AE$23,26,0)</f>
        <v>#N/A</v>
      </c>
      <c r="AA36" s="759" t="e">
        <f t="shared" si="12"/>
        <v>#N/A</v>
      </c>
      <c r="AB36" s="767" t="e">
        <f>VLOOKUP($A36,'汇总-1月'!$B$5:$AE$23,27,0)</f>
        <v>#N/A</v>
      </c>
      <c r="AC36" s="759" t="e">
        <f t="shared" si="13"/>
        <v>#N/A</v>
      </c>
      <c r="AD36" s="768" t="e">
        <f>VLOOKUP($A36,'汇总-1月'!$B$5:$AE$23,28,0)</f>
        <v>#N/A</v>
      </c>
      <c r="AE36" s="759" t="e">
        <f t="shared" si="14"/>
        <v>#N/A</v>
      </c>
      <c r="AF36" s="767" t="e">
        <f>VLOOKUP($A36,'汇总-1月'!$B$5:$AE$23,29,0)</f>
        <v>#N/A</v>
      </c>
      <c r="AG36" s="759" t="e">
        <f t="shared" si="15"/>
        <v>#N/A</v>
      </c>
      <c r="AH36" s="767" t="e">
        <f>VLOOKUP($A36,'汇总-1月'!$B$5:$AE$23,30,0)</f>
        <v>#N/A</v>
      </c>
      <c r="AI36" s="759" t="e">
        <f t="shared" si="16"/>
        <v>#N/A</v>
      </c>
    </row>
    <row r="37" spans="1:35">
      <c r="A37" s="759" t="s">
        <v>63</v>
      </c>
      <c r="B37" s="765" t="e">
        <f>VLOOKUP($A37,'汇总-1月'!$B$5:$AE$23,2,0)</f>
        <v>#N/A</v>
      </c>
      <c r="C37" s="759" t="e">
        <f t="shared" si="0"/>
        <v>#N/A</v>
      </c>
      <c r="D37" s="765" t="e">
        <f>VLOOKUP($A37,'汇总-1月'!$B$5:$AE$23,7,0)</f>
        <v>#N/A</v>
      </c>
      <c r="E37" s="759" t="e">
        <f t="shared" si="1"/>
        <v>#N/A</v>
      </c>
      <c r="F37" s="765" t="e">
        <f>VLOOKUP($A37,'汇总-1月'!$B$5:$AE$23,12,0)</f>
        <v>#N/A</v>
      </c>
      <c r="G37" s="759" t="e">
        <f t="shared" si="2"/>
        <v>#N/A</v>
      </c>
      <c r="H37" s="766" t="e">
        <f>VLOOKUP($A37,'汇总-1月'!$B$5:$AE$23,17,0)</f>
        <v>#N/A</v>
      </c>
      <c r="I37" s="759" t="e">
        <f t="shared" si="3"/>
        <v>#N/A</v>
      </c>
      <c r="J37" s="767" t="e">
        <f>VLOOKUP($A37,'汇总-1月'!$B$5:$AE$23,18,0)</f>
        <v>#N/A</v>
      </c>
      <c r="K37" s="759" t="e">
        <f t="shared" si="4"/>
        <v>#N/A</v>
      </c>
      <c r="L37" s="767" t="e">
        <f>VLOOKUP($A37,'汇总-1月'!$B$5:$AE$23,19,0)</f>
        <v>#N/A</v>
      </c>
      <c r="M37" s="759" t="e">
        <f t="shared" si="5"/>
        <v>#N/A</v>
      </c>
      <c r="N37" s="768" t="e">
        <f>VLOOKUP($A37,'汇总-1月'!$B$5:$AE$23,20,0)</f>
        <v>#N/A</v>
      </c>
      <c r="O37" s="759" t="e">
        <f t="shared" si="6"/>
        <v>#N/A</v>
      </c>
      <c r="P37" s="768" t="e">
        <f>VLOOKUP($A37,'汇总-1月'!$B$5:$AE$23,21,0)</f>
        <v>#N/A</v>
      </c>
      <c r="Q37" s="759" t="e">
        <f t="shared" si="7"/>
        <v>#N/A</v>
      </c>
      <c r="R37" s="768" t="e">
        <f>VLOOKUP($A37,'汇总-1月'!$B$5:$AE$23,22,0)</f>
        <v>#N/A</v>
      </c>
      <c r="S37" s="759" t="e">
        <f t="shared" si="8"/>
        <v>#N/A</v>
      </c>
      <c r="T37" s="767" t="e">
        <f>VLOOKUP($A37,'汇总-1月'!$B$5:$AE$23,23,0)</f>
        <v>#N/A</v>
      </c>
      <c r="U37" s="759" t="e">
        <f t="shared" si="9"/>
        <v>#N/A</v>
      </c>
      <c r="V37" s="767" t="e">
        <f>VLOOKUP($A37,'汇总-1月'!$B$5:$AE$23,24,0)</f>
        <v>#N/A</v>
      </c>
      <c r="W37" s="759" t="e">
        <f t="shared" si="10"/>
        <v>#N/A</v>
      </c>
      <c r="X37" s="768" t="e">
        <f>VLOOKUP($A37,'汇总-1月'!$B$5:$AE$23,25,0)</f>
        <v>#N/A</v>
      </c>
      <c r="Y37" s="759" t="e">
        <f t="shared" si="11"/>
        <v>#N/A</v>
      </c>
      <c r="Z37" s="767" t="e">
        <f>VLOOKUP($A37,'汇总-1月'!$B$5:$AE$23,26,0)</f>
        <v>#N/A</v>
      </c>
      <c r="AA37" s="759" t="e">
        <f t="shared" si="12"/>
        <v>#N/A</v>
      </c>
      <c r="AB37" s="767" t="e">
        <f>VLOOKUP($A37,'汇总-1月'!$B$5:$AE$23,27,0)</f>
        <v>#N/A</v>
      </c>
      <c r="AC37" s="759" t="e">
        <f t="shared" si="13"/>
        <v>#N/A</v>
      </c>
      <c r="AD37" s="768" t="e">
        <f>VLOOKUP($A37,'汇总-1月'!$B$5:$AE$23,28,0)</f>
        <v>#N/A</v>
      </c>
      <c r="AE37" s="759" t="e">
        <f t="shared" si="14"/>
        <v>#N/A</v>
      </c>
      <c r="AF37" s="767" t="e">
        <f>VLOOKUP($A37,'汇总-1月'!$B$5:$AE$23,29,0)</f>
        <v>#N/A</v>
      </c>
      <c r="AG37" s="759" t="e">
        <f t="shared" si="15"/>
        <v>#N/A</v>
      </c>
      <c r="AH37" s="767" t="e">
        <f>VLOOKUP($A37,'汇总-1月'!$B$5:$AE$23,30,0)</f>
        <v>#N/A</v>
      </c>
      <c r="AI37" s="759" t="e">
        <f t="shared" si="16"/>
        <v>#N/A</v>
      </c>
    </row>
    <row r="38" spans="1:35">
      <c r="A38" s="759" t="s">
        <v>64</v>
      </c>
      <c r="B38" s="765" t="e">
        <f>VLOOKUP($A38,'汇总-1月'!$B$5:$AE$23,2,0)</f>
        <v>#N/A</v>
      </c>
      <c r="C38" s="759" t="e">
        <f t="shared" si="0"/>
        <v>#N/A</v>
      </c>
      <c r="D38" s="765" t="e">
        <f>VLOOKUP($A38,'汇总-1月'!$B$5:$AE$23,7,0)</f>
        <v>#N/A</v>
      </c>
      <c r="E38" s="759" t="e">
        <f t="shared" si="1"/>
        <v>#N/A</v>
      </c>
      <c r="F38" s="765" t="e">
        <f>VLOOKUP($A38,'汇总-1月'!$B$5:$AE$23,12,0)</f>
        <v>#N/A</v>
      </c>
      <c r="G38" s="759" t="e">
        <f t="shared" si="2"/>
        <v>#N/A</v>
      </c>
      <c r="H38" s="766" t="e">
        <f>VLOOKUP($A38,'汇总-1月'!$B$5:$AE$23,17,0)</f>
        <v>#N/A</v>
      </c>
      <c r="I38" s="759" t="e">
        <f t="shared" si="3"/>
        <v>#N/A</v>
      </c>
      <c r="J38" s="767" t="e">
        <f>VLOOKUP($A38,'汇总-1月'!$B$5:$AE$23,18,0)</f>
        <v>#N/A</v>
      </c>
      <c r="K38" s="759" t="e">
        <f t="shared" si="4"/>
        <v>#N/A</v>
      </c>
      <c r="L38" s="767" t="e">
        <f>VLOOKUP($A38,'汇总-1月'!$B$5:$AE$23,19,0)</f>
        <v>#N/A</v>
      </c>
      <c r="M38" s="759" t="e">
        <f t="shared" si="5"/>
        <v>#N/A</v>
      </c>
      <c r="N38" s="768" t="e">
        <f>VLOOKUP($A38,'汇总-1月'!$B$5:$AE$23,20,0)</f>
        <v>#N/A</v>
      </c>
      <c r="O38" s="759" t="e">
        <f t="shared" si="6"/>
        <v>#N/A</v>
      </c>
      <c r="P38" s="768" t="e">
        <f>VLOOKUP($A38,'汇总-1月'!$B$5:$AE$23,21,0)</f>
        <v>#N/A</v>
      </c>
      <c r="Q38" s="759" t="e">
        <f t="shared" si="7"/>
        <v>#N/A</v>
      </c>
      <c r="R38" s="768" t="e">
        <f>VLOOKUP($A38,'汇总-1月'!$B$5:$AE$23,22,0)</f>
        <v>#N/A</v>
      </c>
      <c r="S38" s="759" t="e">
        <f t="shared" si="8"/>
        <v>#N/A</v>
      </c>
      <c r="T38" s="767" t="e">
        <f>VLOOKUP($A38,'汇总-1月'!$B$5:$AE$23,23,0)</f>
        <v>#N/A</v>
      </c>
      <c r="U38" s="759" t="e">
        <f t="shared" si="9"/>
        <v>#N/A</v>
      </c>
      <c r="V38" s="767" t="e">
        <f>VLOOKUP($A38,'汇总-1月'!$B$5:$AE$23,24,0)</f>
        <v>#N/A</v>
      </c>
      <c r="W38" s="759" t="e">
        <f t="shared" si="10"/>
        <v>#N/A</v>
      </c>
      <c r="X38" s="768" t="e">
        <f>VLOOKUP($A38,'汇总-1月'!$B$5:$AE$23,25,0)</f>
        <v>#N/A</v>
      </c>
      <c r="Y38" s="759" t="e">
        <f t="shared" si="11"/>
        <v>#N/A</v>
      </c>
      <c r="Z38" s="767" t="e">
        <f>VLOOKUP($A38,'汇总-1月'!$B$5:$AE$23,26,0)</f>
        <v>#N/A</v>
      </c>
      <c r="AA38" s="759" t="e">
        <f t="shared" si="12"/>
        <v>#N/A</v>
      </c>
      <c r="AB38" s="767" t="e">
        <f>VLOOKUP($A38,'汇总-1月'!$B$5:$AE$23,27,0)</f>
        <v>#N/A</v>
      </c>
      <c r="AC38" s="759" t="e">
        <f t="shared" si="13"/>
        <v>#N/A</v>
      </c>
      <c r="AD38" s="768" t="e">
        <f>VLOOKUP($A38,'汇总-1月'!$B$5:$AE$23,28,0)</f>
        <v>#N/A</v>
      </c>
      <c r="AE38" s="759" t="e">
        <f t="shared" si="14"/>
        <v>#N/A</v>
      </c>
      <c r="AF38" s="767" t="e">
        <f>VLOOKUP($A38,'汇总-1月'!$B$5:$AE$23,29,0)</f>
        <v>#N/A</v>
      </c>
      <c r="AG38" s="759" t="e">
        <f t="shared" si="15"/>
        <v>#N/A</v>
      </c>
      <c r="AH38" s="767" t="e">
        <f>VLOOKUP($A38,'汇总-1月'!$B$5:$AE$23,30,0)</f>
        <v>#N/A</v>
      </c>
      <c r="AI38" s="759" t="e">
        <f t="shared" si="16"/>
        <v>#N/A</v>
      </c>
    </row>
    <row r="39" spans="1:35">
      <c r="A39" s="759" t="s">
        <v>65</v>
      </c>
      <c r="B39" s="765" t="e">
        <f>VLOOKUP($A39,'汇总-1月'!$B$5:$AE$23,2,0)</f>
        <v>#N/A</v>
      </c>
      <c r="C39" s="759" t="e">
        <f t="shared" si="0"/>
        <v>#N/A</v>
      </c>
      <c r="D39" s="765" t="e">
        <f>VLOOKUP($A39,'汇总-1月'!$B$5:$AE$23,7,0)</f>
        <v>#N/A</v>
      </c>
      <c r="E39" s="759" t="e">
        <f t="shared" si="1"/>
        <v>#N/A</v>
      </c>
      <c r="F39" s="765" t="e">
        <f>VLOOKUP($A39,'汇总-1月'!$B$5:$AE$23,12,0)</f>
        <v>#N/A</v>
      </c>
      <c r="G39" s="759" t="e">
        <f t="shared" si="2"/>
        <v>#N/A</v>
      </c>
      <c r="H39" s="766" t="e">
        <f>VLOOKUP($A39,'汇总-1月'!$B$5:$AE$23,17,0)</f>
        <v>#N/A</v>
      </c>
      <c r="I39" s="759" t="e">
        <f t="shared" si="3"/>
        <v>#N/A</v>
      </c>
      <c r="J39" s="767" t="e">
        <f>VLOOKUP($A39,'汇总-1月'!$B$5:$AE$23,18,0)</f>
        <v>#N/A</v>
      </c>
      <c r="K39" s="759" t="e">
        <f t="shared" si="4"/>
        <v>#N/A</v>
      </c>
      <c r="L39" s="767" t="e">
        <f>VLOOKUP($A39,'汇总-1月'!$B$5:$AE$23,19,0)</f>
        <v>#N/A</v>
      </c>
      <c r="M39" s="759" t="e">
        <f t="shared" si="5"/>
        <v>#N/A</v>
      </c>
      <c r="N39" s="768" t="e">
        <f>VLOOKUP($A39,'汇总-1月'!$B$5:$AE$23,20,0)</f>
        <v>#N/A</v>
      </c>
      <c r="O39" s="759" t="e">
        <f t="shared" si="6"/>
        <v>#N/A</v>
      </c>
      <c r="P39" s="768" t="e">
        <f>VLOOKUP($A39,'汇总-1月'!$B$5:$AE$23,21,0)</f>
        <v>#N/A</v>
      </c>
      <c r="Q39" s="759" t="e">
        <f t="shared" si="7"/>
        <v>#N/A</v>
      </c>
      <c r="R39" s="768" t="e">
        <f>VLOOKUP($A39,'汇总-1月'!$B$5:$AE$23,22,0)</f>
        <v>#N/A</v>
      </c>
      <c r="S39" s="759" t="e">
        <f t="shared" si="8"/>
        <v>#N/A</v>
      </c>
      <c r="T39" s="767" t="e">
        <f>VLOOKUP($A39,'汇总-1月'!$B$5:$AE$23,23,0)</f>
        <v>#N/A</v>
      </c>
      <c r="U39" s="759" t="e">
        <f t="shared" si="9"/>
        <v>#N/A</v>
      </c>
      <c r="V39" s="767" t="e">
        <f>VLOOKUP($A39,'汇总-1月'!$B$5:$AE$23,24,0)</f>
        <v>#N/A</v>
      </c>
      <c r="W39" s="759" t="e">
        <f t="shared" si="10"/>
        <v>#N/A</v>
      </c>
      <c r="X39" s="768" t="e">
        <f>VLOOKUP($A39,'汇总-1月'!$B$5:$AE$23,25,0)</f>
        <v>#N/A</v>
      </c>
      <c r="Y39" s="759" t="e">
        <f t="shared" si="11"/>
        <v>#N/A</v>
      </c>
      <c r="Z39" s="767" t="e">
        <f>VLOOKUP($A39,'汇总-1月'!$B$5:$AE$23,26,0)</f>
        <v>#N/A</v>
      </c>
      <c r="AA39" s="759" t="e">
        <f t="shared" si="12"/>
        <v>#N/A</v>
      </c>
      <c r="AB39" s="767" t="e">
        <f>VLOOKUP($A39,'汇总-1月'!$B$5:$AE$23,27,0)</f>
        <v>#N/A</v>
      </c>
      <c r="AC39" s="759" t="e">
        <f t="shared" si="13"/>
        <v>#N/A</v>
      </c>
      <c r="AD39" s="768" t="e">
        <f>VLOOKUP($A39,'汇总-1月'!$B$5:$AE$23,28,0)</f>
        <v>#N/A</v>
      </c>
      <c r="AE39" s="759" t="e">
        <f t="shared" si="14"/>
        <v>#N/A</v>
      </c>
      <c r="AF39" s="767" t="e">
        <f>VLOOKUP($A39,'汇总-1月'!$B$5:$AE$23,29,0)</f>
        <v>#N/A</v>
      </c>
      <c r="AG39" s="759" t="e">
        <f t="shared" si="15"/>
        <v>#N/A</v>
      </c>
      <c r="AH39" s="767" t="e">
        <f>VLOOKUP($A39,'汇总-1月'!$B$5:$AE$23,30,0)</f>
        <v>#N/A</v>
      </c>
      <c r="AI39" s="759" t="e">
        <f t="shared" si="16"/>
        <v>#N/A</v>
      </c>
    </row>
  </sheetData>
  <phoneticPr fontId="5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9"/>
  <sheetViews>
    <sheetView workbookViewId="0">
      <pane xSplit="1" ySplit="3" topLeftCell="B16" activePane="bottomRight" state="frozen"/>
      <selection pane="topRight"/>
      <selection pane="bottomLeft"/>
      <selection pane="bottomRight" activeCell="D36" sqref="D36"/>
    </sheetView>
  </sheetViews>
  <sheetFormatPr defaultColWidth="9.140625" defaultRowHeight="13.75"/>
  <cols>
    <col min="1" max="1" width="13.640625" style="759" customWidth="1"/>
    <col min="2" max="2" width="15" style="760" customWidth="1"/>
    <col min="3" max="3" width="10.140625" style="759" customWidth="1"/>
    <col min="4" max="4" width="17.35546875" style="760" customWidth="1"/>
    <col min="5" max="5" width="17.35546875" style="759" customWidth="1"/>
    <col min="6" max="6" width="17.35546875" style="760" customWidth="1"/>
    <col min="7" max="34" width="17.35546875" style="759" customWidth="1"/>
    <col min="35" max="35" width="14.35546875" style="761" customWidth="1"/>
    <col min="36" max="16384" width="9.140625" style="761"/>
  </cols>
  <sheetData>
    <row r="1" spans="1:35" s="758" customFormat="1">
      <c r="A1" s="759"/>
      <c r="B1" s="762" t="s">
        <v>5</v>
      </c>
      <c r="C1" s="762" t="s">
        <v>5</v>
      </c>
      <c r="D1" s="762" t="s">
        <v>5</v>
      </c>
      <c r="E1" s="762" t="s">
        <v>5</v>
      </c>
      <c r="F1" s="762" t="s">
        <v>5</v>
      </c>
      <c r="G1" s="762" t="s">
        <v>5</v>
      </c>
      <c r="H1" s="762" t="s">
        <v>5</v>
      </c>
      <c r="I1" s="762" t="s">
        <v>5</v>
      </c>
      <c r="J1" s="762" t="s">
        <v>5</v>
      </c>
      <c r="K1" s="762" t="s">
        <v>5</v>
      </c>
      <c r="L1" s="763" t="s">
        <v>6</v>
      </c>
      <c r="M1" s="763" t="s">
        <v>6</v>
      </c>
      <c r="N1" s="763" t="s">
        <v>6</v>
      </c>
      <c r="O1" s="763" t="s">
        <v>6</v>
      </c>
      <c r="P1" s="763" t="s">
        <v>6</v>
      </c>
      <c r="Q1" s="763" t="s">
        <v>6</v>
      </c>
      <c r="R1" s="763" t="s">
        <v>6</v>
      </c>
      <c r="S1" s="763" t="s">
        <v>6</v>
      </c>
      <c r="T1" s="763" t="s">
        <v>6</v>
      </c>
      <c r="U1" s="763" t="s">
        <v>6</v>
      </c>
      <c r="V1" s="764" t="s">
        <v>7</v>
      </c>
      <c r="W1" s="764" t="s">
        <v>7</v>
      </c>
      <c r="X1" s="764" t="s">
        <v>7</v>
      </c>
      <c r="Y1" s="764" t="s">
        <v>7</v>
      </c>
      <c r="Z1" s="764" t="s">
        <v>7</v>
      </c>
      <c r="AA1" s="764" t="s">
        <v>7</v>
      </c>
      <c r="AB1" s="763" t="s">
        <v>8</v>
      </c>
      <c r="AC1" s="763" t="s">
        <v>8</v>
      </c>
      <c r="AD1" s="763" t="s">
        <v>8</v>
      </c>
      <c r="AE1" s="763" t="s">
        <v>8</v>
      </c>
      <c r="AF1" s="763" t="s">
        <v>8</v>
      </c>
      <c r="AG1" s="763" t="s">
        <v>8</v>
      </c>
      <c r="AH1" s="763" t="s">
        <v>8</v>
      </c>
      <c r="AI1" s="763" t="s">
        <v>8</v>
      </c>
    </row>
    <row r="2" spans="1:35">
      <c r="B2" s="760" t="s">
        <v>96</v>
      </c>
      <c r="C2" s="759" t="s">
        <v>96</v>
      </c>
      <c r="D2" s="760" t="s">
        <v>210</v>
      </c>
      <c r="E2" s="759" t="s">
        <v>210</v>
      </c>
      <c r="F2" s="760" t="s">
        <v>263</v>
      </c>
      <c r="G2" s="759" t="s">
        <v>263</v>
      </c>
      <c r="H2" s="759" t="s">
        <v>259</v>
      </c>
      <c r="I2" s="759" t="s">
        <v>259</v>
      </c>
      <c r="J2" s="759" t="s">
        <v>15</v>
      </c>
      <c r="K2" s="759" t="s">
        <v>15</v>
      </c>
      <c r="L2" s="759" t="s">
        <v>16</v>
      </c>
      <c r="M2" s="759" t="s">
        <v>16</v>
      </c>
      <c r="N2" s="759" t="s">
        <v>260</v>
      </c>
      <c r="O2" s="759" t="s">
        <v>260</v>
      </c>
      <c r="P2" s="759" t="s">
        <v>261</v>
      </c>
      <c r="Q2" s="759" t="s">
        <v>261</v>
      </c>
      <c r="R2" s="759" t="s">
        <v>259</v>
      </c>
      <c r="S2" s="759" t="s">
        <v>259</v>
      </c>
      <c r="T2" s="759" t="s">
        <v>19</v>
      </c>
      <c r="U2" s="759" t="s">
        <v>19</v>
      </c>
      <c r="V2" s="759" t="s">
        <v>20</v>
      </c>
      <c r="W2" s="759" t="s">
        <v>20</v>
      </c>
      <c r="X2" s="759" t="s">
        <v>259</v>
      </c>
      <c r="Y2" s="759" t="s">
        <v>259</v>
      </c>
      <c r="Z2" s="759" t="s">
        <v>21</v>
      </c>
      <c r="AA2" s="759" t="s">
        <v>21</v>
      </c>
      <c r="AB2" s="759" t="s">
        <v>22</v>
      </c>
      <c r="AC2" s="759" t="s">
        <v>22</v>
      </c>
      <c r="AD2" s="759" t="s">
        <v>259</v>
      </c>
      <c r="AE2" s="759" t="s">
        <v>259</v>
      </c>
      <c r="AF2" s="759" t="s">
        <v>23</v>
      </c>
      <c r="AG2" s="759" t="s">
        <v>23</v>
      </c>
      <c r="AH2" s="759" t="s">
        <v>24</v>
      </c>
      <c r="AI2" s="759" t="s">
        <v>24</v>
      </c>
    </row>
    <row r="3" spans="1:35">
      <c r="A3" s="759" t="s">
        <v>257</v>
      </c>
      <c r="B3" s="760" t="s">
        <v>264</v>
      </c>
      <c r="C3" s="759" t="s">
        <v>258</v>
      </c>
      <c r="D3" s="760" t="s">
        <v>264</v>
      </c>
      <c r="E3" s="759" t="s">
        <v>258</v>
      </c>
      <c r="F3" s="760" t="s">
        <v>264</v>
      </c>
      <c r="G3" s="759" t="s">
        <v>258</v>
      </c>
      <c r="H3" s="759" t="s">
        <v>264</v>
      </c>
      <c r="I3" s="759" t="s">
        <v>258</v>
      </c>
      <c r="J3" s="759" t="s">
        <v>264</v>
      </c>
      <c r="K3" s="759" t="s">
        <v>258</v>
      </c>
      <c r="L3" s="759" t="s">
        <v>264</v>
      </c>
      <c r="M3" s="759" t="s">
        <v>258</v>
      </c>
      <c r="N3" s="759" t="s">
        <v>264</v>
      </c>
      <c r="O3" s="759" t="s">
        <v>258</v>
      </c>
      <c r="P3" s="759" t="s">
        <v>264</v>
      </c>
      <c r="Q3" s="759" t="s">
        <v>258</v>
      </c>
      <c r="R3" s="759" t="s">
        <v>264</v>
      </c>
      <c r="S3" s="759" t="s">
        <v>258</v>
      </c>
      <c r="T3" s="759" t="s">
        <v>264</v>
      </c>
      <c r="U3" s="759" t="s">
        <v>258</v>
      </c>
      <c r="V3" s="759" t="s">
        <v>264</v>
      </c>
      <c r="W3" s="759" t="s">
        <v>258</v>
      </c>
      <c r="X3" s="759" t="s">
        <v>264</v>
      </c>
      <c r="Y3" s="759" t="s">
        <v>258</v>
      </c>
      <c r="Z3" s="759" t="s">
        <v>264</v>
      </c>
      <c r="AA3" s="759" t="s">
        <v>258</v>
      </c>
      <c r="AB3" s="759" t="s">
        <v>264</v>
      </c>
      <c r="AC3" s="759" t="s">
        <v>258</v>
      </c>
      <c r="AD3" s="759" t="s">
        <v>264</v>
      </c>
      <c r="AE3" s="759" t="s">
        <v>258</v>
      </c>
      <c r="AF3" s="759" t="s">
        <v>264</v>
      </c>
      <c r="AG3" s="759" t="s">
        <v>258</v>
      </c>
      <c r="AH3" s="759" t="s">
        <v>264</v>
      </c>
      <c r="AI3" s="759" t="s">
        <v>258</v>
      </c>
    </row>
    <row r="4" spans="1:35">
      <c r="A4" s="759" t="s">
        <v>28</v>
      </c>
      <c r="B4" s="765">
        <f ca="1">VLOOKUP($A4,'汇总-累计'!$B$5:$AH$23,2,0)</f>
        <v>283.18159100000003</v>
      </c>
      <c r="C4" s="759" t="e">
        <f t="shared" ref="C4:C39" ca="1" si="0">RANK(B4,$B$4:$B$59)</f>
        <v>#N/A</v>
      </c>
      <c r="D4" s="765">
        <f ca="1">VLOOKUP($A4,'汇总-累计'!$B$5:$AH$23,8,0)</f>
        <v>-34.304774000000002</v>
      </c>
      <c r="E4" s="759" t="e">
        <f t="shared" ref="E4:E39" ca="1" si="1">RANK(D4,$D$4:$D$59)</f>
        <v>#N/A</v>
      </c>
      <c r="F4" s="765">
        <f ca="1">VLOOKUP($A4,'汇总-累计'!$B$5:$AH$23,14,0)</f>
        <v>-58.735146999999998</v>
      </c>
      <c r="G4" s="759" t="e">
        <f t="shared" ref="G4:G39" ca="1" si="2">RANK(F4,$F$4:$F$59)</f>
        <v>#N/A</v>
      </c>
      <c r="H4" s="766">
        <f ca="1">VLOOKUP($A4,'汇总-累计'!$B$5:$AH$23,20,0)</f>
        <v>2.5475391726702998</v>
      </c>
      <c r="I4" s="759" t="e">
        <f t="shared" ref="I4:I39" ca="1" si="3">RANK(H4,$H$4:$H$59)</f>
        <v>#N/A</v>
      </c>
      <c r="J4" s="767">
        <f ca="1">VLOOKUP($A4,'汇总-累计'!$B$5:$AH$23,21,0)</f>
        <v>-0.121140551117251</v>
      </c>
      <c r="K4" s="759" t="e">
        <f t="shared" ref="K4:K39" ca="1" si="4">RANK(J4,$J$4:$J$59)</f>
        <v>#N/A</v>
      </c>
      <c r="L4" s="767">
        <f ca="1">VLOOKUP($A4,'汇总-累计'!$B$5:$AH$23,22,0)</f>
        <v>0.31282051282051299</v>
      </c>
      <c r="M4" s="759" t="e">
        <f t="shared" ref="M4:M39" ca="1" si="5">RANK(L4,$L$4:$L$59)</f>
        <v>#N/A</v>
      </c>
      <c r="N4" s="768">
        <f ca="1">VLOOKUP($A4,'汇总-累计'!$B$5:$AH$23,23,0)</f>
        <v>199.24168341265599</v>
      </c>
      <c r="O4" s="759" t="e">
        <f t="shared" ref="O4:O39" ca="1" si="6">RANK(N4,$N$4:$N$59)</f>
        <v>#N/A</v>
      </c>
      <c r="P4" s="768">
        <f ca="1">VLOOKUP($A4,'汇总-累计'!$B$5:$AH$23,24,0)</f>
        <v>62.326885580369499</v>
      </c>
      <c r="Q4" s="759" t="e">
        <f t="shared" ref="Q4:Q39" ca="1" si="7">RANK(P4,$P$4:$P$59)</f>
        <v>#N/A</v>
      </c>
      <c r="R4" s="768">
        <f ca="1">VLOOKUP($A4,'汇总-累计'!$B$5:$AH$23,25,0)</f>
        <v>3.9706352792525901</v>
      </c>
      <c r="S4" s="759" t="e">
        <f t="shared" ref="S4:S39" ca="1" si="8">RANK(R4,$R$4:$R$59)</f>
        <v>#N/A</v>
      </c>
      <c r="T4" s="767">
        <f ca="1">VLOOKUP($A4,'汇总-累计'!$B$5:$AH$23,26,0)</f>
        <v>0.56916344729471902</v>
      </c>
      <c r="U4" s="759" t="e">
        <f t="shared" ref="U4:U39" ca="1" si="9">RANK(T4,$T$4:$T$59)</f>
        <v>#N/A</v>
      </c>
      <c r="V4" s="767">
        <f ca="1">VLOOKUP($A4,'汇总-累计'!$B$5:$AH$23,27,0)</f>
        <v>0.53898494290128796</v>
      </c>
      <c r="W4" s="759" t="e">
        <f t="shared" ref="W4:W39" ca="1" si="10">RANK(V4,$V$4:$V$59)</f>
        <v>#N/A</v>
      </c>
      <c r="X4" s="768">
        <f ca="1">VLOOKUP($A4,'汇总-累计'!$B$5:$AH$23,28,0)</f>
        <v>5.0071107421836096</v>
      </c>
      <c r="Y4" s="759" t="e">
        <f t="shared" ref="Y4:Y39" ca="1" si="11">RANK(X4,$X$4:$X$59)</f>
        <v>#N/A</v>
      </c>
      <c r="Z4" s="767">
        <f ca="1">VLOOKUP($A4,'汇总-累计'!$B$5:$AH$23,29,0)</f>
        <v>0.31116500040032002</v>
      </c>
      <c r="AA4" s="759" t="e">
        <f t="shared" ref="AA4:AA39" ca="1" si="12">RANK(Z4,$Z$4:$Z$59)</f>
        <v>#N/A</v>
      </c>
      <c r="AB4" s="767">
        <f ca="1">VLOOKUP($A4,'汇总-累计'!$B$5:$AH$23,30,0)</f>
        <v>0.33181394549054599</v>
      </c>
      <c r="AC4" s="759" t="e">
        <f t="shared" ref="AC4:AC39" ca="1" si="13">RANK(AB4,$AB$4:$AB$59)</f>
        <v>#N/A</v>
      </c>
      <c r="AD4" s="768">
        <f ca="1">VLOOKUP($A4,'汇总-累计'!$B$5:$AH$23,31,0)</f>
        <v>5.5028083927558402</v>
      </c>
      <c r="AE4" s="759" t="e">
        <f t="shared" ref="AE4:AE39" ca="1" si="14">RANK(AD4,$AD$4:$AD$59)</f>
        <v>#N/A</v>
      </c>
      <c r="AF4" s="767">
        <f ca="1">VLOOKUP($A4,'汇总-累计'!$B$5:$AH$23,32,0)</f>
        <v>2.3047179645233399E-2</v>
      </c>
      <c r="AG4" s="759" t="e">
        <f t="shared" ref="AG4:AG39" ca="1" si="15">RANK(AF4,$AF$4:$AF$59)</f>
        <v>#N/A</v>
      </c>
      <c r="AH4" s="767">
        <f ca="1">VLOOKUP($A4,'汇总-累计'!$B$5:$AH$23,33,0)</f>
        <v>0.55986208157153805</v>
      </c>
      <c r="AI4" s="759" t="e">
        <f t="shared" ref="AI4:AI39" ca="1" si="16">RANK(AH4,$AH$4:$AH$59)</f>
        <v>#N/A</v>
      </c>
    </row>
    <row r="5" spans="1:35">
      <c r="A5" s="759" t="s">
        <v>30</v>
      </c>
      <c r="B5" s="765">
        <f ca="1">VLOOKUP($A5,'汇总-累计'!$B$5:$AH$23,2,0)</f>
        <v>12.903086999999999</v>
      </c>
      <c r="C5" s="759" t="e">
        <f t="shared" ca="1" si="0"/>
        <v>#N/A</v>
      </c>
      <c r="D5" s="765">
        <f ca="1">VLOOKUP($A5,'汇总-累计'!$B$5:$AH$23,8,0)</f>
        <v>-36.195543999999998</v>
      </c>
      <c r="E5" s="759" t="e">
        <f t="shared" ca="1" si="1"/>
        <v>#N/A</v>
      </c>
      <c r="F5" s="765">
        <f ca="1">VLOOKUP($A5,'汇总-累计'!$B$5:$AH$23,14,0)</f>
        <v>-40.646245</v>
      </c>
      <c r="G5" s="759" t="e">
        <f t="shared" ca="1" si="2"/>
        <v>#N/A</v>
      </c>
      <c r="H5" s="766">
        <f ca="1">VLOOKUP($A5,'汇总-累计'!$B$5:$AH$23,20,0)</f>
        <v>0.51806265066897195</v>
      </c>
      <c r="I5" s="759" t="e">
        <f t="shared" ca="1" si="3"/>
        <v>#N/A</v>
      </c>
      <c r="J5" s="767">
        <f ca="1">VLOOKUP($A5,'汇总-累计'!$B$5:$AH$23,21,0)</f>
        <v>-2.8051848367758798</v>
      </c>
      <c r="K5" s="759" t="e">
        <f t="shared" ca="1" si="4"/>
        <v>#N/A</v>
      </c>
      <c r="L5" s="767">
        <f ca="1">VLOOKUP($A5,'汇总-累计'!$B$5:$AH$23,22,0)</f>
        <v>3.2112757919209499E-2</v>
      </c>
      <c r="M5" s="759" t="e">
        <f t="shared" ca="1" si="5"/>
        <v>#N/A</v>
      </c>
      <c r="N5" s="768">
        <f ca="1">VLOOKUP($A5,'汇总-累计'!$B$5:$AH$23,23,0)</f>
        <v>165.84337858220201</v>
      </c>
      <c r="O5" s="759" t="e">
        <f t="shared" ca="1" si="6"/>
        <v>#N/A</v>
      </c>
      <c r="P5" s="768">
        <f ca="1">VLOOKUP($A5,'汇总-累计'!$B$5:$AH$23,24,0)</f>
        <v>5.3256882689140799</v>
      </c>
      <c r="Q5" s="759" t="e">
        <f t="shared" ca="1" si="7"/>
        <v>#N/A</v>
      </c>
      <c r="R5" s="768">
        <f ca="1">VLOOKUP($A5,'汇总-累计'!$B$5:$AH$23,25,0)</f>
        <v>0.81298808872838801</v>
      </c>
      <c r="S5" s="759" t="e">
        <f t="shared" ca="1" si="8"/>
        <v>#N/A</v>
      </c>
      <c r="T5" s="767">
        <f ca="1">VLOOKUP($A5,'汇总-累计'!$B$5:$AH$23,26,0)</f>
        <v>-0.59771863062783703</v>
      </c>
      <c r="U5" s="759" t="e">
        <f t="shared" ca="1" si="9"/>
        <v>#N/A</v>
      </c>
      <c r="V5" s="767">
        <f ca="1">VLOOKUP($A5,'汇总-累计'!$B$5:$AH$23,27,0)</f>
        <v>0.47804757233193801</v>
      </c>
      <c r="W5" s="759" t="e">
        <f t="shared" ca="1" si="10"/>
        <v>#N/A</v>
      </c>
      <c r="X5" s="768">
        <f ca="1">VLOOKUP($A5,'汇总-累计'!$B$5:$AH$23,28,0)</f>
        <v>0.98638897028471095</v>
      </c>
      <c r="Y5" s="759" t="e">
        <f t="shared" ca="1" si="11"/>
        <v>#N/A</v>
      </c>
      <c r="Z5" s="767">
        <f ca="1">VLOOKUP($A5,'汇总-累计'!$B$5:$AH$23,29,0)</f>
        <v>-0.59752879962580197</v>
      </c>
      <c r="AA5" s="759" t="e">
        <f t="shared" ca="1" si="12"/>
        <v>#N/A</v>
      </c>
      <c r="AB5" s="767">
        <f ca="1">VLOOKUP($A5,'汇总-累计'!$B$5:$AH$23,30,0)</f>
        <v>1.06594933444997</v>
      </c>
      <c r="AC5" s="759" t="e">
        <f t="shared" ca="1" si="13"/>
        <v>#N/A</v>
      </c>
      <c r="AD5" s="768">
        <f ca="1">VLOOKUP($A5,'汇总-累计'!$B$5:$AH$23,31,0)</f>
        <v>1.1984063893771899</v>
      </c>
      <c r="AE5" s="759" t="e">
        <f t="shared" ca="1" si="14"/>
        <v>#N/A</v>
      </c>
      <c r="AF5" s="767">
        <f ca="1">VLOOKUP($A5,'汇总-累计'!$B$5:$AH$23,32,0)</f>
        <v>1.6072897904199201E-3</v>
      </c>
      <c r="AG5" s="759" t="e">
        <f t="shared" ca="1" si="15"/>
        <v>#N/A</v>
      </c>
      <c r="AH5" s="767">
        <f ca="1">VLOOKUP($A5,'汇总-累计'!$B$5:$AH$23,33,0)</f>
        <v>2.2241328761094099</v>
      </c>
      <c r="AI5" s="759" t="e">
        <f t="shared" ca="1" si="16"/>
        <v>#N/A</v>
      </c>
    </row>
    <row r="6" spans="1:35">
      <c r="A6" s="759" t="s">
        <v>32</v>
      </c>
      <c r="B6" s="765">
        <f ca="1">VLOOKUP($A6,'汇总-累计'!$B$5:$AH$23,2,0)</f>
        <v>113.65688300000001</v>
      </c>
      <c r="C6" s="759" t="e">
        <f t="shared" ca="1" si="0"/>
        <v>#N/A</v>
      </c>
      <c r="D6" s="765">
        <f ca="1">VLOOKUP($A6,'汇总-累计'!$B$5:$AH$23,8,0)</f>
        <v>5.8022269999999994</v>
      </c>
      <c r="E6" s="759" t="e">
        <f t="shared" ca="1" si="1"/>
        <v>#N/A</v>
      </c>
      <c r="F6" s="765">
        <f ca="1">VLOOKUP($A6,'汇总-累计'!$B$5:$AH$23,14,0)</f>
        <v>-2.9581520000000001</v>
      </c>
      <c r="G6" s="759" t="e">
        <f t="shared" ca="1" si="2"/>
        <v>#N/A</v>
      </c>
      <c r="H6" s="766">
        <f ca="1">VLOOKUP($A6,'汇总-累计'!$B$5:$AH$23,20,0)</f>
        <v>2.1067654643068798</v>
      </c>
      <c r="I6" s="759" t="e">
        <f t="shared" ca="1" si="3"/>
        <v>#N/A</v>
      </c>
      <c r="J6" s="767">
        <f ca="1">VLOOKUP($A6,'汇总-累计'!$B$5:$AH$23,21,0)</f>
        <v>5.1050379412569298E-2</v>
      </c>
      <c r="K6" s="759" t="e">
        <f t="shared" ca="1" si="4"/>
        <v>#N/A</v>
      </c>
      <c r="L6" s="767">
        <f ca="1">VLOOKUP($A6,'汇总-累计'!$B$5:$AH$23,22,0)</f>
        <v>0.224880615924374</v>
      </c>
      <c r="M6" s="759" t="e">
        <f t="shared" ca="1" si="5"/>
        <v>#N/A</v>
      </c>
      <c r="N6" s="768">
        <f ca="1">VLOOKUP($A6,'汇总-累计'!$B$5:$AH$23,23,0)</f>
        <v>221.87889924160299</v>
      </c>
      <c r="O6" s="759" t="e">
        <f t="shared" ca="1" si="6"/>
        <v>#N/A</v>
      </c>
      <c r="P6" s="768">
        <f ca="1">VLOOKUP($A6,'汇总-累计'!$B$5:$AH$23,24,0)</f>
        <v>49.896263522073902</v>
      </c>
      <c r="Q6" s="759" t="e">
        <f t="shared" ca="1" si="7"/>
        <v>#N/A</v>
      </c>
      <c r="R6" s="768">
        <f ca="1">VLOOKUP($A6,'汇总-累计'!$B$5:$AH$23,25,0)</f>
        <v>4.7829934735342503</v>
      </c>
      <c r="S6" s="759" t="e">
        <f t="shared" ca="1" si="8"/>
        <v>#N/A</v>
      </c>
      <c r="T6" s="767">
        <f ca="1">VLOOKUP($A6,'汇总-累计'!$B$5:$AH$23,26,0)</f>
        <v>0.60995124635776399</v>
      </c>
      <c r="U6" s="759" t="e">
        <f t="shared" ca="1" si="9"/>
        <v>#N/A</v>
      </c>
      <c r="V6" s="767">
        <f ca="1">VLOOKUP($A6,'汇总-累计'!$B$5:$AH$23,27,0)</f>
        <v>0.59600743105589704</v>
      </c>
      <c r="W6" s="759" t="e">
        <f t="shared" ca="1" si="10"/>
        <v>#N/A</v>
      </c>
      <c r="X6" s="768">
        <f ca="1">VLOOKUP($A6,'汇总-累计'!$B$5:$AH$23,28,0)</f>
        <v>3.2034786446502199</v>
      </c>
      <c r="Y6" s="759" t="e">
        <f t="shared" ca="1" si="11"/>
        <v>#N/A</v>
      </c>
      <c r="Z6" s="767">
        <f ca="1">VLOOKUP($A6,'汇总-累计'!$B$5:$AH$23,29,0)</f>
        <v>0.260946142147227</v>
      </c>
      <c r="AA6" s="759" t="e">
        <f t="shared" ca="1" si="12"/>
        <v>#N/A</v>
      </c>
      <c r="AB6" s="767">
        <f ca="1">VLOOKUP($A6,'汇总-累计'!$B$5:$AH$23,30,0)</f>
        <v>0.117016995794263</v>
      </c>
      <c r="AC6" s="759" t="e">
        <f t="shared" ca="1" si="13"/>
        <v>#N/A</v>
      </c>
      <c r="AD6" s="768">
        <f ca="1">VLOOKUP($A6,'汇总-累计'!$B$5:$AH$23,31,0)</f>
        <v>4.5567032442403796</v>
      </c>
      <c r="AE6" s="759" t="e">
        <f t="shared" ca="1" si="14"/>
        <v>#N/A</v>
      </c>
      <c r="AF6" s="767">
        <f ca="1">VLOOKUP($A6,'汇总-累计'!$B$5:$AH$23,32,0)</f>
        <v>4.0234237287679303E-2</v>
      </c>
      <c r="AG6" s="759" t="e">
        <f t="shared" ca="1" si="15"/>
        <v>#N/A</v>
      </c>
      <c r="AH6" s="767">
        <f ca="1">VLOOKUP($A6,'汇总-累计'!$B$5:$AH$23,33,0)</f>
        <v>0.39204858363043399</v>
      </c>
      <c r="AI6" s="759" t="e">
        <f t="shared" ca="1" si="16"/>
        <v>#N/A</v>
      </c>
    </row>
    <row r="7" spans="1:35">
      <c r="A7" s="759" t="s">
        <v>33</v>
      </c>
      <c r="B7" s="765" t="e">
        <f>VLOOKUP($A7,'汇总-累计'!$B$5:$AH$23,2,0)</f>
        <v>#N/A</v>
      </c>
      <c r="C7" s="759" t="e">
        <f t="shared" si="0"/>
        <v>#N/A</v>
      </c>
      <c r="D7" s="765" t="e">
        <f>VLOOKUP($A7,'汇总-累计'!$B$5:$AH$23,8,0)</f>
        <v>#N/A</v>
      </c>
      <c r="E7" s="759" t="e">
        <f t="shared" si="1"/>
        <v>#N/A</v>
      </c>
      <c r="F7" s="765" t="e">
        <f>VLOOKUP($A7,'汇总-累计'!$B$5:$AH$23,14,0)</f>
        <v>#N/A</v>
      </c>
      <c r="G7" s="759" t="e">
        <f t="shared" si="2"/>
        <v>#N/A</v>
      </c>
      <c r="H7" s="766" t="e">
        <f>VLOOKUP($A7,'汇总-累计'!$B$5:$AH$23,20,0)</f>
        <v>#N/A</v>
      </c>
      <c r="I7" s="759" t="e">
        <f t="shared" si="3"/>
        <v>#N/A</v>
      </c>
      <c r="J7" s="767" t="e">
        <f>VLOOKUP($A7,'汇总-累计'!$B$5:$AH$23,21,0)</f>
        <v>#N/A</v>
      </c>
      <c r="K7" s="759" t="e">
        <f t="shared" si="4"/>
        <v>#N/A</v>
      </c>
      <c r="L7" s="767" t="e">
        <f>VLOOKUP($A7,'汇总-累计'!$B$5:$AH$23,22,0)</f>
        <v>#N/A</v>
      </c>
      <c r="M7" s="759" t="e">
        <f t="shared" si="5"/>
        <v>#N/A</v>
      </c>
      <c r="N7" s="768" t="e">
        <f>VLOOKUP($A7,'汇总-累计'!$B$5:$AH$23,23,0)</f>
        <v>#N/A</v>
      </c>
      <c r="O7" s="759" t="e">
        <f t="shared" si="6"/>
        <v>#N/A</v>
      </c>
      <c r="P7" s="768" t="e">
        <f>VLOOKUP($A7,'汇总-累计'!$B$5:$AH$23,24,0)</f>
        <v>#N/A</v>
      </c>
      <c r="Q7" s="759" t="e">
        <f t="shared" si="7"/>
        <v>#N/A</v>
      </c>
      <c r="R7" s="768" t="e">
        <f>VLOOKUP($A7,'汇总-累计'!$B$5:$AH$23,25,0)</f>
        <v>#N/A</v>
      </c>
      <c r="S7" s="759" t="e">
        <f t="shared" si="8"/>
        <v>#N/A</v>
      </c>
      <c r="T7" s="767" t="e">
        <f>VLOOKUP($A7,'汇总-累计'!$B$5:$AH$23,26,0)</f>
        <v>#N/A</v>
      </c>
      <c r="U7" s="759" t="e">
        <f t="shared" si="9"/>
        <v>#N/A</v>
      </c>
      <c r="V7" s="767" t="e">
        <f>VLOOKUP($A7,'汇总-累计'!$B$5:$AH$23,27,0)</f>
        <v>#N/A</v>
      </c>
      <c r="W7" s="759" t="e">
        <f t="shared" si="10"/>
        <v>#N/A</v>
      </c>
      <c r="X7" s="768" t="e">
        <f>VLOOKUP($A7,'汇总-累计'!$B$5:$AH$23,28,0)</f>
        <v>#N/A</v>
      </c>
      <c r="Y7" s="759" t="e">
        <f t="shared" si="11"/>
        <v>#N/A</v>
      </c>
      <c r="Z7" s="767" t="e">
        <f>VLOOKUP($A7,'汇总-累计'!$B$5:$AH$23,29,0)</f>
        <v>#N/A</v>
      </c>
      <c r="AA7" s="759" t="e">
        <f t="shared" si="12"/>
        <v>#N/A</v>
      </c>
      <c r="AB7" s="767" t="e">
        <f>VLOOKUP($A7,'汇总-累计'!$B$5:$AH$23,30,0)</f>
        <v>#N/A</v>
      </c>
      <c r="AC7" s="759" t="e">
        <f t="shared" si="13"/>
        <v>#N/A</v>
      </c>
      <c r="AD7" s="768" t="e">
        <f>VLOOKUP($A7,'汇总-累计'!$B$5:$AH$23,31,0)</f>
        <v>#N/A</v>
      </c>
      <c r="AE7" s="759" t="e">
        <f t="shared" si="14"/>
        <v>#N/A</v>
      </c>
      <c r="AF7" s="767" t="e">
        <f>VLOOKUP($A7,'汇总-累计'!$B$5:$AH$23,32,0)</f>
        <v>#N/A</v>
      </c>
      <c r="AG7" s="759" t="e">
        <f t="shared" si="15"/>
        <v>#N/A</v>
      </c>
      <c r="AH7" s="767" t="e">
        <f>VLOOKUP($A7,'汇总-累计'!$B$5:$AH$23,33,0)</f>
        <v>#N/A</v>
      </c>
      <c r="AI7" s="759" t="e">
        <f t="shared" si="16"/>
        <v>#N/A</v>
      </c>
    </row>
    <row r="8" spans="1:35">
      <c r="A8" s="759" t="s">
        <v>67</v>
      </c>
      <c r="B8" s="765" t="e">
        <f>VLOOKUP($A8,'汇总-累计'!$B$5:$AH$23,2,0)</f>
        <v>#N/A</v>
      </c>
      <c r="C8" s="759" t="e">
        <f t="shared" si="0"/>
        <v>#N/A</v>
      </c>
      <c r="D8" s="765" t="e">
        <f>VLOOKUP($A8,'汇总-累计'!$B$5:$AH$23,8,0)</f>
        <v>#N/A</v>
      </c>
      <c r="E8" s="759" t="e">
        <f t="shared" si="1"/>
        <v>#N/A</v>
      </c>
      <c r="F8" s="765" t="e">
        <f>VLOOKUP($A8,'汇总-累计'!$B$5:$AH$23,14,0)</f>
        <v>#N/A</v>
      </c>
      <c r="G8" s="759" t="e">
        <f t="shared" si="2"/>
        <v>#N/A</v>
      </c>
      <c r="H8" s="766" t="e">
        <f>VLOOKUP($A8,'汇总-累计'!$B$5:$AH$23,20,0)</f>
        <v>#N/A</v>
      </c>
      <c r="I8" s="759" t="e">
        <f t="shared" si="3"/>
        <v>#N/A</v>
      </c>
      <c r="J8" s="767" t="e">
        <f>VLOOKUP($A8,'汇总-累计'!$B$5:$AH$23,21,0)</f>
        <v>#N/A</v>
      </c>
      <c r="K8" s="759" t="e">
        <f t="shared" si="4"/>
        <v>#N/A</v>
      </c>
      <c r="L8" s="767" t="e">
        <f>VLOOKUP($A8,'汇总-累计'!$B$5:$AH$23,22,0)</f>
        <v>#N/A</v>
      </c>
      <c r="M8" s="759" t="e">
        <f t="shared" si="5"/>
        <v>#N/A</v>
      </c>
      <c r="N8" s="768" t="e">
        <f>VLOOKUP($A8,'汇总-累计'!$B$5:$AH$23,23,0)</f>
        <v>#N/A</v>
      </c>
      <c r="O8" s="759" t="e">
        <f t="shared" si="6"/>
        <v>#N/A</v>
      </c>
      <c r="P8" s="768" t="e">
        <f>VLOOKUP($A8,'汇总-累计'!$B$5:$AH$23,24,0)</f>
        <v>#N/A</v>
      </c>
      <c r="Q8" s="759" t="e">
        <f t="shared" si="7"/>
        <v>#N/A</v>
      </c>
      <c r="R8" s="768" t="e">
        <f>VLOOKUP($A8,'汇总-累计'!$B$5:$AH$23,25,0)</f>
        <v>#N/A</v>
      </c>
      <c r="S8" s="759" t="e">
        <f t="shared" si="8"/>
        <v>#N/A</v>
      </c>
      <c r="T8" s="767" t="e">
        <f>VLOOKUP($A8,'汇总-累计'!$B$5:$AH$23,26,0)</f>
        <v>#N/A</v>
      </c>
      <c r="U8" s="759" t="e">
        <f t="shared" si="9"/>
        <v>#N/A</v>
      </c>
      <c r="V8" s="767" t="e">
        <f>VLOOKUP($A8,'汇总-累计'!$B$5:$AH$23,27,0)</f>
        <v>#N/A</v>
      </c>
      <c r="W8" s="759" t="e">
        <f t="shared" si="10"/>
        <v>#N/A</v>
      </c>
      <c r="X8" s="768" t="e">
        <f>VLOOKUP($A8,'汇总-累计'!$B$5:$AH$23,28,0)</f>
        <v>#N/A</v>
      </c>
      <c r="Y8" s="759" t="e">
        <f t="shared" si="11"/>
        <v>#N/A</v>
      </c>
      <c r="Z8" s="767" t="e">
        <f>VLOOKUP($A8,'汇总-累计'!$B$5:$AH$23,29,0)</f>
        <v>#N/A</v>
      </c>
      <c r="AA8" s="759" t="e">
        <f t="shared" si="12"/>
        <v>#N/A</v>
      </c>
      <c r="AB8" s="767" t="e">
        <f>VLOOKUP($A8,'汇总-累计'!$B$5:$AH$23,30,0)</f>
        <v>#N/A</v>
      </c>
      <c r="AC8" s="759" t="e">
        <f t="shared" si="13"/>
        <v>#N/A</v>
      </c>
      <c r="AD8" s="768" t="e">
        <f>VLOOKUP($A8,'汇总-累计'!$B$5:$AH$23,31,0)</f>
        <v>#N/A</v>
      </c>
      <c r="AE8" s="759" t="e">
        <f t="shared" si="14"/>
        <v>#N/A</v>
      </c>
      <c r="AF8" s="767" t="e">
        <f>VLOOKUP($A8,'汇总-累计'!$B$5:$AH$23,32,0)</f>
        <v>#N/A</v>
      </c>
      <c r="AG8" s="759" t="e">
        <f t="shared" si="15"/>
        <v>#N/A</v>
      </c>
      <c r="AH8" s="767" t="e">
        <f>VLOOKUP($A8,'汇总-累计'!$B$5:$AH$23,33,0)</f>
        <v>#N/A</v>
      </c>
      <c r="AI8" s="759" t="e">
        <f t="shared" si="16"/>
        <v>#N/A</v>
      </c>
    </row>
    <row r="9" spans="1:35">
      <c r="A9" s="759" t="s">
        <v>35</v>
      </c>
      <c r="B9" s="765" t="e">
        <f>VLOOKUP($A9,'汇总-累计'!$B$5:$AH$23,2,0)</f>
        <v>#N/A</v>
      </c>
      <c r="C9" s="759" t="e">
        <f t="shared" si="0"/>
        <v>#N/A</v>
      </c>
      <c r="D9" s="765" t="e">
        <f>VLOOKUP($A9,'汇总-累计'!$B$5:$AH$23,8,0)</f>
        <v>#N/A</v>
      </c>
      <c r="E9" s="759" t="e">
        <f t="shared" si="1"/>
        <v>#N/A</v>
      </c>
      <c r="F9" s="765" t="e">
        <f>VLOOKUP($A9,'汇总-累计'!$B$5:$AH$23,14,0)</f>
        <v>#N/A</v>
      </c>
      <c r="G9" s="759" t="e">
        <f t="shared" si="2"/>
        <v>#N/A</v>
      </c>
      <c r="H9" s="766" t="e">
        <f>VLOOKUP($A9,'汇总-累计'!$B$5:$AH$23,20,0)</f>
        <v>#N/A</v>
      </c>
      <c r="I9" s="759" t="e">
        <f t="shared" si="3"/>
        <v>#N/A</v>
      </c>
      <c r="J9" s="767" t="e">
        <f>VLOOKUP($A9,'汇总-累计'!$B$5:$AH$23,21,0)</f>
        <v>#N/A</v>
      </c>
      <c r="K9" s="759" t="e">
        <f t="shared" si="4"/>
        <v>#N/A</v>
      </c>
      <c r="L9" s="767" t="e">
        <f>VLOOKUP($A9,'汇总-累计'!$B$5:$AH$23,22,0)</f>
        <v>#N/A</v>
      </c>
      <c r="M9" s="759" t="e">
        <f t="shared" si="5"/>
        <v>#N/A</v>
      </c>
      <c r="N9" s="768" t="e">
        <f>VLOOKUP($A9,'汇总-累计'!$B$5:$AH$23,23,0)</f>
        <v>#N/A</v>
      </c>
      <c r="O9" s="759" t="e">
        <f t="shared" si="6"/>
        <v>#N/A</v>
      </c>
      <c r="P9" s="768" t="e">
        <f>VLOOKUP($A9,'汇总-累计'!$B$5:$AH$23,24,0)</f>
        <v>#N/A</v>
      </c>
      <c r="Q9" s="759" t="e">
        <f t="shared" si="7"/>
        <v>#N/A</v>
      </c>
      <c r="R9" s="768" t="e">
        <f>VLOOKUP($A9,'汇总-累计'!$B$5:$AH$23,25,0)</f>
        <v>#N/A</v>
      </c>
      <c r="S9" s="759" t="e">
        <f t="shared" si="8"/>
        <v>#N/A</v>
      </c>
      <c r="T9" s="767" t="e">
        <f>VLOOKUP($A9,'汇总-累计'!$B$5:$AH$23,26,0)</f>
        <v>#N/A</v>
      </c>
      <c r="U9" s="759" t="e">
        <f t="shared" si="9"/>
        <v>#N/A</v>
      </c>
      <c r="V9" s="767" t="e">
        <f>VLOOKUP($A9,'汇总-累计'!$B$5:$AH$23,27,0)</f>
        <v>#N/A</v>
      </c>
      <c r="W9" s="759" t="e">
        <f t="shared" si="10"/>
        <v>#N/A</v>
      </c>
      <c r="X9" s="768" t="e">
        <f>VLOOKUP($A9,'汇总-累计'!$B$5:$AH$23,28,0)</f>
        <v>#N/A</v>
      </c>
      <c r="Y9" s="759" t="e">
        <f t="shared" si="11"/>
        <v>#N/A</v>
      </c>
      <c r="Z9" s="767" t="e">
        <f>VLOOKUP($A9,'汇总-累计'!$B$5:$AH$23,29,0)</f>
        <v>#N/A</v>
      </c>
      <c r="AA9" s="759" t="e">
        <f t="shared" si="12"/>
        <v>#N/A</v>
      </c>
      <c r="AB9" s="767" t="e">
        <f>VLOOKUP($A9,'汇总-累计'!$B$5:$AH$23,30,0)</f>
        <v>#N/A</v>
      </c>
      <c r="AC9" s="759" t="e">
        <f t="shared" si="13"/>
        <v>#N/A</v>
      </c>
      <c r="AD9" s="768" t="e">
        <f>VLOOKUP($A9,'汇总-累计'!$B$5:$AH$23,31,0)</f>
        <v>#N/A</v>
      </c>
      <c r="AE9" s="759" t="e">
        <f t="shared" si="14"/>
        <v>#N/A</v>
      </c>
      <c r="AF9" s="767" t="e">
        <f>VLOOKUP($A9,'汇总-累计'!$B$5:$AH$23,32,0)</f>
        <v>#N/A</v>
      </c>
      <c r="AG9" s="759" t="e">
        <f t="shared" si="15"/>
        <v>#N/A</v>
      </c>
      <c r="AH9" s="767" t="e">
        <f>VLOOKUP($A9,'汇总-累计'!$B$5:$AH$23,33,0)</f>
        <v>#N/A</v>
      </c>
      <c r="AI9" s="759" t="e">
        <f t="shared" si="16"/>
        <v>#N/A</v>
      </c>
    </row>
    <row r="10" spans="1:35">
      <c r="A10" s="759" t="s">
        <v>36</v>
      </c>
      <c r="B10" s="765" t="e">
        <f>VLOOKUP($A10,'汇总-累计'!$B$5:$AH$23,2,0)</f>
        <v>#N/A</v>
      </c>
      <c r="C10" s="759" t="e">
        <f t="shared" si="0"/>
        <v>#N/A</v>
      </c>
      <c r="D10" s="765" t="e">
        <f>VLOOKUP($A10,'汇总-累计'!$B$5:$AH$23,8,0)</f>
        <v>#N/A</v>
      </c>
      <c r="E10" s="759" t="e">
        <f t="shared" si="1"/>
        <v>#N/A</v>
      </c>
      <c r="F10" s="765" t="e">
        <f>VLOOKUP($A10,'汇总-累计'!$B$5:$AH$23,14,0)</f>
        <v>#N/A</v>
      </c>
      <c r="G10" s="759" t="e">
        <f t="shared" si="2"/>
        <v>#N/A</v>
      </c>
      <c r="H10" s="766" t="e">
        <f>VLOOKUP($A10,'汇总-累计'!$B$5:$AH$23,20,0)</f>
        <v>#N/A</v>
      </c>
      <c r="I10" s="759" t="e">
        <f t="shared" si="3"/>
        <v>#N/A</v>
      </c>
      <c r="J10" s="767" t="e">
        <f>VLOOKUP($A10,'汇总-累计'!$B$5:$AH$23,21,0)</f>
        <v>#N/A</v>
      </c>
      <c r="K10" s="759" t="e">
        <f t="shared" si="4"/>
        <v>#N/A</v>
      </c>
      <c r="L10" s="767" t="e">
        <f>VLOOKUP($A10,'汇总-累计'!$B$5:$AH$23,22,0)</f>
        <v>#N/A</v>
      </c>
      <c r="M10" s="759" t="e">
        <f t="shared" si="5"/>
        <v>#N/A</v>
      </c>
      <c r="N10" s="768" t="e">
        <f>VLOOKUP($A10,'汇总-累计'!$B$5:$AH$23,23,0)</f>
        <v>#N/A</v>
      </c>
      <c r="O10" s="759" t="e">
        <f t="shared" si="6"/>
        <v>#N/A</v>
      </c>
      <c r="P10" s="768" t="e">
        <f>VLOOKUP($A10,'汇总-累计'!$B$5:$AH$23,24,0)</f>
        <v>#N/A</v>
      </c>
      <c r="Q10" s="759" t="e">
        <f t="shared" si="7"/>
        <v>#N/A</v>
      </c>
      <c r="R10" s="768" t="e">
        <f>VLOOKUP($A10,'汇总-累计'!$B$5:$AH$23,25,0)</f>
        <v>#N/A</v>
      </c>
      <c r="S10" s="759" t="e">
        <f t="shared" si="8"/>
        <v>#N/A</v>
      </c>
      <c r="T10" s="767" t="e">
        <f>VLOOKUP($A10,'汇总-累计'!$B$5:$AH$23,26,0)</f>
        <v>#N/A</v>
      </c>
      <c r="U10" s="759" t="e">
        <f t="shared" si="9"/>
        <v>#N/A</v>
      </c>
      <c r="V10" s="767" t="e">
        <f>VLOOKUP($A10,'汇总-累计'!$B$5:$AH$23,27,0)</f>
        <v>#N/A</v>
      </c>
      <c r="W10" s="759" t="e">
        <f t="shared" si="10"/>
        <v>#N/A</v>
      </c>
      <c r="X10" s="768" t="e">
        <f>VLOOKUP($A10,'汇总-累计'!$B$5:$AH$23,28,0)</f>
        <v>#N/A</v>
      </c>
      <c r="Y10" s="759" t="e">
        <f t="shared" si="11"/>
        <v>#N/A</v>
      </c>
      <c r="Z10" s="767" t="e">
        <f>VLOOKUP($A10,'汇总-累计'!$B$5:$AH$23,29,0)</f>
        <v>#N/A</v>
      </c>
      <c r="AA10" s="759" t="e">
        <f t="shared" si="12"/>
        <v>#N/A</v>
      </c>
      <c r="AB10" s="767" t="e">
        <f>VLOOKUP($A10,'汇总-累计'!$B$5:$AH$23,30,0)</f>
        <v>#N/A</v>
      </c>
      <c r="AC10" s="759" t="e">
        <f t="shared" si="13"/>
        <v>#N/A</v>
      </c>
      <c r="AD10" s="768" t="e">
        <f>VLOOKUP($A10,'汇总-累计'!$B$5:$AH$23,31,0)</f>
        <v>#N/A</v>
      </c>
      <c r="AE10" s="759" t="e">
        <f t="shared" si="14"/>
        <v>#N/A</v>
      </c>
      <c r="AF10" s="767" t="e">
        <f>VLOOKUP($A10,'汇总-累计'!$B$5:$AH$23,32,0)</f>
        <v>#N/A</v>
      </c>
      <c r="AG10" s="759" t="e">
        <f t="shared" si="15"/>
        <v>#N/A</v>
      </c>
      <c r="AH10" s="767" t="e">
        <f>VLOOKUP($A10,'汇总-累计'!$B$5:$AH$23,33,0)</f>
        <v>#N/A</v>
      </c>
      <c r="AI10" s="759" t="e">
        <f t="shared" si="16"/>
        <v>#N/A</v>
      </c>
    </row>
    <row r="11" spans="1:35">
      <c r="A11" s="759" t="s">
        <v>37</v>
      </c>
      <c r="B11" s="765" t="e">
        <f>VLOOKUP($A11,'汇总-累计'!$B$5:$AH$23,2,0)</f>
        <v>#N/A</v>
      </c>
      <c r="C11" s="759" t="e">
        <f t="shared" si="0"/>
        <v>#N/A</v>
      </c>
      <c r="D11" s="765" t="e">
        <f>VLOOKUP($A11,'汇总-累计'!$B$5:$AH$23,8,0)</f>
        <v>#N/A</v>
      </c>
      <c r="E11" s="759" t="e">
        <f t="shared" si="1"/>
        <v>#N/A</v>
      </c>
      <c r="F11" s="765" t="e">
        <f>VLOOKUP($A11,'汇总-累计'!$B$5:$AH$23,14,0)</f>
        <v>#N/A</v>
      </c>
      <c r="G11" s="759" t="e">
        <f t="shared" si="2"/>
        <v>#N/A</v>
      </c>
      <c r="H11" s="766" t="e">
        <f>VLOOKUP($A11,'汇总-累计'!$B$5:$AH$23,20,0)</f>
        <v>#N/A</v>
      </c>
      <c r="I11" s="759" t="e">
        <f t="shared" si="3"/>
        <v>#N/A</v>
      </c>
      <c r="J11" s="767" t="e">
        <f>VLOOKUP($A11,'汇总-累计'!$B$5:$AH$23,21,0)</f>
        <v>#N/A</v>
      </c>
      <c r="K11" s="759" t="e">
        <f t="shared" si="4"/>
        <v>#N/A</v>
      </c>
      <c r="L11" s="767" t="e">
        <f>VLOOKUP($A11,'汇总-累计'!$B$5:$AH$23,22,0)</f>
        <v>#N/A</v>
      </c>
      <c r="M11" s="759" t="e">
        <f t="shared" si="5"/>
        <v>#N/A</v>
      </c>
      <c r="N11" s="768" t="e">
        <f>VLOOKUP($A11,'汇总-累计'!$B$5:$AH$23,23,0)</f>
        <v>#N/A</v>
      </c>
      <c r="O11" s="759" t="e">
        <f t="shared" si="6"/>
        <v>#N/A</v>
      </c>
      <c r="P11" s="768" t="e">
        <f>VLOOKUP($A11,'汇总-累计'!$B$5:$AH$23,24,0)</f>
        <v>#N/A</v>
      </c>
      <c r="Q11" s="759" t="e">
        <f t="shared" si="7"/>
        <v>#N/A</v>
      </c>
      <c r="R11" s="768" t="e">
        <f>VLOOKUP($A11,'汇总-累计'!$B$5:$AH$23,25,0)</f>
        <v>#N/A</v>
      </c>
      <c r="S11" s="759" t="e">
        <f t="shared" si="8"/>
        <v>#N/A</v>
      </c>
      <c r="T11" s="767" t="e">
        <f>VLOOKUP($A11,'汇总-累计'!$B$5:$AH$23,26,0)</f>
        <v>#N/A</v>
      </c>
      <c r="U11" s="759" t="e">
        <f t="shared" si="9"/>
        <v>#N/A</v>
      </c>
      <c r="V11" s="767" t="e">
        <f>VLOOKUP($A11,'汇总-累计'!$B$5:$AH$23,27,0)</f>
        <v>#N/A</v>
      </c>
      <c r="W11" s="759" t="e">
        <f t="shared" si="10"/>
        <v>#N/A</v>
      </c>
      <c r="X11" s="768" t="e">
        <f>VLOOKUP($A11,'汇总-累计'!$B$5:$AH$23,28,0)</f>
        <v>#N/A</v>
      </c>
      <c r="Y11" s="759" t="e">
        <f t="shared" si="11"/>
        <v>#N/A</v>
      </c>
      <c r="Z11" s="767" t="e">
        <f>VLOOKUP($A11,'汇总-累计'!$B$5:$AH$23,29,0)</f>
        <v>#N/A</v>
      </c>
      <c r="AA11" s="759" t="e">
        <f t="shared" si="12"/>
        <v>#N/A</v>
      </c>
      <c r="AB11" s="767" t="e">
        <f>VLOOKUP($A11,'汇总-累计'!$B$5:$AH$23,30,0)</f>
        <v>#N/A</v>
      </c>
      <c r="AC11" s="759" t="e">
        <f t="shared" si="13"/>
        <v>#N/A</v>
      </c>
      <c r="AD11" s="768" t="e">
        <f>VLOOKUP($A11,'汇总-累计'!$B$5:$AH$23,31,0)</f>
        <v>#N/A</v>
      </c>
      <c r="AE11" s="759" t="e">
        <f t="shared" si="14"/>
        <v>#N/A</v>
      </c>
      <c r="AF11" s="767" t="e">
        <f>VLOOKUP($A11,'汇总-累计'!$B$5:$AH$23,32,0)</f>
        <v>#N/A</v>
      </c>
      <c r="AG11" s="759" t="e">
        <f t="shared" si="15"/>
        <v>#N/A</v>
      </c>
      <c r="AH11" s="767" t="e">
        <f>VLOOKUP($A11,'汇总-累计'!$B$5:$AH$23,33,0)</f>
        <v>#N/A</v>
      </c>
      <c r="AI11" s="759" t="e">
        <f t="shared" si="16"/>
        <v>#N/A</v>
      </c>
    </row>
    <row r="12" spans="1:35">
      <c r="A12" s="759" t="s">
        <v>38</v>
      </c>
      <c r="B12" s="765" t="e">
        <f>VLOOKUP($A12,'汇总-累计'!$B$5:$AH$23,2,0)</f>
        <v>#N/A</v>
      </c>
      <c r="C12" s="759" t="e">
        <f t="shared" si="0"/>
        <v>#N/A</v>
      </c>
      <c r="D12" s="765" t="e">
        <f>VLOOKUP($A12,'汇总-累计'!$B$5:$AH$23,8,0)</f>
        <v>#N/A</v>
      </c>
      <c r="E12" s="759" t="e">
        <f t="shared" si="1"/>
        <v>#N/A</v>
      </c>
      <c r="F12" s="765" t="e">
        <f>VLOOKUP($A12,'汇总-累计'!$B$5:$AH$23,14,0)</f>
        <v>#N/A</v>
      </c>
      <c r="G12" s="759" t="e">
        <f t="shared" si="2"/>
        <v>#N/A</v>
      </c>
      <c r="H12" s="766" t="e">
        <f>VLOOKUP($A12,'汇总-累计'!$B$5:$AH$23,20,0)</f>
        <v>#N/A</v>
      </c>
      <c r="I12" s="759" t="e">
        <f t="shared" si="3"/>
        <v>#N/A</v>
      </c>
      <c r="J12" s="767" t="e">
        <f>VLOOKUP($A12,'汇总-累计'!$B$5:$AH$23,21,0)</f>
        <v>#N/A</v>
      </c>
      <c r="K12" s="759" t="e">
        <f t="shared" si="4"/>
        <v>#N/A</v>
      </c>
      <c r="L12" s="767" t="e">
        <f>VLOOKUP($A12,'汇总-累计'!$B$5:$AH$23,22,0)</f>
        <v>#N/A</v>
      </c>
      <c r="M12" s="759" t="e">
        <f t="shared" si="5"/>
        <v>#N/A</v>
      </c>
      <c r="N12" s="768" t="e">
        <f>VLOOKUP($A12,'汇总-累计'!$B$5:$AH$23,23,0)</f>
        <v>#N/A</v>
      </c>
      <c r="O12" s="759" t="e">
        <f t="shared" si="6"/>
        <v>#N/A</v>
      </c>
      <c r="P12" s="768" t="e">
        <f>VLOOKUP($A12,'汇总-累计'!$B$5:$AH$23,24,0)</f>
        <v>#N/A</v>
      </c>
      <c r="Q12" s="759" t="e">
        <f t="shared" si="7"/>
        <v>#N/A</v>
      </c>
      <c r="R12" s="768" t="e">
        <f>VLOOKUP($A12,'汇总-累计'!$B$5:$AH$23,25,0)</f>
        <v>#N/A</v>
      </c>
      <c r="S12" s="759" t="e">
        <f t="shared" si="8"/>
        <v>#N/A</v>
      </c>
      <c r="T12" s="767" t="e">
        <f>VLOOKUP($A12,'汇总-累计'!$B$5:$AH$23,26,0)</f>
        <v>#N/A</v>
      </c>
      <c r="U12" s="759" t="e">
        <f t="shared" si="9"/>
        <v>#N/A</v>
      </c>
      <c r="V12" s="767" t="e">
        <f>VLOOKUP($A12,'汇总-累计'!$B$5:$AH$23,27,0)</f>
        <v>#N/A</v>
      </c>
      <c r="W12" s="759" t="e">
        <f t="shared" si="10"/>
        <v>#N/A</v>
      </c>
      <c r="X12" s="768" t="e">
        <f>VLOOKUP($A12,'汇总-累计'!$B$5:$AH$23,28,0)</f>
        <v>#N/A</v>
      </c>
      <c r="Y12" s="759" t="e">
        <f t="shared" si="11"/>
        <v>#N/A</v>
      </c>
      <c r="Z12" s="767" t="e">
        <f>VLOOKUP($A12,'汇总-累计'!$B$5:$AH$23,29,0)</f>
        <v>#N/A</v>
      </c>
      <c r="AA12" s="759" t="e">
        <f t="shared" si="12"/>
        <v>#N/A</v>
      </c>
      <c r="AB12" s="767" t="e">
        <f>VLOOKUP($A12,'汇总-累计'!$B$5:$AH$23,30,0)</f>
        <v>#N/A</v>
      </c>
      <c r="AC12" s="759" t="e">
        <f t="shared" si="13"/>
        <v>#N/A</v>
      </c>
      <c r="AD12" s="768" t="e">
        <f>VLOOKUP($A12,'汇总-累计'!$B$5:$AH$23,31,0)</f>
        <v>#N/A</v>
      </c>
      <c r="AE12" s="759" t="e">
        <f t="shared" si="14"/>
        <v>#N/A</v>
      </c>
      <c r="AF12" s="767" t="e">
        <f>VLOOKUP($A12,'汇总-累计'!$B$5:$AH$23,32,0)</f>
        <v>#N/A</v>
      </c>
      <c r="AG12" s="759" t="e">
        <f t="shared" si="15"/>
        <v>#N/A</v>
      </c>
      <c r="AH12" s="767" t="e">
        <f>VLOOKUP($A12,'汇总-累计'!$B$5:$AH$23,33,0)</f>
        <v>#N/A</v>
      </c>
      <c r="AI12" s="759" t="e">
        <f t="shared" si="16"/>
        <v>#N/A</v>
      </c>
    </row>
    <row r="13" spans="1:35">
      <c r="A13" s="759" t="s">
        <v>39</v>
      </c>
      <c r="B13" s="765" t="e">
        <f>VLOOKUP($A13,'汇总-累计'!$B$5:$AH$23,2,0)</f>
        <v>#N/A</v>
      </c>
      <c r="C13" s="759" t="e">
        <f t="shared" si="0"/>
        <v>#N/A</v>
      </c>
      <c r="D13" s="765" t="e">
        <f>VLOOKUP($A13,'汇总-累计'!$B$5:$AH$23,8,0)</f>
        <v>#N/A</v>
      </c>
      <c r="E13" s="759" t="e">
        <f t="shared" si="1"/>
        <v>#N/A</v>
      </c>
      <c r="F13" s="765" t="e">
        <f>VLOOKUP($A13,'汇总-累计'!$B$5:$AH$23,14,0)</f>
        <v>#N/A</v>
      </c>
      <c r="G13" s="759" t="e">
        <f t="shared" si="2"/>
        <v>#N/A</v>
      </c>
      <c r="H13" s="766" t="e">
        <f>VLOOKUP($A13,'汇总-累计'!$B$5:$AH$23,20,0)</f>
        <v>#N/A</v>
      </c>
      <c r="I13" s="759" t="e">
        <f t="shared" si="3"/>
        <v>#N/A</v>
      </c>
      <c r="J13" s="767" t="e">
        <f>VLOOKUP($A13,'汇总-累计'!$B$5:$AH$23,21,0)</f>
        <v>#N/A</v>
      </c>
      <c r="K13" s="759" t="e">
        <f t="shared" si="4"/>
        <v>#N/A</v>
      </c>
      <c r="L13" s="767" t="e">
        <f>VLOOKUP($A13,'汇总-累计'!$B$5:$AH$23,22,0)</f>
        <v>#N/A</v>
      </c>
      <c r="M13" s="759" t="e">
        <f t="shared" si="5"/>
        <v>#N/A</v>
      </c>
      <c r="N13" s="768" t="e">
        <f>VLOOKUP($A13,'汇总-累计'!$B$5:$AH$23,23,0)</f>
        <v>#N/A</v>
      </c>
      <c r="O13" s="759" t="e">
        <f t="shared" si="6"/>
        <v>#N/A</v>
      </c>
      <c r="P13" s="768" t="e">
        <f>VLOOKUP($A13,'汇总-累计'!$B$5:$AH$23,24,0)</f>
        <v>#N/A</v>
      </c>
      <c r="Q13" s="759" t="e">
        <f t="shared" si="7"/>
        <v>#N/A</v>
      </c>
      <c r="R13" s="768" t="e">
        <f>VLOOKUP($A13,'汇总-累计'!$B$5:$AH$23,25,0)</f>
        <v>#N/A</v>
      </c>
      <c r="S13" s="759" t="e">
        <f t="shared" si="8"/>
        <v>#N/A</v>
      </c>
      <c r="T13" s="767" t="e">
        <f>VLOOKUP($A13,'汇总-累计'!$B$5:$AH$23,26,0)</f>
        <v>#N/A</v>
      </c>
      <c r="U13" s="759" t="e">
        <f t="shared" si="9"/>
        <v>#N/A</v>
      </c>
      <c r="V13" s="767" t="e">
        <f>VLOOKUP($A13,'汇总-累计'!$B$5:$AH$23,27,0)</f>
        <v>#N/A</v>
      </c>
      <c r="W13" s="759" t="e">
        <f t="shared" si="10"/>
        <v>#N/A</v>
      </c>
      <c r="X13" s="768" t="e">
        <f>VLOOKUP($A13,'汇总-累计'!$B$5:$AH$23,28,0)</f>
        <v>#N/A</v>
      </c>
      <c r="Y13" s="759" t="e">
        <f t="shared" si="11"/>
        <v>#N/A</v>
      </c>
      <c r="Z13" s="767" t="e">
        <f>VLOOKUP($A13,'汇总-累计'!$B$5:$AH$23,29,0)</f>
        <v>#N/A</v>
      </c>
      <c r="AA13" s="759" t="e">
        <f t="shared" si="12"/>
        <v>#N/A</v>
      </c>
      <c r="AB13" s="767" t="e">
        <f>VLOOKUP($A13,'汇总-累计'!$B$5:$AH$23,30,0)</f>
        <v>#N/A</v>
      </c>
      <c r="AC13" s="759" t="e">
        <f t="shared" si="13"/>
        <v>#N/A</v>
      </c>
      <c r="AD13" s="768" t="e">
        <f>VLOOKUP($A13,'汇总-累计'!$B$5:$AH$23,31,0)</f>
        <v>#N/A</v>
      </c>
      <c r="AE13" s="759" t="e">
        <f t="shared" si="14"/>
        <v>#N/A</v>
      </c>
      <c r="AF13" s="767" t="e">
        <f>VLOOKUP($A13,'汇总-累计'!$B$5:$AH$23,32,0)</f>
        <v>#N/A</v>
      </c>
      <c r="AG13" s="759" t="e">
        <f t="shared" si="15"/>
        <v>#N/A</v>
      </c>
      <c r="AH13" s="767" t="e">
        <f>VLOOKUP($A13,'汇总-累计'!$B$5:$AH$23,33,0)</f>
        <v>#N/A</v>
      </c>
      <c r="AI13" s="759" t="e">
        <f t="shared" si="16"/>
        <v>#N/A</v>
      </c>
    </row>
    <row r="14" spans="1:35">
      <c r="A14" s="759" t="s">
        <v>40</v>
      </c>
      <c r="B14" s="765" t="e">
        <f>VLOOKUP($A14,'汇总-累计'!$B$5:$AH$23,2,0)</f>
        <v>#N/A</v>
      </c>
      <c r="C14" s="759" t="e">
        <f t="shared" si="0"/>
        <v>#N/A</v>
      </c>
      <c r="D14" s="765" t="e">
        <f>VLOOKUP($A14,'汇总-累计'!$B$5:$AH$23,8,0)</f>
        <v>#N/A</v>
      </c>
      <c r="E14" s="759" t="e">
        <f t="shared" si="1"/>
        <v>#N/A</v>
      </c>
      <c r="F14" s="765" t="e">
        <f>VLOOKUP($A14,'汇总-累计'!$B$5:$AH$23,14,0)</f>
        <v>#N/A</v>
      </c>
      <c r="G14" s="759" t="e">
        <f t="shared" si="2"/>
        <v>#N/A</v>
      </c>
      <c r="H14" s="766" t="e">
        <f>VLOOKUP($A14,'汇总-累计'!$B$5:$AH$23,20,0)</f>
        <v>#N/A</v>
      </c>
      <c r="I14" s="759" t="e">
        <f t="shared" si="3"/>
        <v>#N/A</v>
      </c>
      <c r="J14" s="767" t="e">
        <f>VLOOKUP($A14,'汇总-累计'!$B$5:$AH$23,21,0)</f>
        <v>#N/A</v>
      </c>
      <c r="K14" s="759" t="e">
        <f t="shared" si="4"/>
        <v>#N/A</v>
      </c>
      <c r="L14" s="767" t="e">
        <f>VLOOKUP($A14,'汇总-累计'!$B$5:$AH$23,22,0)</f>
        <v>#N/A</v>
      </c>
      <c r="M14" s="759" t="e">
        <f t="shared" si="5"/>
        <v>#N/A</v>
      </c>
      <c r="N14" s="768" t="e">
        <f>VLOOKUP($A14,'汇总-累计'!$B$5:$AH$23,23,0)</f>
        <v>#N/A</v>
      </c>
      <c r="O14" s="759" t="e">
        <f t="shared" si="6"/>
        <v>#N/A</v>
      </c>
      <c r="P14" s="768" t="e">
        <f>VLOOKUP($A14,'汇总-累计'!$B$5:$AH$23,24,0)</f>
        <v>#N/A</v>
      </c>
      <c r="Q14" s="759" t="e">
        <f t="shared" si="7"/>
        <v>#N/A</v>
      </c>
      <c r="R14" s="768" t="e">
        <f>VLOOKUP($A14,'汇总-累计'!$B$5:$AH$23,25,0)</f>
        <v>#N/A</v>
      </c>
      <c r="S14" s="759" t="e">
        <f t="shared" si="8"/>
        <v>#N/A</v>
      </c>
      <c r="T14" s="767" t="e">
        <f>VLOOKUP($A14,'汇总-累计'!$B$5:$AH$23,26,0)</f>
        <v>#N/A</v>
      </c>
      <c r="U14" s="759" t="e">
        <f t="shared" si="9"/>
        <v>#N/A</v>
      </c>
      <c r="V14" s="767" t="e">
        <f>VLOOKUP($A14,'汇总-累计'!$B$5:$AH$23,27,0)</f>
        <v>#N/A</v>
      </c>
      <c r="W14" s="759" t="e">
        <f t="shared" si="10"/>
        <v>#N/A</v>
      </c>
      <c r="X14" s="768" t="e">
        <f>VLOOKUP($A14,'汇总-累计'!$B$5:$AH$23,28,0)</f>
        <v>#N/A</v>
      </c>
      <c r="Y14" s="759" t="e">
        <f t="shared" si="11"/>
        <v>#N/A</v>
      </c>
      <c r="Z14" s="767" t="e">
        <f>VLOOKUP($A14,'汇总-累计'!$B$5:$AH$23,29,0)</f>
        <v>#N/A</v>
      </c>
      <c r="AA14" s="759" t="e">
        <f t="shared" si="12"/>
        <v>#N/A</v>
      </c>
      <c r="AB14" s="767" t="e">
        <f>VLOOKUP($A14,'汇总-累计'!$B$5:$AH$23,30,0)</f>
        <v>#N/A</v>
      </c>
      <c r="AC14" s="759" t="e">
        <f t="shared" si="13"/>
        <v>#N/A</v>
      </c>
      <c r="AD14" s="768" t="e">
        <f>VLOOKUP($A14,'汇总-累计'!$B$5:$AH$23,31,0)</f>
        <v>#N/A</v>
      </c>
      <c r="AE14" s="759" t="e">
        <f t="shared" si="14"/>
        <v>#N/A</v>
      </c>
      <c r="AF14" s="767" t="e">
        <f>VLOOKUP($A14,'汇总-累计'!$B$5:$AH$23,32,0)</f>
        <v>#N/A</v>
      </c>
      <c r="AG14" s="759" t="e">
        <f t="shared" si="15"/>
        <v>#N/A</v>
      </c>
      <c r="AH14" s="767" t="e">
        <f>VLOOKUP($A14,'汇总-累计'!$B$5:$AH$23,33,0)</f>
        <v>#N/A</v>
      </c>
      <c r="AI14" s="759" t="e">
        <f t="shared" si="16"/>
        <v>#N/A</v>
      </c>
    </row>
    <row r="15" spans="1:35">
      <c r="A15" s="759" t="s">
        <v>41</v>
      </c>
      <c r="B15" s="765" t="e">
        <f>VLOOKUP($A15,'汇总-累计'!$B$5:$AH$23,2,0)</f>
        <v>#N/A</v>
      </c>
      <c r="C15" s="759" t="e">
        <f t="shared" si="0"/>
        <v>#N/A</v>
      </c>
      <c r="D15" s="765" t="e">
        <f>VLOOKUP($A15,'汇总-累计'!$B$5:$AH$23,8,0)</f>
        <v>#N/A</v>
      </c>
      <c r="E15" s="759" t="e">
        <f t="shared" si="1"/>
        <v>#N/A</v>
      </c>
      <c r="F15" s="765" t="e">
        <f>VLOOKUP($A15,'汇总-累计'!$B$5:$AH$23,14,0)</f>
        <v>#N/A</v>
      </c>
      <c r="G15" s="759" t="e">
        <f t="shared" si="2"/>
        <v>#N/A</v>
      </c>
      <c r="H15" s="766" t="e">
        <f>VLOOKUP($A15,'汇总-累计'!$B$5:$AH$23,20,0)</f>
        <v>#N/A</v>
      </c>
      <c r="I15" s="759" t="e">
        <f t="shared" si="3"/>
        <v>#N/A</v>
      </c>
      <c r="J15" s="767" t="e">
        <f>VLOOKUP($A15,'汇总-累计'!$B$5:$AH$23,21,0)</f>
        <v>#N/A</v>
      </c>
      <c r="K15" s="759" t="e">
        <f t="shared" si="4"/>
        <v>#N/A</v>
      </c>
      <c r="L15" s="767" t="e">
        <f>VLOOKUP($A15,'汇总-累计'!$B$5:$AH$23,22,0)</f>
        <v>#N/A</v>
      </c>
      <c r="M15" s="759" t="e">
        <f t="shared" si="5"/>
        <v>#N/A</v>
      </c>
      <c r="N15" s="768" t="e">
        <f>VLOOKUP($A15,'汇总-累计'!$B$5:$AH$23,23,0)</f>
        <v>#N/A</v>
      </c>
      <c r="O15" s="759" t="e">
        <f t="shared" si="6"/>
        <v>#N/A</v>
      </c>
      <c r="P15" s="768" t="e">
        <f>VLOOKUP($A15,'汇总-累计'!$B$5:$AH$23,24,0)</f>
        <v>#N/A</v>
      </c>
      <c r="Q15" s="759" t="e">
        <f t="shared" si="7"/>
        <v>#N/A</v>
      </c>
      <c r="R15" s="768" t="e">
        <f>VLOOKUP($A15,'汇总-累计'!$B$5:$AH$23,25,0)</f>
        <v>#N/A</v>
      </c>
      <c r="S15" s="759" t="e">
        <f t="shared" si="8"/>
        <v>#N/A</v>
      </c>
      <c r="T15" s="767" t="e">
        <f>VLOOKUP($A15,'汇总-累计'!$B$5:$AH$23,26,0)</f>
        <v>#N/A</v>
      </c>
      <c r="U15" s="759" t="e">
        <f t="shared" si="9"/>
        <v>#N/A</v>
      </c>
      <c r="V15" s="767" t="e">
        <f>VLOOKUP($A15,'汇总-累计'!$B$5:$AH$23,27,0)</f>
        <v>#N/A</v>
      </c>
      <c r="W15" s="759" t="e">
        <f t="shared" si="10"/>
        <v>#N/A</v>
      </c>
      <c r="X15" s="768" t="e">
        <f>VLOOKUP($A15,'汇总-累计'!$B$5:$AH$23,28,0)</f>
        <v>#N/A</v>
      </c>
      <c r="Y15" s="759" t="e">
        <f t="shared" si="11"/>
        <v>#N/A</v>
      </c>
      <c r="Z15" s="767" t="e">
        <f>VLOOKUP($A15,'汇总-累计'!$B$5:$AH$23,29,0)</f>
        <v>#N/A</v>
      </c>
      <c r="AA15" s="759" t="e">
        <f t="shared" si="12"/>
        <v>#N/A</v>
      </c>
      <c r="AB15" s="767" t="e">
        <f>VLOOKUP($A15,'汇总-累计'!$B$5:$AH$23,30,0)</f>
        <v>#N/A</v>
      </c>
      <c r="AC15" s="759" t="e">
        <f t="shared" si="13"/>
        <v>#N/A</v>
      </c>
      <c r="AD15" s="768" t="e">
        <f>VLOOKUP($A15,'汇总-累计'!$B$5:$AH$23,31,0)</f>
        <v>#N/A</v>
      </c>
      <c r="AE15" s="759" t="e">
        <f t="shared" si="14"/>
        <v>#N/A</v>
      </c>
      <c r="AF15" s="767" t="e">
        <f>VLOOKUP($A15,'汇总-累计'!$B$5:$AH$23,32,0)</f>
        <v>#N/A</v>
      </c>
      <c r="AG15" s="759" t="e">
        <f t="shared" si="15"/>
        <v>#N/A</v>
      </c>
      <c r="AH15" s="767" t="e">
        <f>VLOOKUP($A15,'汇总-累计'!$B$5:$AH$23,33,0)</f>
        <v>#N/A</v>
      </c>
      <c r="AI15" s="759" t="e">
        <f t="shared" si="16"/>
        <v>#N/A</v>
      </c>
    </row>
    <row r="16" spans="1:35">
      <c r="A16" s="759" t="s">
        <v>42</v>
      </c>
      <c r="B16" s="765" t="e">
        <f>VLOOKUP($A16,'汇总-累计'!$B$5:$AH$23,2,0)</f>
        <v>#N/A</v>
      </c>
      <c r="C16" s="759" t="e">
        <f t="shared" si="0"/>
        <v>#N/A</v>
      </c>
      <c r="D16" s="765" t="e">
        <f>VLOOKUP($A16,'汇总-累计'!$B$5:$AH$23,8,0)</f>
        <v>#N/A</v>
      </c>
      <c r="E16" s="759" t="e">
        <f t="shared" si="1"/>
        <v>#N/A</v>
      </c>
      <c r="F16" s="765" t="e">
        <f>VLOOKUP($A16,'汇总-累计'!$B$5:$AH$23,14,0)</f>
        <v>#N/A</v>
      </c>
      <c r="G16" s="759" t="e">
        <f t="shared" si="2"/>
        <v>#N/A</v>
      </c>
      <c r="H16" s="766" t="e">
        <f>VLOOKUP($A16,'汇总-累计'!$B$5:$AH$23,20,0)</f>
        <v>#N/A</v>
      </c>
      <c r="I16" s="759" t="e">
        <f t="shared" si="3"/>
        <v>#N/A</v>
      </c>
      <c r="J16" s="767" t="e">
        <f>VLOOKUP($A16,'汇总-累计'!$B$5:$AH$23,21,0)</f>
        <v>#N/A</v>
      </c>
      <c r="K16" s="759" t="e">
        <f t="shared" si="4"/>
        <v>#N/A</v>
      </c>
      <c r="L16" s="767" t="e">
        <f>VLOOKUP($A16,'汇总-累计'!$B$5:$AH$23,22,0)</f>
        <v>#N/A</v>
      </c>
      <c r="M16" s="759" t="e">
        <f t="shared" si="5"/>
        <v>#N/A</v>
      </c>
      <c r="N16" s="768" t="e">
        <f>VLOOKUP($A16,'汇总-累计'!$B$5:$AH$23,23,0)</f>
        <v>#N/A</v>
      </c>
      <c r="O16" s="759" t="e">
        <f t="shared" si="6"/>
        <v>#N/A</v>
      </c>
      <c r="P16" s="768" t="e">
        <f>VLOOKUP($A16,'汇总-累计'!$B$5:$AH$23,24,0)</f>
        <v>#N/A</v>
      </c>
      <c r="Q16" s="759" t="e">
        <f t="shared" si="7"/>
        <v>#N/A</v>
      </c>
      <c r="R16" s="768" t="e">
        <f>VLOOKUP($A16,'汇总-累计'!$B$5:$AH$23,25,0)</f>
        <v>#N/A</v>
      </c>
      <c r="S16" s="759" t="e">
        <f t="shared" si="8"/>
        <v>#N/A</v>
      </c>
      <c r="T16" s="767" t="e">
        <f>VLOOKUP($A16,'汇总-累计'!$B$5:$AH$23,26,0)</f>
        <v>#N/A</v>
      </c>
      <c r="U16" s="759" t="e">
        <f t="shared" si="9"/>
        <v>#N/A</v>
      </c>
      <c r="V16" s="767" t="e">
        <f>VLOOKUP($A16,'汇总-累计'!$B$5:$AH$23,27,0)</f>
        <v>#N/A</v>
      </c>
      <c r="W16" s="759" t="e">
        <f t="shared" si="10"/>
        <v>#N/A</v>
      </c>
      <c r="X16" s="768" t="e">
        <f>VLOOKUP($A16,'汇总-累计'!$B$5:$AH$23,28,0)</f>
        <v>#N/A</v>
      </c>
      <c r="Y16" s="759" t="e">
        <f t="shared" si="11"/>
        <v>#N/A</v>
      </c>
      <c r="Z16" s="767" t="e">
        <f>VLOOKUP($A16,'汇总-累计'!$B$5:$AH$23,29,0)</f>
        <v>#N/A</v>
      </c>
      <c r="AA16" s="759" t="e">
        <f t="shared" si="12"/>
        <v>#N/A</v>
      </c>
      <c r="AB16" s="767" t="e">
        <f>VLOOKUP($A16,'汇总-累计'!$B$5:$AH$23,30,0)</f>
        <v>#N/A</v>
      </c>
      <c r="AC16" s="759" t="e">
        <f t="shared" si="13"/>
        <v>#N/A</v>
      </c>
      <c r="AD16" s="768" t="e">
        <f>VLOOKUP($A16,'汇总-累计'!$B$5:$AH$23,31,0)</f>
        <v>#N/A</v>
      </c>
      <c r="AE16" s="759" t="e">
        <f t="shared" si="14"/>
        <v>#N/A</v>
      </c>
      <c r="AF16" s="767" t="e">
        <f>VLOOKUP($A16,'汇总-累计'!$B$5:$AH$23,32,0)</f>
        <v>#N/A</v>
      </c>
      <c r="AG16" s="759" t="e">
        <f t="shared" si="15"/>
        <v>#N/A</v>
      </c>
      <c r="AH16" s="767" t="e">
        <f>VLOOKUP($A16,'汇总-累计'!$B$5:$AH$23,33,0)</f>
        <v>#N/A</v>
      </c>
      <c r="AI16" s="759" t="e">
        <f t="shared" si="16"/>
        <v>#N/A</v>
      </c>
    </row>
    <row r="17" spans="1:35">
      <c r="A17" s="759" t="s">
        <v>43</v>
      </c>
      <c r="B17" s="765" t="e">
        <f>VLOOKUP($A17,'汇总-累计'!$B$5:$AH$23,2,0)</f>
        <v>#N/A</v>
      </c>
      <c r="C17" s="759" t="e">
        <f t="shared" si="0"/>
        <v>#N/A</v>
      </c>
      <c r="D17" s="765" t="e">
        <f>VLOOKUP($A17,'汇总-累计'!$B$5:$AH$23,8,0)</f>
        <v>#N/A</v>
      </c>
      <c r="E17" s="759" t="e">
        <f t="shared" si="1"/>
        <v>#N/A</v>
      </c>
      <c r="F17" s="765" t="e">
        <f>VLOOKUP($A17,'汇总-累计'!$B$5:$AH$23,14,0)</f>
        <v>#N/A</v>
      </c>
      <c r="G17" s="759" t="e">
        <f t="shared" si="2"/>
        <v>#N/A</v>
      </c>
      <c r="H17" s="766" t="e">
        <f>VLOOKUP($A17,'汇总-累计'!$B$5:$AH$23,20,0)</f>
        <v>#N/A</v>
      </c>
      <c r="I17" s="759" t="e">
        <f t="shared" si="3"/>
        <v>#N/A</v>
      </c>
      <c r="J17" s="767" t="e">
        <f>VLOOKUP($A17,'汇总-累计'!$B$5:$AH$23,21,0)</f>
        <v>#N/A</v>
      </c>
      <c r="K17" s="759" t="e">
        <f t="shared" si="4"/>
        <v>#N/A</v>
      </c>
      <c r="L17" s="767" t="e">
        <f>VLOOKUP($A17,'汇总-累计'!$B$5:$AH$23,22,0)</f>
        <v>#N/A</v>
      </c>
      <c r="M17" s="759" t="e">
        <f t="shared" si="5"/>
        <v>#N/A</v>
      </c>
      <c r="N17" s="768" t="e">
        <f>VLOOKUP($A17,'汇总-累计'!$B$5:$AH$23,23,0)</f>
        <v>#N/A</v>
      </c>
      <c r="O17" s="759" t="e">
        <f t="shared" si="6"/>
        <v>#N/A</v>
      </c>
      <c r="P17" s="768" t="e">
        <f>VLOOKUP($A17,'汇总-累计'!$B$5:$AH$23,24,0)</f>
        <v>#N/A</v>
      </c>
      <c r="Q17" s="759" t="e">
        <f t="shared" si="7"/>
        <v>#N/A</v>
      </c>
      <c r="R17" s="768" t="e">
        <f>VLOOKUP($A17,'汇总-累计'!$B$5:$AH$23,25,0)</f>
        <v>#N/A</v>
      </c>
      <c r="S17" s="759" t="e">
        <f t="shared" si="8"/>
        <v>#N/A</v>
      </c>
      <c r="T17" s="767" t="e">
        <f>VLOOKUP($A17,'汇总-累计'!$B$5:$AH$23,26,0)</f>
        <v>#N/A</v>
      </c>
      <c r="U17" s="759" t="e">
        <f t="shared" si="9"/>
        <v>#N/A</v>
      </c>
      <c r="V17" s="767" t="e">
        <f>VLOOKUP($A17,'汇总-累计'!$B$5:$AH$23,27,0)</f>
        <v>#N/A</v>
      </c>
      <c r="W17" s="759" t="e">
        <f t="shared" si="10"/>
        <v>#N/A</v>
      </c>
      <c r="X17" s="768" t="e">
        <f>VLOOKUP($A17,'汇总-累计'!$B$5:$AH$23,28,0)</f>
        <v>#N/A</v>
      </c>
      <c r="Y17" s="759" t="e">
        <f t="shared" si="11"/>
        <v>#N/A</v>
      </c>
      <c r="Z17" s="767" t="e">
        <f>VLOOKUP($A17,'汇总-累计'!$B$5:$AH$23,29,0)</f>
        <v>#N/A</v>
      </c>
      <c r="AA17" s="759" t="e">
        <f t="shared" si="12"/>
        <v>#N/A</v>
      </c>
      <c r="AB17" s="767" t="e">
        <f>VLOOKUP($A17,'汇总-累计'!$B$5:$AH$23,30,0)</f>
        <v>#N/A</v>
      </c>
      <c r="AC17" s="759" t="e">
        <f t="shared" si="13"/>
        <v>#N/A</v>
      </c>
      <c r="AD17" s="768" t="e">
        <f>VLOOKUP($A17,'汇总-累计'!$B$5:$AH$23,31,0)</f>
        <v>#N/A</v>
      </c>
      <c r="AE17" s="759" t="e">
        <f t="shared" si="14"/>
        <v>#N/A</v>
      </c>
      <c r="AF17" s="767" t="e">
        <f>VLOOKUP($A17,'汇总-累计'!$B$5:$AH$23,32,0)</f>
        <v>#N/A</v>
      </c>
      <c r="AG17" s="759" t="e">
        <f t="shared" si="15"/>
        <v>#N/A</v>
      </c>
      <c r="AH17" s="767" t="e">
        <f>VLOOKUP($A17,'汇总-累计'!$B$5:$AH$23,33,0)</f>
        <v>#N/A</v>
      </c>
      <c r="AI17" s="759" t="e">
        <f t="shared" si="16"/>
        <v>#N/A</v>
      </c>
    </row>
    <row r="18" spans="1:35">
      <c r="A18" s="759" t="s">
        <v>44</v>
      </c>
      <c r="B18" s="765" t="e">
        <f>VLOOKUP($A18,'汇总-累计'!$B$5:$AH$23,2,0)</f>
        <v>#N/A</v>
      </c>
      <c r="C18" s="759" t="e">
        <f t="shared" si="0"/>
        <v>#N/A</v>
      </c>
      <c r="D18" s="765" t="e">
        <f>VLOOKUP($A18,'汇总-累计'!$B$5:$AH$23,8,0)</f>
        <v>#N/A</v>
      </c>
      <c r="E18" s="759" t="e">
        <f t="shared" si="1"/>
        <v>#N/A</v>
      </c>
      <c r="F18" s="765" t="e">
        <f>VLOOKUP($A18,'汇总-累计'!$B$5:$AH$23,14,0)</f>
        <v>#N/A</v>
      </c>
      <c r="G18" s="759" t="e">
        <f t="shared" si="2"/>
        <v>#N/A</v>
      </c>
      <c r="H18" s="766" t="e">
        <f>VLOOKUP($A18,'汇总-累计'!$B$5:$AH$23,20,0)</f>
        <v>#N/A</v>
      </c>
      <c r="I18" s="759" t="e">
        <f t="shared" si="3"/>
        <v>#N/A</v>
      </c>
      <c r="J18" s="767" t="e">
        <f>VLOOKUP($A18,'汇总-累计'!$B$5:$AH$23,21,0)</f>
        <v>#N/A</v>
      </c>
      <c r="K18" s="759" t="e">
        <f t="shared" si="4"/>
        <v>#N/A</v>
      </c>
      <c r="L18" s="767" t="e">
        <f>VLOOKUP($A18,'汇总-累计'!$B$5:$AH$23,22,0)</f>
        <v>#N/A</v>
      </c>
      <c r="M18" s="759" t="e">
        <f t="shared" si="5"/>
        <v>#N/A</v>
      </c>
      <c r="N18" s="768" t="e">
        <f>VLOOKUP($A18,'汇总-累计'!$B$5:$AH$23,23,0)</f>
        <v>#N/A</v>
      </c>
      <c r="O18" s="759" t="e">
        <f t="shared" si="6"/>
        <v>#N/A</v>
      </c>
      <c r="P18" s="768" t="e">
        <f>VLOOKUP($A18,'汇总-累计'!$B$5:$AH$23,24,0)</f>
        <v>#N/A</v>
      </c>
      <c r="Q18" s="759" t="e">
        <f t="shared" si="7"/>
        <v>#N/A</v>
      </c>
      <c r="R18" s="768" t="e">
        <f>VLOOKUP($A18,'汇总-累计'!$B$5:$AH$23,25,0)</f>
        <v>#N/A</v>
      </c>
      <c r="S18" s="759" t="e">
        <f t="shared" si="8"/>
        <v>#N/A</v>
      </c>
      <c r="T18" s="767" t="e">
        <f>VLOOKUP($A18,'汇总-累计'!$B$5:$AH$23,26,0)</f>
        <v>#N/A</v>
      </c>
      <c r="U18" s="759" t="e">
        <f t="shared" si="9"/>
        <v>#N/A</v>
      </c>
      <c r="V18" s="767" t="e">
        <f>VLOOKUP($A18,'汇总-累计'!$B$5:$AH$23,27,0)</f>
        <v>#N/A</v>
      </c>
      <c r="W18" s="759" t="e">
        <f t="shared" si="10"/>
        <v>#N/A</v>
      </c>
      <c r="X18" s="768" t="e">
        <f>VLOOKUP($A18,'汇总-累计'!$B$5:$AH$23,28,0)</f>
        <v>#N/A</v>
      </c>
      <c r="Y18" s="759" t="e">
        <f t="shared" si="11"/>
        <v>#N/A</v>
      </c>
      <c r="Z18" s="767" t="e">
        <f>VLOOKUP($A18,'汇总-累计'!$B$5:$AH$23,29,0)</f>
        <v>#N/A</v>
      </c>
      <c r="AA18" s="759" t="e">
        <f t="shared" si="12"/>
        <v>#N/A</v>
      </c>
      <c r="AB18" s="767" t="e">
        <f>VLOOKUP($A18,'汇总-累计'!$B$5:$AH$23,30,0)</f>
        <v>#N/A</v>
      </c>
      <c r="AC18" s="759" t="e">
        <f t="shared" si="13"/>
        <v>#N/A</v>
      </c>
      <c r="AD18" s="768" t="e">
        <f>VLOOKUP($A18,'汇总-累计'!$B$5:$AH$23,31,0)</f>
        <v>#N/A</v>
      </c>
      <c r="AE18" s="759" t="e">
        <f t="shared" si="14"/>
        <v>#N/A</v>
      </c>
      <c r="AF18" s="767" t="e">
        <f>VLOOKUP($A18,'汇总-累计'!$B$5:$AH$23,32,0)</f>
        <v>#N/A</v>
      </c>
      <c r="AG18" s="759" t="e">
        <f t="shared" si="15"/>
        <v>#N/A</v>
      </c>
      <c r="AH18" s="767" t="e">
        <f>VLOOKUP($A18,'汇总-累计'!$B$5:$AH$23,33,0)</f>
        <v>#N/A</v>
      </c>
      <c r="AI18" s="759" t="e">
        <f t="shared" si="16"/>
        <v>#N/A</v>
      </c>
    </row>
    <row r="19" spans="1:35">
      <c r="A19" s="759" t="s">
        <v>45</v>
      </c>
      <c r="B19" s="765" t="e">
        <f>VLOOKUP($A19,'汇总-累计'!$B$5:$AH$23,2,0)</f>
        <v>#N/A</v>
      </c>
      <c r="C19" s="759" t="e">
        <f t="shared" si="0"/>
        <v>#N/A</v>
      </c>
      <c r="D19" s="765" t="e">
        <f>VLOOKUP($A19,'汇总-累计'!$B$5:$AH$23,8,0)</f>
        <v>#N/A</v>
      </c>
      <c r="E19" s="759" t="e">
        <f t="shared" si="1"/>
        <v>#N/A</v>
      </c>
      <c r="F19" s="765" t="e">
        <f>VLOOKUP($A19,'汇总-累计'!$B$5:$AH$23,14,0)</f>
        <v>#N/A</v>
      </c>
      <c r="G19" s="759" t="e">
        <f t="shared" si="2"/>
        <v>#N/A</v>
      </c>
      <c r="H19" s="766" t="e">
        <f>VLOOKUP($A19,'汇总-累计'!$B$5:$AH$23,20,0)</f>
        <v>#N/A</v>
      </c>
      <c r="I19" s="759" t="e">
        <f t="shared" si="3"/>
        <v>#N/A</v>
      </c>
      <c r="J19" s="767" t="e">
        <f>VLOOKUP($A19,'汇总-累计'!$B$5:$AH$23,21,0)</f>
        <v>#N/A</v>
      </c>
      <c r="K19" s="759" t="e">
        <f t="shared" si="4"/>
        <v>#N/A</v>
      </c>
      <c r="L19" s="767" t="e">
        <f>VLOOKUP($A19,'汇总-累计'!$B$5:$AH$23,22,0)</f>
        <v>#N/A</v>
      </c>
      <c r="M19" s="759" t="e">
        <f t="shared" si="5"/>
        <v>#N/A</v>
      </c>
      <c r="N19" s="768" t="e">
        <f>VLOOKUP($A19,'汇总-累计'!$B$5:$AH$23,23,0)</f>
        <v>#N/A</v>
      </c>
      <c r="O19" s="759" t="e">
        <f t="shared" si="6"/>
        <v>#N/A</v>
      </c>
      <c r="P19" s="768" t="e">
        <f>VLOOKUP($A19,'汇总-累计'!$B$5:$AH$23,24,0)</f>
        <v>#N/A</v>
      </c>
      <c r="Q19" s="759" t="e">
        <f t="shared" si="7"/>
        <v>#N/A</v>
      </c>
      <c r="R19" s="768" t="e">
        <f>VLOOKUP($A19,'汇总-累计'!$B$5:$AH$23,25,0)</f>
        <v>#N/A</v>
      </c>
      <c r="S19" s="759" t="e">
        <f t="shared" si="8"/>
        <v>#N/A</v>
      </c>
      <c r="T19" s="767" t="e">
        <f>VLOOKUP($A19,'汇总-累计'!$B$5:$AH$23,26,0)</f>
        <v>#N/A</v>
      </c>
      <c r="U19" s="759" t="e">
        <f t="shared" si="9"/>
        <v>#N/A</v>
      </c>
      <c r="V19" s="767" t="e">
        <f>VLOOKUP($A19,'汇总-累计'!$B$5:$AH$23,27,0)</f>
        <v>#N/A</v>
      </c>
      <c r="W19" s="759" t="e">
        <f t="shared" si="10"/>
        <v>#N/A</v>
      </c>
      <c r="X19" s="768" t="e">
        <f>VLOOKUP($A19,'汇总-累计'!$B$5:$AH$23,28,0)</f>
        <v>#N/A</v>
      </c>
      <c r="Y19" s="759" t="e">
        <f t="shared" si="11"/>
        <v>#N/A</v>
      </c>
      <c r="Z19" s="767" t="e">
        <f>VLOOKUP($A19,'汇总-累计'!$B$5:$AH$23,29,0)</f>
        <v>#N/A</v>
      </c>
      <c r="AA19" s="759" t="e">
        <f t="shared" si="12"/>
        <v>#N/A</v>
      </c>
      <c r="AB19" s="767" t="e">
        <f>VLOOKUP($A19,'汇总-累计'!$B$5:$AH$23,30,0)</f>
        <v>#N/A</v>
      </c>
      <c r="AC19" s="759" t="e">
        <f t="shared" si="13"/>
        <v>#N/A</v>
      </c>
      <c r="AD19" s="768" t="e">
        <f>VLOOKUP($A19,'汇总-累计'!$B$5:$AH$23,31,0)</f>
        <v>#N/A</v>
      </c>
      <c r="AE19" s="759" t="e">
        <f t="shared" si="14"/>
        <v>#N/A</v>
      </c>
      <c r="AF19" s="767" t="e">
        <f>VLOOKUP($A19,'汇总-累计'!$B$5:$AH$23,32,0)</f>
        <v>#N/A</v>
      </c>
      <c r="AG19" s="759" t="e">
        <f t="shared" si="15"/>
        <v>#N/A</v>
      </c>
      <c r="AH19" s="767" t="e">
        <f>VLOOKUP($A19,'汇总-累计'!$B$5:$AH$23,33,0)</f>
        <v>#N/A</v>
      </c>
      <c r="AI19" s="759" t="e">
        <f t="shared" si="16"/>
        <v>#N/A</v>
      </c>
    </row>
    <row r="20" spans="1:35">
      <c r="A20" s="759" t="s">
        <v>46</v>
      </c>
      <c r="B20" s="765" t="e">
        <f>VLOOKUP($A20,'汇总-累计'!$B$5:$AH$23,2,0)</f>
        <v>#N/A</v>
      </c>
      <c r="C20" s="759" t="e">
        <f t="shared" si="0"/>
        <v>#N/A</v>
      </c>
      <c r="D20" s="765" t="e">
        <f>VLOOKUP($A20,'汇总-累计'!$B$5:$AH$23,8,0)</f>
        <v>#N/A</v>
      </c>
      <c r="E20" s="759" t="e">
        <f t="shared" si="1"/>
        <v>#N/A</v>
      </c>
      <c r="F20" s="765" t="e">
        <f>VLOOKUP($A20,'汇总-累计'!$B$5:$AH$23,14,0)</f>
        <v>#N/A</v>
      </c>
      <c r="G20" s="759" t="e">
        <f t="shared" si="2"/>
        <v>#N/A</v>
      </c>
      <c r="H20" s="766" t="e">
        <f>VLOOKUP($A20,'汇总-累计'!$B$5:$AH$23,20,0)</f>
        <v>#N/A</v>
      </c>
      <c r="I20" s="759" t="e">
        <f t="shared" si="3"/>
        <v>#N/A</v>
      </c>
      <c r="J20" s="767" t="e">
        <f>VLOOKUP($A20,'汇总-累计'!$B$5:$AH$23,21,0)</f>
        <v>#N/A</v>
      </c>
      <c r="K20" s="759" t="e">
        <f t="shared" si="4"/>
        <v>#N/A</v>
      </c>
      <c r="L20" s="767" t="e">
        <f>VLOOKUP($A20,'汇总-累计'!$B$5:$AH$23,22,0)</f>
        <v>#N/A</v>
      </c>
      <c r="M20" s="759" t="e">
        <f t="shared" si="5"/>
        <v>#N/A</v>
      </c>
      <c r="N20" s="768" t="e">
        <f>VLOOKUP($A20,'汇总-累计'!$B$5:$AH$23,23,0)</f>
        <v>#N/A</v>
      </c>
      <c r="O20" s="759" t="e">
        <f t="shared" si="6"/>
        <v>#N/A</v>
      </c>
      <c r="P20" s="768" t="e">
        <f>VLOOKUP($A20,'汇总-累计'!$B$5:$AH$23,24,0)</f>
        <v>#N/A</v>
      </c>
      <c r="Q20" s="759" t="e">
        <f t="shared" si="7"/>
        <v>#N/A</v>
      </c>
      <c r="R20" s="768" t="e">
        <f>VLOOKUP($A20,'汇总-累计'!$B$5:$AH$23,25,0)</f>
        <v>#N/A</v>
      </c>
      <c r="S20" s="759" t="e">
        <f t="shared" si="8"/>
        <v>#N/A</v>
      </c>
      <c r="T20" s="767" t="e">
        <f>VLOOKUP($A20,'汇总-累计'!$B$5:$AH$23,26,0)</f>
        <v>#N/A</v>
      </c>
      <c r="U20" s="759" t="e">
        <f t="shared" si="9"/>
        <v>#N/A</v>
      </c>
      <c r="V20" s="767" t="e">
        <f>VLOOKUP($A20,'汇总-累计'!$B$5:$AH$23,27,0)</f>
        <v>#N/A</v>
      </c>
      <c r="W20" s="759" t="e">
        <f t="shared" si="10"/>
        <v>#N/A</v>
      </c>
      <c r="X20" s="768" t="e">
        <f>VLOOKUP($A20,'汇总-累计'!$B$5:$AH$23,28,0)</f>
        <v>#N/A</v>
      </c>
      <c r="Y20" s="759" t="e">
        <f t="shared" si="11"/>
        <v>#N/A</v>
      </c>
      <c r="Z20" s="767" t="e">
        <f>VLOOKUP($A20,'汇总-累计'!$B$5:$AH$23,29,0)</f>
        <v>#N/A</v>
      </c>
      <c r="AA20" s="759" t="e">
        <f t="shared" si="12"/>
        <v>#N/A</v>
      </c>
      <c r="AB20" s="767" t="e">
        <f>VLOOKUP($A20,'汇总-累计'!$B$5:$AH$23,30,0)</f>
        <v>#N/A</v>
      </c>
      <c r="AC20" s="759" t="e">
        <f t="shared" si="13"/>
        <v>#N/A</v>
      </c>
      <c r="AD20" s="768" t="e">
        <f>VLOOKUP($A20,'汇总-累计'!$B$5:$AH$23,31,0)</f>
        <v>#N/A</v>
      </c>
      <c r="AE20" s="759" t="e">
        <f t="shared" si="14"/>
        <v>#N/A</v>
      </c>
      <c r="AF20" s="767" t="e">
        <f>VLOOKUP($A20,'汇总-累计'!$B$5:$AH$23,32,0)</f>
        <v>#N/A</v>
      </c>
      <c r="AG20" s="759" t="e">
        <f t="shared" si="15"/>
        <v>#N/A</v>
      </c>
      <c r="AH20" s="767" t="e">
        <f>VLOOKUP($A20,'汇总-累计'!$B$5:$AH$23,33,0)</f>
        <v>#N/A</v>
      </c>
      <c r="AI20" s="759" t="e">
        <f t="shared" si="16"/>
        <v>#N/A</v>
      </c>
    </row>
    <row r="21" spans="1:35">
      <c r="A21" s="759" t="s">
        <v>47</v>
      </c>
      <c r="B21" s="765" t="e">
        <f>VLOOKUP($A21,'汇总-累计'!$B$5:$AH$23,2,0)</f>
        <v>#N/A</v>
      </c>
      <c r="C21" s="759" t="e">
        <f t="shared" si="0"/>
        <v>#N/A</v>
      </c>
      <c r="D21" s="765" t="e">
        <f>VLOOKUP($A21,'汇总-累计'!$B$5:$AH$23,8,0)</f>
        <v>#N/A</v>
      </c>
      <c r="E21" s="759" t="e">
        <f t="shared" si="1"/>
        <v>#N/A</v>
      </c>
      <c r="F21" s="765" t="e">
        <f>VLOOKUP($A21,'汇总-累计'!$B$5:$AH$23,14,0)</f>
        <v>#N/A</v>
      </c>
      <c r="G21" s="759" t="e">
        <f t="shared" si="2"/>
        <v>#N/A</v>
      </c>
      <c r="H21" s="766" t="e">
        <f>VLOOKUP($A21,'汇总-累计'!$B$5:$AH$23,20,0)</f>
        <v>#N/A</v>
      </c>
      <c r="I21" s="759" t="e">
        <f t="shared" si="3"/>
        <v>#N/A</v>
      </c>
      <c r="J21" s="767" t="e">
        <f>VLOOKUP($A21,'汇总-累计'!$B$5:$AH$23,21,0)</f>
        <v>#N/A</v>
      </c>
      <c r="K21" s="759" t="e">
        <f t="shared" si="4"/>
        <v>#N/A</v>
      </c>
      <c r="L21" s="767" t="e">
        <f>VLOOKUP($A21,'汇总-累计'!$B$5:$AH$23,22,0)</f>
        <v>#N/A</v>
      </c>
      <c r="M21" s="759" t="e">
        <f t="shared" si="5"/>
        <v>#N/A</v>
      </c>
      <c r="N21" s="768" t="e">
        <f>VLOOKUP($A21,'汇总-累计'!$B$5:$AH$23,23,0)</f>
        <v>#N/A</v>
      </c>
      <c r="O21" s="759" t="e">
        <f t="shared" si="6"/>
        <v>#N/A</v>
      </c>
      <c r="P21" s="768" t="e">
        <f>VLOOKUP($A21,'汇总-累计'!$B$5:$AH$23,24,0)</f>
        <v>#N/A</v>
      </c>
      <c r="Q21" s="759" t="e">
        <f t="shared" si="7"/>
        <v>#N/A</v>
      </c>
      <c r="R21" s="768" t="e">
        <f>VLOOKUP($A21,'汇总-累计'!$B$5:$AH$23,25,0)</f>
        <v>#N/A</v>
      </c>
      <c r="S21" s="759" t="e">
        <f t="shared" si="8"/>
        <v>#N/A</v>
      </c>
      <c r="T21" s="767" t="e">
        <f>VLOOKUP($A21,'汇总-累计'!$B$5:$AH$23,26,0)</f>
        <v>#N/A</v>
      </c>
      <c r="U21" s="759" t="e">
        <f t="shared" si="9"/>
        <v>#N/A</v>
      </c>
      <c r="V21" s="767" t="e">
        <f>VLOOKUP($A21,'汇总-累计'!$B$5:$AH$23,27,0)</f>
        <v>#N/A</v>
      </c>
      <c r="W21" s="759" t="e">
        <f t="shared" si="10"/>
        <v>#N/A</v>
      </c>
      <c r="X21" s="768" t="e">
        <f>VLOOKUP($A21,'汇总-累计'!$B$5:$AH$23,28,0)</f>
        <v>#N/A</v>
      </c>
      <c r="Y21" s="759" t="e">
        <f t="shared" si="11"/>
        <v>#N/A</v>
      </c>
      <c r="Z21" s="767" t="e">
        <f>VLOOKUP($A21,'汇总-累计'!$B$5:$AH$23,29,0)</f>
        <v>#N/A</v>
      </c>
      <c r="AA21" s="759" t="e">
        <f t="shared" si="12"/>
        <v>#N/A</v>
      </c>
      <c r="AB21" s="767" t="e">
        <f>VLOOKUP($A21,'汇总-累计'!$B$5:$AH$23,30,0)</f>
        <v>#N/A</v>
      </c>
      <c r="AC21" s="759" t="e">
        <f t="shared" si="13"/>
        <v>#N/A</v>
      </c>
      <c r="AD21" s="768" t="e">
        <f>VLOOKUP($A21,'汇总-累计'!$B$5:$AH$23,31,0)</f>
        <v>#N/A</v>
      </c>
      <c r="AE21" s="759" t="e">
        <f t="shared" si="14"/>
        <v>#N/A</v>
      </c>
      <c r="AF21" s="767" t="e">
        <f>VLOOKUP($A21,'汇总-累计'!$B$5:$AH$23,32,0)</f>
        <v>#N/A</v>
      </c>
      <c r="AG21" s="759" t="e">
        <f t="shared" si="15"/>
        <v>#N/A</v>
      </c>
      <c r="AH21" s="767" t="e">
        <f>VLOOKUP($A21,'汇总-累计'!$B$5:$AH$23,33,0)</f>
        <v>#N/A</v>
      </c>
      <c r="AI21" s="759" t="e">
        <f t="shared" si="16"/>
        <v>#N/A</v>
      </c>
    </row>
    <row r="22" spans="1:35">
      <c r="A22" s="759" t="s">
        <v>48</v>
      </c>
      <c r="B22" s="765" t="e">
        <f>VLOOKUP($A22,'汇总-累计'!$B$5:$AH$23,2,0)</f>
        <v>#N/A</v>
      </c>
      <c r="C22" s="759" t="e">
        <f t="shared" si="0"/>
        <v>#N/A</v>
      </c>
      <c r="D22" s="765" t="e">
        <f>VLOOKUP($A22,'汇总-累计'!$B$5:$AH$23,8,0)</f>
        <v>#N/A</v>
      </c>
      <c r="E22" s="759" t="e">
        <f t="shared" si="1"/>
        <v>#N/A</v>
      </c>
      <c r="F22" s="765" t="e">
        <f>VLOOKUP($A22,'汇总-累计'!$B$5:$AH$23,14,0)</f>
        <v>#N/A</v>
      </c>
      <c r="G22" s="759" t="e">
        <f t="shared" si="2"/>
        <v>#N/A</v>
      </c>
      <c r="H22" s="766" t="e">
        <f>VLOOKUP($A22,'汇总-累计'!$B$5:$AH$23,20,0)</f>
        <v>#N/A</v>
      </c>
      <c r="I22" s="759" t="e">
        <f t="shared" si="3"/>
        <v>#N/A</v>
      </c>
      <c r="J22" s="767" t="e">
        <f>VLOOKUP($A22,'汇总-累计'!$B$5:$AH$23,21,0)</f>
        <v>#N/A</v>
      </c>
      <c r="K22" s="759" t="e">
        <f t="shared" si="4"/>
        <v>#N/A</v>
      </c>
      <c r="L22" s="767" t="e">
        <f>VLOOKUP($A22,'汇总-累计'!$B$5:$AH$23,22,0)</f>
        <v>#N/A</v>
      </c>
      <c r="M22" s="759" t="e">
        <f t="shared" si="5"/>
        <v>#N/A</v>
      </c>
      <c r="N22" s="768" t="e">
        <f>VLOOKUP($A22,'汇总-累计'!$B$5:$AH$23,23,0)</f>
        <v>#N/A</v>
      </c>
      <c r="O22" s="759" t="e">
        <f t="shared" si="6"/>
        <v>#N/A</v>
      </c>
      <c r="P22" s="768" t="e">
        <f>VLOOKUP($A22,'汇总-累计'!$B$5:$AH$23,24,0)</f>
        <v>#N/A</v>
      </c>
      <c r="Q22" s="759" t="e">
        <f t="shared" si="7"/>
        <v>#N/A</v>
      </c>
      <c r="R22" s="768" t="e">
        <f>VLOOKUP($A22,'汇总-累计'!$B$5:$AH$23,25,0)</f>
        <v>#N/A</v>
      </c>
      <c r="S22" s="759" t="e">
        <f t="shared" si="8"/>
        <v>#N/A</v>
      </c>
      <c r="T22" s="767" t="e">
        <f>VLOOKUP($A22,'汇总-累计'!$B$5:$AH$23,26,0)</f>
        <v>#N/A</v>
      </c>
      <c r="U22" s="759" t="e">
        <f t="shared" si="9"/>
        <v>#N/A</v>
      </c>
      <c r="V22" s="767" t="e">
        <f>VLOOKUP($A22,'汇总-累计'!$B$5:$AH$23,27,0)</f>
        <v>#N/A</v>
      </c>
      <c r="W22" s="759" t="e">
        <f t="shared" si="10"/>
        <v>#N/A</v>
      </c>
      <c r="X22" s="768" t="e">
        <f>VLOOKUP($A22,'汇总-累计'!$B$5:$AH$23,28,0)</f>
        <v>#N/A</v>
      </c>
      <c r="Y22" s="759" t="e">
        <f t="shared" si="11"/>
        <v>#N/A</v>
      </c>
      <c r="Z22" s="767" t="e">
        <f>VLOOKUP($A22,'汇总-累计'!$B$5:$AH$23,29,0)</f>
        <v>#N/A</v>
      </c>
      <c r="AA22" s="759" t="e">
        <f t="shared" si="12"/>
        <v>#N/A</v>
      </c>
      <c r="AB22" s="767" t="e">
        <f>VLOOKUP($A22,'汇总-累计'!$B$5:$AH$23,30,0)</f>
        <v>#N/A</v>
      </c>
      <c r="AC22" s="759" t="e">
        <f t="shared" si="13"/>
        <v>#N/A</v>
      </c>
      <c r="AD22" s="768" t="e">
        <f>VLOOKUP($A22,'汇总-累计'!$B$5:$AH$23,31,0)</f>
        <v>#N/A</v>
      </c>
      <c r="AE22" s="759" t="e">
        <f t="shared" si="14"/>
        <v>#N/A</v>
      </c>
      <c r="AF22" s="767" t="e">
        <f>VLOOKUP($A22,'汇总-累计'!$B$5:$AH$23,32,0)</f>
        <v>#N/A</v>
      </c>
      <c r="AG22" s="759" t="e">
        <f t="shared" si="15"/>
        <v>#N/A</v>
      </c>
      <c r="AH22" s="767" t="e">
        <f>VLOOKUP($A22,'汇总-累计'!$B$5:$AH$23,33,0)</f>
        <v>#N/A</v>
      </c>
      <c r="AI22" s="759" t="e">
        <f t="shared" si="16"/>
        <v>#N/A</v>
      </c>
    </row>
    <row r="23" spans="1:35">
      <c r="A23" s="759" t="s">
        <v>49</v>
      </c>
      <c r="B23" s="765" t="e">
        <f>VLOOKUP($A23,'汇总-累计'!$B$5:$AH$23,2,0)</f>
        <v>#N/A</v>
      </c>
      <c r="C23" s="759" t="e">
        <f t="shared" si="0"/>
        <v>#N/A</v>
      </c>
      <c r="D23" s="765" t="e">
        <f>VLOOKUP($A23,'汇总-累计'!$B$5:$AH$23,8,0)</f>
        <v>#N/A</v>
      </c>
      <c r="E23" s="759" t="e">
        <f t="shared" si="1"/>
        <v>#N/A</v>
      </c>
      <c r="F23" s="765" t="e">
        <f>VLOOKUP($A23,'汇总-累计'!$B$5:$AH$23,14,0)</f>
        <v>#N/A</v>
      </c>
      <c r="G23" s="759" t="e">
        <f t="shared" si="2"/>
        <v>#N/A</v>
      </c>
      <c r="H23" s="766" t="e">
        <f>VLOOKUP($A23,'汇总-累计'!$B$5:$AH$23,20,0)</f>
        <v>#N/A</v>
      </c>
      <c r="I23" s="759" t="e">
        <f t="shared" si="3"/>
        <v>#N/A</v>
      </c>
      <c r="J23" s="767" t="e">
        <f>VLOOKUP($A23,'汇总-累计'!$B$5:$AH$23,21,0)</f>
        <v>#N/A</v>
      </c>
      <c r="K23" s="759" t="e">
        <f t="shared" si="4"/>
        <v>#N/A</v>
      </c>
      <c r="L23" s="767" t="e">
        <f>VLOOKUP($A23,'汇总-累计'!$B$5:$AH$23,22,0)</f>
        <v>#N/A</v>
      </c>
      <c r="M23" s="759" t="e">
        <f t="shared" si="5"/>
        <v>#N/A</v>
      </c>
      <c r="N23" s="768" t="e">
        <f>VLOOKUP($A23,'汇总-累计'!$B$5:$AH$23,23,0)</f>
        <v>#N/A</v>
      </c>
      <c r="O23" s="759" t="e">
        <f t="shared" si="6"/>
        <v>#N/A</v>
      </c>
      <c r="P23" s="768" t="e">
        <f>VLOOKUP($A23,'汇总-累计'!$B$5:$AH$23,24,0)</f>
        <v>#N/A</v>
      </c>
      <c r="Q23" s="759" t="e">
        <f t="shared" si="7"/>
        <v>#N/A</v>
      </c>
      <c r="R23" s="768" t="e">
        <f>VLOOKUP($A23,'汇总-累计'!$B$5:$AH$23,25,0)</f>
        <v>#N/A</v>
      </c>
      <c r="S23" s="759" t="e">
        <f t="shared" si="8"/>
        <v>#N/A</v>
      </c>
      <c r="T23" s="767" t="e">
        <f>VLOOKUP($A23,'汇总-累计'!$B$5:$AH$23,26,0)</f>
        <v>#N/A</v>
      </c>
      <c r="U23" s="759" t="e">
        <f t="shared" si="9"/>
        <v>#N/A</v>
      </c>
      <c r="V23" s="767" t="e">
        <f>VLOOKUP($A23,'汇总-累计'!$B$5:$AH$23,27,0)</f>
        <v>#N/A</v>
      </c>
      <c r="W23" s="759" t="e">
        <f t="shared" si="10"/>
        <v>#N/A</v>
      </c>
      <c r="X23" s="768" t="e">
        <f>VLOOKUP($A23,'汇总-累计'!$B$5:$AH$23,28,0)</f>
        <v>#N/A</v>
      </c>
      <c r="Y23" s="759" t="e">
        <f t="shared" si="11"/>
        <v>#N/A</v>
      </c>
      <c r="Z23" s="767" t="e">
        <f>VLOOKUP($A23,'汇总-累计'!$B$5:$AH$23,29,0)</f>
        <v>#N/A</v>
      </c>
      <c r="AA23" s="759" t="e">
        <f t="shared" si="12"/>
        <v>#N/A</v>
      </c>
      <c r="AB23" s="767" t="e">
        <f>VLOOKUP($A23,'汇总-累计'!$B$5:$AH$23,30,0)</f>
        <v>#N/A</v>
      </c>
      <c r="AC23" s="759" t="e">
        <f t="shared" si="13"/>
        <v>#N/A</v>
      </c>
      <c r="AD23" s="768" t="e">
        <f>VLOOKUP($A23,'汇总-累计'!$B$5:$AH$23,31,0)</f>
        <v>#N/A</v>
      </c>
      <c r="AE23" s="759" t="e">
        <f t="shared" si="14"/>
        <v>#N/A</v>
      </c>
      <c r="AF23" s="767" t="e">
        <f>VLOOKUP($A23,'汇总-累计'!$B$5:$AH$23,32,0)</f>
        <v>#N/A</v>
      </c>
      <c r="AG23" s="759" t="e">
        <f t="shared" si="15"/>
        <v>#N/A</v>
      </c>
      <c r="AH23" s="767" t="e">
        <f>VLOOKUP($A23,'汇总-累计'!$B$5:$AH$23,33,0)</f>
        <v>#N/A</v>
      </c>
      <c r="AI23" s="759" t="e">
        <f t="shared" si="16"/>
        <v>#N/A</v>
      </c>
    </row>
    <row r="24" spans="1:35">
      <c r="A24" s="759" t="s">
        <v>50</v>
      </c>
      <c r="B24" s="765" t="e">
        <f>VLOOKUP($A24,'汇总-累计'!$B$5:$AH$23,2,0)</f>
        <v>#N/A</v>
      </c>
      <c r="C24" s="759" t="e">
        <f t="shared" si="0"/>
        <v>#N/A</v>
      </c>
      <c r="D24" s="765" t="e">
        <f>VLOOKUP($A24,'汇总-累计'!$B$5:$AH$23,8,0)</f>
        <v>#N/A</v>
      </c>
      <c r="E24" s="759" t="e">
        <f t="shared" si="1"/>
        <v>#N/A</v>
      </c>
      <c r="F24" s="765" t="e">
        <f>VLOOKUP($A24,'汇总-累计'!$B$5:$AH$23,14,0)</f>
        <v>#N/A</v>
      </c>
      <c r="G24" s="759" t="e">
        <f t="shared" si="2"/>
        <v>#N/A</v>
      </c>
      <c r="H24" s="766" t="e">
        <f>VLOOKUP($A24,'汇总-累计'!$B$5:$AH$23,20,0)</f>
        <v>#N/A</v>
      </c>
      <c r="I24" s="759" t="e">
        <f t="shared" si="3"/>
        <v>#N/A</v>
      </c>
      <c r="J24" s="767" t="e">
        <f>VLOOKUP($A24,'汇总-累计'!$B$5:$AH$23,21,0)</f>
        <v>#N/A</v>
      </c>
      <c r="K24" s="759" t="e">
        <f t="shared" si="4"/>
        <v>#N/A</v>
      </c>
      <c r="L24" s="767" t="e">
        <f>VLOOKUP($A24,'汇总-累计'!$B$5:$AH$23,22,0)</f>
        <v>#N/A</v>
      </c>
      <c r="M24" s="759" t="e">
        <f t="shared" si="5"/>
        <v>#N/A</v>
      </c>
      <c r="N24" s="768" t="e">
        <f>VLOOKUP($A24,'汇总-累计'!$B$5:$AH$23,23,0)</f>
        <v>#N/A</v>
      </c>
      <c r="O24" s="759" t="e">
        <f t="shared" si="6"/>
        <v>#N/A</v>
      </c>
      <c r="P24" s="768" t="e">
        <f>VLOOKUP($A24,'汇总-累计'!$B$5:$AH$23,24,0)</f>
        <v>#N/A</v>
      </c>
      <c r="Q24" s="759" t="e">
        <f t="shared" si="7"/>
        <v>#N/A</v>
      </c>
      <c r="R24" s="768" t="e">
        <f>VLOOKUP($A24,'汇总-累计'!$B$5:$AH$23,25,0)</f>
        <v>#N/A</v>
      </c>
      <c r="S24" s="759" t="e">
        <f t="shared" si="8"/>
        <v>#N/A</v>
      </c>
      <c r="T24" s="767" t="e">
        <f>VLOOKUP($A24,'汇总-累计'!$B$5:$AH$23,26,0)</f>
        <v>#N/A</v>
      </c>
      <c r="U24" s="759" t="e">
        <f t="shared" si="9"/>
        <v>#N/A</v>
      </c>
      <c r="V24" s="767" t="e">
        <f>VLOOKUP($A24,'汇总-累计'!$B$5:$AH$23,27,0)</f>
        <v>#N/A</v>
      </c>
      <c r="W24" s="759" t="e">
        <f t="shared" si="10"/>
        <v>#N/A</v>
      </c>
      <c r="X24" s="768" t="e">
        <f>VLOOKUP($A24,'汇总-累计'!$B$5:$AH$23,28,0)</f>
        <v>#N/A</v>
      </c>
      <c r="Y24" s="759" t="e">
        <f t="shared" si="11"/>
        <v>#N/A</v>
      </c>
      <c r="Z24" s="767" t="e">
        <f>VLOOKUP($A24,'汇总-累计'!$B$5:$AH$23,29,0)</f>
        <v>#N/A</v>
      </c>
      <c r="AA24" s="759" t="e">
        <f t="shared" si="12"/>
        <v>#N/A</v>
      </c>
      <c r="AB24" s="767" t="e">
        <f>VLOOKUP($A24,'汇总-累计'!$B$5:$AH$23,30,0)</f>
        <v>#N/A</v>
      </c>
      <c r="AC24" s="759" t="e">
        <f t="shared" si="13"/>
        <v>#N/A</v>
      </c>
      <c r="AD24" s="768" t="e">
        <f>VLOOKUP($A24,'汇总-累计'!$B$5:$AH$23,31,0)</f>
        <v>#N/A</v>
      </c>
      <c r="AE24" s="759" t="e">
        <f t="shared" si="14"/>
        <v>#N/A</v>
      </c>
      <c r="AF24" s="767" t="e">
        <f>VLOOKUP($A24,'汇总-累计'!$B$5:$AH$23,32,0)</f>
        <v>#N/A</v>
      </c>
      <c r="AG24" s="759" t="e">
        <f t="shared" si="15"/>
        <v>#N/A</v>
      </c>
      <c r="AH24" s="767" t="e">
        <f>VLOOKUP($A24,'汇总-累计'!$B$5:$AH$23,33,0)</f>
        <v>#N/A</v>
      </c>
      <c r="AI24" s="759" t="e">
        <f t="shared" si="16"/>
        <v>#N/A</v>
      </c>
    </row>
    <row r="25" spans="1:35">
      <c r="A25" s="759" t="s">
        <v>51</v>
      </c>
      <c r="B25" s="765" t="e">
        <f>VLOOKUP($A25,'汇总-累计'!$B$5:$AH$23,2,0)</f>
        <v>#N/A</v>
      </c>
      <c r="C25" s="759" t="e">
        <f t="shared" si="0"/>
        <v>#N/A</v>
      </c>
      <c r="D25" s="765" t="e">
        <f>VLOOKUP($A25,'汇总-累计'!$B$5:$AH$23,8,0)</f>
        <v>#N/A</v>
      </c>
      <c r="E25" s="759" t="e">
        <f t="shared" si="1"/>
        <v>#N/A</v>
      </c>
      <c r="F25" s="765" t="e">
        <f>VLOOKUP($A25,'汇总-累计'!$B$5:$AH$23,14,0)</f>
        <v>#N/A</v>
      </c>
      <c r="G25" s="759" t="e">
        <f t="shared" si="2"/>
        <v>#N/A</v>
      </c>
      <c r="H25" s="766" t="e">
        <f>VLOOKUP($A25,'汇总-累计'!$B$5:$AH$23,20,0)</f>
        <v>#N/A</v>
      </c>
      <c r="I25" s="759" t="e">
        <f t="shared" si="3"/>
        <v>#N/A</v>
      </c>
      <c r="J25" s="767" t="e">
        <f>VLOOKUP($A25,'汇总-累计'!$B$5:$AH$23,21,0)</f>
        <v>#N/A</v>
      </c>
      <c r="K25" s="759" t="e">
        <f t="shared" si="4"/>
        <v>#N/A</v>
      </c>
      <c r="L25" s="767" t="e">
        <f>VLOOKUP($A25,'汇总-累计'!$B$5:$AH$23,22,0)</f>
        <v>#N/A</v>
      </c>
      <c r="M25" s="759" t="e">
        <f t="shared" si="5"/>
        <v>#N/A</v>
      </c>
      <c r="N25" s="768" t="e">
        <f>VLOOKUP($A25,'汇总-累计'!$B$5:$AH$23,23,0)</f>
        <v>#N/A</v>
      </c>
      <c r="O25" s="759" t="e">
        <f t="shared" si="6"/>
        <v>#N/A</v>
      </c>
      <c r="P25" s="768" t="e">
        <f>VLOOKUP($A25,'汇总-累计'!$B$5:$AH$23,24,0)</f>
        <v>#N/A</v>
      </c>
      <c r="Q25" s="759" t="e">
        <f t="shared" si="7"/>
        <v>#N/A</v>
      </c>
      <c r="R25" s="768" t="e">
        <f>VLOOKUP($A25,'汇总-累计'!$B$5:$AH$23,25,0)</f>
        <v>#N/A</v>
      </c>
      <c r="S25" s="759" t="e">
        <f t="shared" si="8"/>
        <v>#N/A</v>
      </c>
      <c r="T25" s="767" t="e">
        <f>VLOOKUP($A25,'汇总-累计'!$B$5:$AH$23,26,0)</f>
        <v>#N/A</v>
      </c>
      <c r="U25" s="759" t="e">
        <f t="shared" si="9"/>
        <v>#N/A</v>
      </c>
      <c r="V25" s="767" t="e">
        <f>VLOOKUP($A25,'汇总-累计'!$B$5:$AH$23,27,0)</f>
        <v>#N/A</v>
      </c>
      <c r="W25" s="759" t="e">
        <f t="shared" si="10"/>
        <v>#N/A</v>
      </c>
      <c r="X25" s="768" t="e">
        <f>VLOOKUP($A25,'汇总-累计'!$B$5:$AH$23,28,0)</f>
        <v>#N/A</v>
      </c>
      <c r="Y25" s="759" t="e">
        <f t="shared" si="11"/>
        <v>#N/A</v>
      </c>
      <c r="Z25" s="767" t="e">
        <f>VLOOKUP($A25,'汇总-累计'!$B$5:$AH$23,29,0)</f>
        <v>#N/A</v>
      </c>
      <c r="AA25" s="759" t="e">
        <f t="shared" si="12"/>
        <v>#N/A</v>
      </c>
      <c r="AB25" s="767" t="e">
        <f>VLOOKUP($A25,'汇总-累计'!$B$5:$AH$23,30,0)</f>
        <v>#N/A</v>
      </c>
      <c r="AC25" s="759" t="e">
        <f t="shared" si="13"/>
        <v>#N/A</v>
      </c>
      <c r="AD25" s="768" t="e">
        <f>VLOOKUP($A25,'汇总-累计'!$B$5:$AH$23,31,0)</f>
        <v>#N/A</v>
      </c>
      <c r="AE25" s="759" t="e">
        <f t="shared" si="14"/>
        <v>#N/A</v>
      </c>
      <c r="AF25" s="767" t="e">
        <f>VLOOKUP($A25,'汇总-累计'!$B$5:$AH$23,32,0)</f>
        <v>#N/A</v>
      </c>
      <c r="AG25" s="759" t="e">
        <f t="shared" si="15"/>
        <v>#N/A</v>
      </c>
      <c r="AH25" s="767" t="e">
        <f>VLOOKUP($A25,'汇总-累计'!$B$5:$AH$23,33,0)</f>
        <v>#N/A</v>
      </c>
      <c r="AI25" s="759" t="e">
        <f t="shared" si="16"/>
        <v>#N/A</v>
      </c>
    </row>
    <row r="26" spans="1:35">
      <c r="A26" s="759" t="s">
        <v>52</v>
      </c>
      <c r="B26" s="765" t="e">
        <f>VLOOKUP($A26,'汇总-累计'!$B$5:$AH$23,2,0)</f>
        <v>#N/A</v>
      </c>
      <c r="C26" s="759" t="e">
        <f t="shared" si="0"/>
        <v>#N/A</v>
      </c>
      <c r="D26" s="765" t="e">
        <f>VLOOKUP($A26,'汇总-累计'!$B$5:$AH$23,8,0)</f>
        <v>#N/A</v>
      </c>
      <c r="E26" s="759" t="e">
        <f t="shared" si="1"/>
        <v>#N/A</v>
      </c>
      <c r="F26" s="765" t="e">
        <f>VLOOKUP($A26,'汇总-累计'!$B$5:$AH$23,14,0)</f>
        <v>#N/A</v>
      </c>
      <c r="G26" s="759" t="e">
        <f t="shared" si="2"/>
        <v>#N/A</v>
      </c>
      <c r="H26" s="766" t="e">
        <f>VLOOKUP($A26,'汇总-累计'!$B$5:$AH$23,20,0)</f>
        <v>#N/A</v>
      </c>
      <c r="I26" s="759" t="e">
        <f t="shared" si="3"/>
        <v>#N/A</v>
      </c>
      <c r="J26" s="767" t="e">
        <f>VLOOKUP($A26,'汇总-累计'!$B$5:$AH$23,21,0)</f>
        <v>#N/A</v>
      </c>
      <c r="K26" s="759" t="e">
        <f t="shared" si="4"/>
        <v>#N/A</v>
      </c>
      <c r="L26" s="767" t="e">
        <f>VLOOKUP($A26,'汇总-累计'!$B$5:$AH$23,22,0)</f>
        <v>#N/A</v>
      </c>
      <c r="M26" s="759" t="e">
        <f t="shared" si="5"/>
        <v>#N/A</v>
      </c>
      <c r="N26" s="768" t="e">
        <f>VLOOKUP($A26,'汇总-累计'!$B$5:$AH$23,23,0)</f>
        <v>#N/A</v>
      </c>
      <c r="O26" s="759" t="e">
        <f t="shared" si="6"/>
        <v>#N/A</v>
      </c>
      <c r="P26" s="768" t="e">
        <f>VLOOKUP($A26,'汇总-累计'!$B$5:$AH$23,24,0)</f>
        <v>#N/A</v>
      </c>
      <c r="Q26" s="759" t="e">
        <f t="shared" si="7"/>
        <v>#N/A</v>
      </c>
      <c r="R26" s="768" t="e">
        <f>VLOOKUP($A26,'汇总-累计'!$B$5:$AH$23,25,0)</f>
        <v>#N/A</v>
      </c>
      <c r="S26" s="759" t="e">
        <f t="shared" si="8"/>
        <v>#N/A</v>
      </c>
      <c r="T26" s="767" t="e">
        <f>VLOOKUP($A26,'汇总-累计'!$B$5:$AH$23,26,0)</f>
        <v>#N/A</v>
      </c>
      <c r="U26" s="759" t="e">
        <f t="shared" si="9"/>
        <v>#N/A</v>
      </c>
      <c r="V26" s="767" t="e">
        <f>VLOOKUP($A26,'汇总-累计'!$B$5:$AH$23,27,0)</f>
        <v>#N/A</v>
      </c>
      <c r="W26" s="759" t="e">
        <f t="shared" si="10"/>
        <v>#N/A</v>
      </c>
      <c r="X26" s="768" t="e">
        <f>VLOOKUP($A26,'汇总-累计'!$B$5:$AH$23,28,0)</f>
        <v>#N/A</v>
      </c>
      <c r="Y26" s="759" t="e">
        <f t="shared" si="11"/>
        <v>#N/A</v>
      </c>
      <c r="Z26" s="767" t="e">
        <f>VLOOKUP($A26,'汇总-累计'!$B$5:$AH$23,29,0)</f>
        <v>#N/A</v>
      </c>
      <c r="AA26" s="759" t="e">
        <f t="shared" si="12"/>
        <v>#N/A</v>
      </c>
      <c r="AB26" s="767" t="e">
        <f>VLOOKUP($A26,'汇总-累计'!$B$5:$AH$23,30,0)</f>
        <v>#N/A</v>
      </c>
      <c r="AC26" s="759" t="e">
        <f t="shared" si="13"/>
        <v>#N/A</v>
      </c>
      <c r="AD26" s="768" t="e">
        <f>VLOOKUP($A26,'汇总-累计'!$B$5:$AH$23,31,0)</f>
        <v>#N/A</v>
      </c>
      <c r="AE26" s="759" t="e">
        <f t="shared" si="14"/>
        <v>#N/A</v>
      </c>
      <c r="AF26" s="767" t="e">
        <f>VLOOKUP($A26,'汇总-累计'!$B$5:$AH$23,32,0)</f>
        <v>#N/A</v>
      </c>
      <c r="AG26" s="759" t="e">
        <f t="shared" si="15"/>
        <v>#N/A</v>
      </c>
      <c r="AH26" s="767" t="e">
        <f>VLOOKUP($A26,'汇总-累计'!$B$5:$AH$23,33,0)</f>
        <v>#N/A</v>
      </c>
      <c r="AI26" s="759" t="e">
        <f t="shared" si="16"/>
        <v>#N/A</v>
      </c>
    </row>
    <row r="27" spans="1:35">
      <c r="A27" s="759" t="s">
        <v>53</v>
      </c>
      <c r="B27" s="765" t="e">
        <f>VLOOKUP($A27,'汇总-累计'!$B$5:$AH$23,2,0)</f>
        <v>#N/A</v>
      </c>
      <c r="C27" s="759" t="e">
        <f t="shared" si="0"/>
        <v>#N/A</v>
      </c>
      <c r="D27" s="765" t="e">
        <f>VLOOKUP($A27,'汇总-累计'!$B$5:$AH$23,8,0)</f>
        <v>#N/A</v>
      </c>
      <c r="E27" s="759" t="e">
        <f t="shared" si="1"/>
        <v>#N/A</v>
      </c>
      <c r="F27" s="765" t="e">
        <f>VLOOKUP($A27,'汇总-累计'!$B$5:$AH$23,14,0)</f>
        <v>#N/A</v>
      </c>
      <c r="G27" s="759" t="e">
        <f t="shared" si="2"/>
        <v>#N/A</v>
      </c>
      <c r="H27" s="766" t="e">
        <f>VLOOKUP($A27,'汇总-累计'!$B$5:$AH$23,20,0)</f>
        <v>#N/A</v>
      </c>
      <c r="I27" s="759" t="e">
        <f t="shared" si="3"/>
        <v>#N/A</v>
      </c>
      <c r="J27" s="767" t="e">
        <f>VLOOKUP($A27,'汇总-累计'!$B$5:$AH$23,21,0)</f>
        <v>#N/A</v>
      </c>
      <c r="K27" s="759" t="e">
        <f t="shared" si="4"/>
        <v>#N/A</v>
      </c>
      <c r="L27" s="767" t="e">
        <f>VLOOKUP($A27,'汇总-累计'!$B$5:$AH$23,22,0)</f>
        <v>#N/A</v>
      </c>
      <c r="M27" s="759" t="e">
        <f t="shared" si="5"/>
        <v>#N/A</v>
      </c>
      <c r="N27" s="768" t="e">
        <f>VLOOKUP($A27,'汇总-累计'!$B$5:$AH$23,23,0)</f>
        <v>#N/A</v>
      </c>
      <c r="O27" s="759" t="e">
        <f t="shared" si="6"/>
        <v>#N/A</v>
      </c>
      <c r="P27" s="768" t="e">
        <f>VLOOKUP($A27,'汇总-累计'!$B$5:$AH$23,24,0)</f>
        <v>#N/A</v>
      </c>
      <c r="Q27" s="759" t="e">
        <f t="shared" si="7"/>
        <v>#N/A</v>
      </c>
      <c r="R27" s="768" t="e">
        <f>VLOOKUP($A27,'汇总-累计'!$B$5:$AH$23,25,0)</f>
        <v>#N/A</v>
      </c>
      <c r="S27" s="759" t="e">
        <f t="shared" si="8"/>
        <v>#N/A</v>
      </c>
      <c r="T27" s="767" t="e">
        <f>VLOOKUP($A27,'汇总-累计'!$B$5:$AH$23,26,0)</f>
        <v>#N/A</v>
      </c>
      <c r="U27" s="759" t="e">
        <f t="shared" si="9"/>
        <v>#N/A</v>
      </c>
      <c r="V27" s="767" t="e">
        <f>VLOOKUP($A27,'汇总-累计'!$B$5:$AH$23,27,0)</f>
        <v>#N/A</v>
      </c>
      <c r="W27" s="759" t="e">
        <f t="shared" si="10"/>
        <v>#N/A</v>
      </c>
      <c r="X27" s="768" t="e">
        <f>VLOOKUP($A27,'汇总-累计'!$B$5:$AH$23,28,0)</f>
        <v>#N/A</v>
      </c>
      <c r="Y27" s="759" t="e">
        <f t="shared" si="11"/>
        <v>#N/A</v>
      </c>
      <c r="Z27" s="767" t="e">
        <f>VLOOKUP($A27,'汇总-累计'!$B$5:$AH$23,29,0)</f>
        <v>#N/A</v>
      </c>
      <c r="AA27" s="759" t="e">
        <f t="shared" si="12"/>
        <v>#N/A</v>
      </c>
      <c r="AB27" s="767" t="e">
        <f>VLOOKUP($A27,'汇总-累计'!$B$5:$AH$23,30,0)</f>
        <v>#N/A</v>
      </c>
      <c r="AC27" s="759" t="e">
        <f t="shared" si="13"/>
        <v>#N/A</v>
      </c>
      <c r="AD27" s="768" t="e">
        <f>VLOOKUP($A27,'汇总-累计'!$B$5:$AH$23,31,0)</f>
        <v>#N/A</v>
      </c>
      <c r="AE27" s="759" t="e">
        <f t="shared" si="14"/>
        <v>#N/A</v>
      </c>
      <c r="AF27" s="767" t="e">
        <f>VLOOKUP($A27,'汇总-累计'!$B$5:$AH$23,32,0)</f>
        <v>#N/A</v>
      </c>
      <c r="AG27" s="759" t="e">
        <f t="shared" si="15"/>
        <v>#N/A</v>
      </c>
      <c r="AH27" s="767" t="e">
        <f>VLOOKUP($A27,'汇总-累计'!$B$5:$AH$23,33,0)</f>
        <v>#N/A</v>
      </c>
      <c r="AI27" s="759" t="e">
        <f t="shared" si="16"/>
        <v>#N/A</v>
      </c>
    </row>
    <row r="28" spans="1:35">
      <c r="A28" s="759" t="s">
        <v>54</v>
      </c>
      <c r="B28" s="765" t="e">
        <f>VLOOKUP($A28,'汇总-累计'!$B$5:$AH$23,2,0)</f>
        <v>#N/A</v>
      </c>
      <c r="C28" s="759" t="e">
        <f t="shared" si="0"/>
        <v>#N/A</v>
      </c>
      <c r="D28" s="765" t="e">
        <f>VLOOKUP($A28,'汇总-累计'!$B$5:$AH$23,8,0)</f>
        <v>#N/A</v>
      </c>
      <c r="E28" s="759" t="e">
        <f t="shared" si="1"/>
        <v>#N/A</v>
      </c>
      <c r="F28" s="765" t="e">
        <f>VLOOKUP($A28,'汇总-累计'!$B$5:$AH$23,14,0)</f>
        <v>#N/A</v>
      </c>
      <c r="G28" s="759" t="e">
        <f t="shared" si="2"/>
        <v>#N/A</v>
      </c>
      <c r="H28" s="766" t="e">
        <f>VLOOKUP($A28,'汇总-累计'!$B$5:$AH$23,20,0)</f>
        <v>#N/A</v>
      </c>
      <c r="I28" s="759" t="e">
        <f t="shared" si="3"/>
        <v>#N/A</v>
      </c>
      <c r="J28" s="767" t="e">
        <f>VLOOKUP($A28,'汇总-累计'!$B$5:$AH$23,21,0)</f>
        <v>#N/A</v>
      </c>
      <c r="K28" s="759" t="e">
        <f t="shared" si="4"/>
        <v>#N/A</v>
      </c>
      <c r="L28" s="767" t="e">
        <f>VLOOKUP($A28,'汇总-累计'!$B$5:$AH$23,22,0)</f>
        <v>#N/A</v>
      </c>
      <c r="M28" s="759" t="e">
        <f t="shared" si="5"/>
        <v>#N/A</v>
      </c>
      <c r="N28" s="768" t="e">
        <f>VLOOKUP($A28,'汇总-累计'!$B$5:$AH$23,23,0)</f>
        <v>#N/A</v>
      </c>
      <c r="O28" s="759" t="e">
        <f t="shared" si="6"/>
        <v>#N/A</v>
      </c>
      <c r="P28" s="768" t="e">
        <f>VLOOKUP($A28,'汇总-累计'!$B$5:$AH$23,24,0)</f>
        <v>#N/A</v>
      </c>
      <c r="Q28" s="759" t="e">
        <f t="shared" si="7"/>
        <v>#N/A</v>
      </c>
      <c r="R28" s="768" t="e">
        <f>VLOOKUP($A28,'汇总-累计'!$B$5:$AH$23,25,0)</f>
        <v>#N/A</v>
      </c>
      <c r="S28" s="759" t="e">
        <f t="shared" si="8"/>
        <v>#N/A</v>
      </c>
      <c r="T28" s="767" t="e">
        <f>VLOOKUP($A28,'汇总-累计'!$B$5:$AH$23,26,0)</f>
        <v>#N/A</v>
      </c>
      <c r="U28" s="759" t="e">
        <f t="shared" si="9"/>
        <v>#N/A</v>
      </c>
      <c r="V28" s="767" t="e">
        <f>VLOOKUP($A28,'汇总-累计'!$B$5:$AH$23,27,0)</f>
        <v>#N/A</v>
      </c>
      <c r="W28" s="759" t="e">
        <f t="shared" si="10"/>
        <v>#N/A</v>
      </c>
      <c r="X28" s="768" t="e">
        <f>VLOOKUP($A28,'汇总-累计'!$B$5:$AH$23,28,0)</f>
        <v>#N/A</v>
      </c>
      <c r="Y28" s="759" t="e">
        <f t="shared" si="11"/>
        <v>#N/A</v>
      </c>
      <c r="Z28" s="767" t="e">
        <f>VLOOKUP($A28,'汇总-累计'!$B$5:$AH$23,29,0)</f>
        <v>#N/A</v>
      </c>
      <c r="AA28" s="759" t="e">
        <f t="shared" si="12"/>
        <v>#N/A</v>
      </c>
      <c r="AB28" s="767" t="e">
        <f>VLOOKUP($A28,'汇总-累计'!$B$5:$AH$23,30,0)</f>
        <v>#N/A</v>
      </c>
      <c r="AC28" s="759" t="e">
        <f t="shared" si="13"/>
        <v>#N/A</v>
      </c>
      <c r="AD28" s="768" t="e">
        <f>VLOOKUP($A28,'汇总-累计'!$B$5:$AH$23,31,0)</f>
        <v>#N/A</v>
      </c>
      <c r="AE28" s="759" t="e">
        <f t="shared" si="14"/>
        <v>#N/A</v>
      </c>
      <c r="AF28" s="767" t="e">
        <f>VLOOKUP($A28,'汇总-累计'!$B$5:$AH$23,32,0)</f>
        <v>#N/A</v>
      </c>
      <c r="AG28" s="759" t="e">
        <f t="shared" si="15"/>
        <v>#N/A</v>
      </c>
      <c r="AH28" s="767" t="e">
        <f>VLOOKUP($A28,'汇总-累计'!$B$5:$AH$23,33,0)</f>
        <v>#N/A</v>
      </c>
      <c r="AI28" s="759" t="e">
        <f t="shared" si="16"/>
        <v>#N/A</v>
      </c>
    </row>
    <row r="29" spans="1:35">
      <c r="A29" s="759" t="s">
        <v>55</v>
      </c>
      <c r="B29" s="765" t="e">
        <f>VLOOKUP($A29,'汇总-累计'!$B$5:$AH$23,2,0)</f>
        <v>#N/A</v>
      </c>
      <c r="C29" s="759" t="e">
        <f t="shared" si="0"/>
        <v>#N/A</v>
      </c>
      <c r="D29" s="765" t="e">
        <f>VLOOKUP($A29,'汇总-累计'!$B$5:$AH$23,8,0)</f>
        <v>#N/A</v>
      </c>
      <c r="E29" s="759" t="e">
        <f t="shared" si="1"/>
        <v>#N/A</v>
      </c>
      <c r="F29" s="765" t="e">
        <f>VLOOKUP($A29,'汇总-累计'!$B$5:$AH$23,14,0)</f>
        <v>#N/A</v>
      </c>
      <c r="G29" s="759" t="e">
        <f t="shared" si="2"/>
        <v>#N/A</v>
      </c>
      <c r="H29" s="766" t="e">
        <f>VLOOKUP($A29,'汇总-累计'!$B$5:$AH$23,20,0)</f>
        <v>#N/A</v>
      </c>
      <c r="I29" s="759" t="e">
        <f t="shared" si="3"/>
        <v>#N/A</v>
      </c>
      <c r="J29" s="767" t="e">
        <f>VLOOKUP($A29,'汇总-累计'!$B$5:$AH$23,21,0)</f>
        <v>#N/A</v>
      </c>
      <c r="K29" s="759" t="e">
        <f t="shared" si="4"/>
        <v>#N/A</v>
      </c>
      <c r="L29" s="767" t="e">
        <f>VLOOKUP($A29,'汇总-累计'!$B$5:$AH$23,22,0)</f>
        <v>#N/A</v>
      </c>
      <c r="M29" s="759" t="e">
        <f t="shared" si="5"/>
        <v>#N/A</v>
      </c>
      <c r="N29" s="768" t="e">
        <f>VLOOKUP($A29,'汇总-累计'!$B$5:$AH$23,23,0)</f>
        <v>#N/A</v>
      </c>
      <c r="O29" s="759" t="e">
        <f t="shared" si="6"/>
        <v>#N/A</v>
      </c>
      <c r="P29" s="768" t="e">
        <f>VLOOKUP($A29,'汇总-累计'!$B$5:$AH$23,24,0)</f>
        <v>#N/A</v>
      </c>
      <c r="Q29" s="759" t="e">
        <f t="shared" si="7"/>
        <v>#N/A</v>
      </c>
      <c r="R29" s="768" t="e">
        <f>VLOOKUP($A29,'汇总-累计'!$B$5:$AH$23,25,0)</f>
        <v>#N/A</v>
      </c>
      <c r="S29" s="759" t="e">
        <f t="shared" si="8"/>
        <v>#N/A</v>
      </c>
      <c r="T29" s="767" t="e">
        <f>VLOOKUP($A29,'汇总-累计'!$B$5:$AH$23,26,0)</f>
        <v>#N/A</v>
      </c>
      <c r="U29" s="759" t="e">
        <f t="shared" si="9"/>
        <v>#N/A</v>
      </c>
      <c r="V29" s="767" t="e">
        <f>VLOOKUP($A29,'汇总-累计'!$B$5:$AH$23,27,0)</f>
        <v>#N/A</v>
      </c>
      <c r="W29" s="759" t="e">
        <f t="shared" si="10"/>
        <v>#N/A</v>
      </c>
      <c r="X29" s="768" t="e">
        <f>VLOOKUP($A29,'汇总-累计'!$B$5:$AH$23,28,0)</f>
        <v>#N/A</v>
      </c>
      <c r="Y29" s="759" t="e">
        <f t="shared" si="11"/>
        <v>#N/A</v>
      </c>
      <c r="Z29" s="767" t="e">
        <f>VLOOKUP($A29,'汇总-累计'!$B$5:$AH$23,29,0)</f>
        <v>#N/A</v>
      </c>
      <c r="AA29" s="759" t="e">
        <f t="shared" si="12"/>
        <v>#N/A</v>
      </c>
      <c r="AB29" s="767" t="e">
        <f>VLOOKUP($A29,'汇总-累计'!$B$5:$AH$23,30,0)</f>
        <v>#N/A</v>
      </c>
      <c r="AC29" s="759" t="e">
        <f t="shared" si="13"/>
        <v>#N/A</v>
      </c>
      <c r="AD29" s="768" t="e">
        <f>VLOOKUP($A29,'汇总-累计'!$B$5:$AH$23,31,0)</f>
        <v>#N/A</v>
      </c>
      <c r="AE29" s="759" t="e">
        <f t="shared" si="14"/>
        <v>#N/A</v>
      </c>
      <c r="AF29" s="767" t="e">
        <f>VLOOKUP($A29,'汇总-累计'!$B$5:$AH$23,32,0)</f>
        <v>#N/A</v>
      </c>
      <c r="AG29" s="759" t="e">
        <f t="shared" si="15"/>
        <v>#N/A</v>
      </c>
      <c r="AH29" s="767" t="e">
        <f>VLOOKUP($A29,'汇总-累计'!$B$5:$AH$23,33,0)</f>
        <v>#N/A</v>
      </c>
      <c r="AI29" s="759" t="e">
        <f t="shared" si="16"/>
        <v>#N/A</v>
      </c>
    </row>
    <row r="30" spans="1:35">
      <c r="A30" s="759" t="s">
        <v>68</v>
      </c>
      <c r="B30" s="765" t="e">
        <f>VLOOKUP($A30,'汇总-累计'!$B$5:$AH$23,2,0)</f>
        <v>#N/A</v>
      </c>
      <c r="C30" s="759" t="e">
        <f t="shared" si="0"/>
        <v>#N/A</v>
      </c>
      <c r="D30" s="765" t="e">
        <f>VLOOKUP($A30,'汇总-累计'!$B$5:$AH$23,8,0)</f>
        <v>#N/A</v>
      </c>
      <c r="E30" s="759" t="e">
        <f t="shared" si="1"/>
        <v>#N/A</v>
      </c>
      <c r="F30" s="765" t="e">
        <f>VLOOKUP($A30,'汇总-累计'!$B$5:$AH$23,14,0)</f>
        <v>#N/A</v>
      </c>
      <c r="G30" s="759" t="e">
        <f t="shared" si="2"/>
        <v>#N/A</v>
      </c>
      <c r="H30" s="766" t="e">
        <f>VLOOKUP($A30,'汇总-累计'!$B$5:$AH$23,20,0)</f>
        <v>#N/A</v>
      </c>
      <c r="I30" s="759" t="e">
        <f t="shared" si="3"/>
        <v>#N/A</v>
      </c>
      <c r="J30" s="767" t="e">
        <f>VLOOKUP($A30,'汇总-累计'!$B$5:$AH$23,21,0)</f>
        <v>#N/A</v>
      </c>
      <c r="K30" s="759" t="e">
        <f t="shared" si="4"/>
        <v>#N/A</v>
      </c>
      <c r="L30" s="767" t="e">
        <f>VLOOKUP($A30,'汇总-累计'!$B$5:$AH$23,22,0)</f>
        <v>#N/A</v>
      </c>
      <c r="M30" s="759" t="e">
        <f t="shared" si="5"/>
        <v>#N/A</v>
      </c>
      <c r="N30" s="768" t="e">
        <f>VLOOKUP($A30,'汇总-累计'!$B$5:$AH$23,23,0)</f>
        <v>#N/A</v>
      </c>
      <c r="O30" s="759" t="e">
        <f t="shared" si="6"/>
        <v>#N/A</v>
      </c>
      <c r="P30" s="768" t="e">
        <f>VLOOKUP($A30,'汇总-累计'!$B$5:$AH$23,24,0)</f>
        <v>#N/A</v>
      </c>
      <c r="Q30" s="759" t="e">
        <f t="shared" si="7"/>
        <v>#N/A</v>
      </c>
      <c r="R30" s="768" t="e">
        <f>VLOOKUP($A30,'汇总-累计'!$B$5:$AH$23,25,0)</f>
        <v>#N/A</v>
      </c>
      <c r="S30" s="759" t="e">
        <f t="shared" si="8"/>
        <v>#N/A</v>
      </c>
      <c r="T30" s="767" t="e">
        <f>VLOOKUP($A30,'汇总-累计'!$B$5:$AH$23,26,0)</f>
        <v>#N/A</v>
      </c>
      <c r="U30" s="759" t="e">
        <f t="shared" si="9"/>
        <v>#N/A</v>
      </c>
      <c r="V30" s="767" t="e">
        <f>VLOOKUP($A30,'汇总-累计'!$B$5:$AH$23,27,0)</f>
        <v>#N/A</v>
      </c>
      <c r="W30" s="759" t="e">
        <f t="shared" si="10"/>
        <v>#N/A</v>
      </c>
      <c r="X30" s="768" t="e">
        <f>VLOOKUP($A30,'汇总-累计'!$B$5:$AH$23,28,0)</f>
        <v>#N/A</v>
      </c>
      <c r="Y30" s="759" t="e">
        <f t="shared" si="11"/>
        <v>#N/A</v>
      </c>
      <c r="Z30" s="767" t="e">
        <f>VLOOKUP($A30,'汇总-累计'!$B$5:$AH$23,29,0)</f>
        <v>#N/A</v>
      </c>
      <c r="AA30" s="759" t="e">
        <f t="shared" si="12"/>
        <v>#N/A</v>
      </c>
      <c r="AB30" s="767" t="e">
        <f>VLOOKUP($A30,'汇总-累计'!$B$5:$AH$23,30,0)</f>
        <v>#N/A</v>
      </c>
      <c r="AC30" s="759" t="e">
        <f t="shared" si="13"/>
        <v>#N/A</v>
      </c>
      <c r="AD30" s="768" t="e">
        <f>VLOOKUP($A30,'汇总-累计'!$B$5:$AH$23,31,0)</f>
        <v>#N/A</v>
      </c>
      <c r="AE30" s="759" t="e">
        <f t="shared" si="14"/>
        <v>#N/A</v>
      </c>
      <c r="AF30" s="767" t="e">
        <f>VLOOKUP($A30,'汇总-累计'!$B$5:$AH$23,32,0)</f>
        <v>#N/A</v>
      </c>
      <c r="AG30" s="759" t="e">
        <f t="shared" si="15"/>
        <v>#N/A</v>
      </c>
      <c r="AH30" s="767" t="e">
        <f>VLOOKUP($A30,'汇总-累计'!$B$5:$AH$23,33,0)</f>
        <v>#N/A</v>
      </c>
      <c r="AI30" s="759" t="e">
        <f t="shared" si="16"/>
        <v>#N/A</v>
      </c>
    </row>
    <row r="31" spans="1:35">
      <c r="A31" s="759" t="s">
        <v>57</v>
      </c>
      <c r="B31" s="765" t="e">
        <f>VLOOKUP($A31,'汇总-累计'!$B$5:$AH$23,2,0)</f>
        <v>#N/A</v>
      </c>
      <c r="C31" s="759" t="e">
        <f t="shared" si="0"/>
        <v>#N/A</v>
      </c>
      <c r="D31" s="765" t="e">
        <f>VLOOKUP($A31,'汇总-累计'!$B$5:$AH$23,8,0)</f>
        <v>#N/A</v>
      </c>
      <c r="E31" s="759" t="e">
        <f t="shared" si="1"/>
        <v>#N/A</v>
      </c>
      <c r="F31" s="765" t="e">
        <f>VLOOKUP($A31,'汇总-累计'!$B$5:$AH$23,14,0)</f>
        <v>#N/A</v>
      </c>
      <c r="G31" s="759" t="e">
        <f t="shared" si="2"/>
        <v>#N/A</v>
      </c>
      <c r="H31" s="766" t="e">
        <f>VLOOKUP($A31,'汇总-累计'!$B$5:$AH$23,20,0)</f>
        <v>#N/A</v>
      </c>
      <c r="I31" s="759" t="e">
        <f t="shared" si="3"/>
        <v>#N/A</v>
      </c>
      <c r="J31" s="767" t="e">
        <f>VLOOKUP($A31,'汇总-累计'!$B$5:$AH$23,21,0)</f>
        <v>#N/A</v>
      </c>
      <c r="K31" s="759" t="e">
        <f t="shared" si="4"/>
        <v>#N/A</v>
      </c>
      <c r="L31" s="767" t="e">
        <f>VLOOKUP($A31,'汇总-累计'!$B$5:$AH$23,22,0)</f>
        <v>#N/A</v>
      </c>
      <c r="M31" s="759" t="e">
        <f t="shared" si="5"/>
        <v>#N/A</v>
      </c>
      <c r="N31" s="768" t="e">
        <f>VLOOKUP($A31,'汇总-累计'!$B$5:$AH$23,23,0)</f>
        <v>#N/A</v>
      </c>
      <c r="O31" s="759" t="e">
        <f t="shared" si="6"/>
        <v>#N/A</v>
      </c>
      <c r="P31" s="768" t="e">
        <f>VLOOKUP($A31,'汇总-累计'!$B$5:$AH$23,24,0)</f>
        <v>#N/A</v>
      </c>
      <c r="Q31" s="759" t="e">
        <f t="shared" si="7"/>
        <v>#N/A</v>
      </c>
      <c r="R31" s="768" t="e">
        <f>VLOOKUP($A31,'汇总-累计'!$B$5:$AH$23,25,0)</f>
        <v>#N/A</v>
      </c>
      <c r="S31" s="759" t="e">
        <f t="shared" si="8"/>
        <v>#N/A</v>
      </c>
      <c r="T31" s="767" t="e">
        <f>VLOOKUP($A31,'汇总-累计'!$B$5:$AH$23,26,0)</f>
        <v>#N/A</v>
      </c>
      <c r="U31" s="759" t="e">
        <f t="shared" si="9"/>
        <v>#N/A</v>
      </c>
      <c r="V31" s="767" t="e">
        <f>VLOOKUP($A31,'汇总-累计'!$B$5:$AH$23,27,0)</f>
        <v>#N/A</v>
      </c>
      <c r="W31" s="759" t="e">
        <f t="shared" si="10"/>
        <v>#N/A</v>
      </c>
      <c r="X31" s="768" t="e">
        <f>VLOOKUP($A31,'汇总-累计'!$B$5:$AH$23,28,0)</f>
        <v>#N/A</v>
      </c>
      <c r="Y31" s="759" t="e">
        <f t="shared" si="11"/>
        <v>#N/A</v>
      </c>
      <c r="Z31" s="767" t="e">
        <f>VLOOKUP($A31,'汇总-累计'!$B$5:$AH$23,29,0)</f>
        <v>#N/A</v>
      </c>
      <c r="AA31" s="759" t="e">
        <f t="shared" si="12"/>
        <v>#N/A</v>
      </c>
      <c r="AB31" s="767" t="e">
        <f>VLOOKUP($A31,'汇总-累计'!$B$5:$AH$23,30,0)</f>
        <v>#N/A</v>
      </c>
      <c r="AC31" s="759" t="e">
        <f t="shared" si="13"/>
        <v>#N/A</v>
      </c>
      <c r="AD31" s="768" t="e">
        <f>VLOOKUP($A31,'汇总-累计'!$B$5:$AH$23,31,0)</f>
        <v>#N/A</v>
      </c>
      <c r="AE31" s="759" t="e">
        <f t="shared" si="14"/>
        <v>#N/A</v>
      </c>
      <c r="AF31" s="767" t="e">
        <f>VLOOKUP($A31,'汇总-累计'!$B$5:$AH$23,32,0)</f>
        <v>#N/A</v>
      </c>
      <c r="AG31" s="759" t="e">
        <f t="shared" si="15"/>
        <v>#N/A</v>
      </c>
      <c r="AH31" s="767" t="e">
        <f>VLOOKUP($A31,'汇总-累计'!$B$5:$AH$23,33,0)</f>
        <v>#N/A</v>
      </c>
      <c r="AI31" s="759" t="e">
        <f t="shared" si="16"/>
        <v>#N/A</v>
      </c>
    </row>
    <row r="32" spans="1:35">
      <c r="A32" s="759" t="s">
        <v>58</v>
      </c>
      <c r="B32" s="765" t="e">
        <f>VLOOKUP($A32,'汇总-累计'!$B$5:$AH$23,2,0)</f>
        <v>#N/A</v>
      </c>
      <c r="C32" s="759" t="e">
        <f t="shared" si="0"/>
        <v>#N/A</v>
      </c>
      <c r="D32" s="765" t="e">
        <f>VLOOKUP($A32,'汇总-累计'!$B$5:$AH$23,8,0)</f>
        <v>#N/A</v>
      </c>
      <c r="E32" s="759" t="e">
        <f t="shared" si="1"/>
        <v>#N/A</v>
      </c>
      <c r="F32" s="765" t="e">
        <f>VLOOKUP($A32,'汇总-累计'!$B$5:$AH$23,14,0)</f>
        <v>#N/A</v>
      </c>
      <c r="G32" s="759" t="e">
        <f t="shared" si="2"/>
        <v>#N/A</v>
      </c>
      <c r="H32" s="766" t="e">
        <f>VLOOKUP($A32,'汇总-累计'!$B$5:$AH$23,20,0)</f>
        <v>#N/A</v>
      </c>
      <c r="I32" s="759" t="e">
        <f t="shared" si="3"/>
        <v>#N/A</v>
      </c>
      <c r="J32" s="767" t="e">
        <f>VLOOKUP($A32,'汇总-累计'!$B$5:$AH$23,21,0)</f>
        <v>#N/A</v>
      </c>
      <c r="K32" s="759" t="e">
        <f t="shared" si="4"/>
        <v>#N/A</v>
      </c>
      <c r="L32" s="767" t="e">
        <f>VLOOKUP($A32,'汇总-累计'!$B$5:$AH$23,22,0)</f>
        <v>#N/A</v>
      </c>
      <c r="M32" s="759" t="e">
        <f t="shared" si="5"/>
        <v>#N/A</v>
      </c>
      <c r="N32" s="768" t="e">
        <f>VLOOKUP($A32,'汇总-累计'!$B$5:$AH$23,23,0)</f>
        <v>#N/A</v>
      </c>
      <c r="O32" s="759" t="e">
        <f t="shared" si="6"/>
        <v>#N/A</v>
      </c>
      <c r="P32" s="768" t="e">
        <f>VLOOKUP($A32,'汇总-累计'!$B$5:$AH$23,24,0)</f>
        <v>#N/A</v>
      </c>
      <c r="Q32" s="759" t="e">
        <f t="shared" si="7"/>
        <v>#N/A</v>
      </c>
      <c r="R32" s="768" t="e">
        <f>VLOOKUP($A32,'汇总-累计'!$B$5:$AH$23,25,0)</f>
        <v>#N/A</v>
      </c>
      <c r="S32" s="759" t="e">
        <f t="shared" si="8"/>
        <v>#N/A</v>
      </c>
      <c r="T32" s="767" t="e">
        <f>VLOOKUP($A32,'汇总-累计'!$B$5:$AH$23,26,0)</f>
        <v>#N/A</v>
      </c>
      <c r="U32" s="759" t="e">
        <f t="shared" si="9"/>
        <v>#N/A</v>
      </c>
      <c r="V32" s="767" t="e">
        <f>VLOOKUP($A32,'汇总-累计'!$B$5:$AH$23,27,0)</f>
        <v>#N/A</v>
      </c>
      <c r="W32" s="759" t="e">
        <f t="shared" si="10"/>
        <v>#N/A</v>
      </c>
      <c r="X32" s="768" t="e">
        <f>VLOOKUP($A32,'汇总-累计'!$B$5:$AH$23,28,0)</f>
        <v>#N/A</v>
      </c>
      <c r="Y32" s="759" t="e">
        <f t="shared" si="11"/>
        <v>#N/A</v>
      </c>
      <c r="Z32" s="767" t="e">
        <f>VLOOKUP($A32,'汇总-累计'!$B$5:$AH$23,29,0)</f>
        <v>#N/A</v>
      </c>
      <c r="AA32" s="759" t="e">
        <f t="shared" si="12"/>
        <v>#N/A</v>
      </c>
      <c r="AB32" s="767" t="e">
        <f>VLOOKUP($A32,'汇总-累计'!$B$5:$AH$23,30,0)</f>
        <v>#N/A</v>
      </c>
      <c r="AC32" s="759" t="e">
        <f t="shared" si="13"/>
        <v>#N/A</v>
      </c>
      <c r="AD32" s="768" t="e">
        <f>VLOOKUP($A32,'汇总-累计'!$B$5:$AH$23,31,0)</f>
        <v>#N/A</v>
      </c>
      <c r="AE32" s="759" t="e">
        <f t="shared" si="14"/>
        <v>#N/A</v>
      </c>
      <c r="AF32" s="767" t="e">
        <f>VLOOKUP($A32,'汇总-累计'!$B$5:$AH$23,32,0)</f>
        <v>#N/A</v>
      </c>
      <c r="AG32" s="759" t="e">
        <f t="shared" si="15"/>
        <v>#N/A</v>
      </c>
      <c r="AH32" s="767" t="e">
        <f>VLOOKUP($A32,'汇总-累计'!$B$5:$AH$23,33,0)</f>
        <v>#N/A</v>
      </c>
      <c r="AI32" s="759" t="e">
        <f t="shared" si="16"/>
        <v>#N/A</v>
      </c>
    </row>
    <row r="33" spans="1:35">
      <c r="A33" s="759" t="s">
        <v>59</v>
      </c>
      <c r="B33" s="765" t="e">
        <f>VLOOKUP($A33,'汇总-累计'!$B$5:$AH$23,2,0)</f>
        <v>#N/A</v>
      </c>
      <c r="C33" s="759" t="e">
        <f t="shared" si="0"/>
        <v>#N/A</v>
      </c>
      <c r="D33" s="765" t="e">
        <f>VLOOKUP($A33,'汇总-累计'!$B$5:$AH$23,8,0)</f>
        <v>#N/A</v>
      </c>
      <c r="E33" s="759" t="e">
        <f t="shared" si="1"/>
        <v>#N/A</v>
      </c>
      <c r="F33" s="765" t="e">
        <f>VLOOKUP($A33,'汇总-累计'!$B$5:$AH$23,14,0)</f>
        <v>#N/A</v>
      </c>
      <c r="G33" s="759" t="e">
        <f t="shared" si="2"/>
        <v>#N/A</v>
      </c>
      <c r="H33" s="766" t="e">
        <f>VLOOKUP($A33,'汇总-累计'!$B$5:$AH$23,20,0)</f>
        <v>#N/A</v>
      </c>
      <c r="I33" s="759" t="e">
        <f t="shared" si="3"/>
        <v>#N/A</v>
      </c>
      <c r="J33" s="767" t="e">
        <f>VLOOKUP($A33,'汇总-累计'!$B$5:$AH$23,21,0)</f>
        <v>#N/A</v>
      </c>
      <c r="K33" s="759" t="e">
        <f t="shared" si="4"/>
        <v>#N/A</v>
      </c>
      <c r="L33" s="767" t="e">
        <f>VLOOKUP($A33,'汇总-累计'!$B$5:$AH$23,22,0)</f>
        <v>#N/A</v>
      </c>
      <c r="M33" s="759" t="e">
        <f t="shared" si="5"/>
        <v>#N/A</v>
      </c>
      <c r="N33" s="768" t="e">
        <f>VLOOKUP($A33,'汇总-累计'!$B$5:$AH$23,23,0)</f>
        <v>#N/A</v>
      </c>
      <c r="O33" s="759" t="e">
        <f t="shared" si="6"/>
        <v>#N/A</v>
      </c>
      <c r="P33" s="768" t="e">
        <f>VLOOKUP($A33,'汇总-累计'!$B$5:$AH$23,24,0)</f>
        <v>#N/A</v>
      </c>
      <c r="Q33" s="759" t="e">
        <f t="shared" si="7"/>
        <v>#N/A</v>
      </c>
      <c r="R33" s="768" t="e">
        <f>VLOOKUP($A33,'汇总-累计'!$B$5:$AH$23,25,0)</f>
        <v>#N/A</v>
      </c>
      <c r="S33" s="759" t="e">
        <f t="shared" si="8"/>
        <v>#N/A</v>
      </c>
      <c r="T33" s="767" t="e">
        <f>VLOOKUP($A33,'汇总-累计'!$B$5:$AH$23,26,0)</f>
        <v>#N/A</v>
      </c>
      <c r="U33" s="759" t="e">
        <f t="shared" si="9"/>
        <v>#N/A</v>
      </c>
      <c r="V33" s="767" t="e">
        <f>VLOOKUP($A33,'汇总-累计'!$B$5:$AH$23,27,0)</f>
        <v>#N/A</v>
      </c>
      <c r="W33" s="759" t="e">
        <f t="shared" si="10"/>
        <v>#N/A</v>
      </c>
      <c r="X33" s="768" t="e">
        <f>VLOOKUP($A33,'汇总-累计'!$B$5:$AH$23,28,0)</f>
        <v>#N/A</v>
      </c>
      <c r="Y33" s="759" t="e">
        <f t="shared" si="11"/>
        <v>#N/A</v>
      </c>
      <c r="Z33" s="767" t="e">
        <f>VLOOKUP($A33,'汇总-累计'!$B$5:$AH$23,29,0)</f>
        <v>#N/A</v>
      </c>
      <c r="AA33" s="759" t="e">
        <f t="shared" si="12"/>
        <v>#N/A</v>
      </c>
      <c r="AB33" s="767" t="e">
        <f>VLOOKUP($A33,'汇总-累计'!$B$5:$AH$23,30,0)</f>
        <v>#N/A</v>
      </c>
      <c r="AC33" s="759" t="e">
        <f t="shared" si="13"/>
        <v>#N/A</v>
      </c>
      <c r="AD33" s="768" t="e">
        <f>VLOOKUP($A33,'汇总-累计'!$B$5:$AH$23,31,0)</f>
        <v>#N/A</v>
      </c>
      <c r="AE33" s="759" t="e">
        <f t="shared" si="14"/>
        <v>#N/A</v>
      </c>
      <c r="AF33" s="767" t="e">
        <f>VLOOKUP($A33,'汇总-累计'!$B$5:$AH$23,32,0)</f>
        <v>#N/A</v>
      </c>
      <c r="AG33" s="759" t="e">
        <f t="shared" si="15"/>
        <v>#N/A</v>
      </c>
      <c r="AH33" s="767" t="e">
        <f>VLOOKUP($A33,'汇总-累计'!$B$5:$AH$23,33,0)</f>
        <v>#N/A</v>
      </c>
      <c r="AI33" s="759" t="e">
        <f t="shared" si="16"/>
        <v>#N/A</v>
      </c>
    </row>
    <row r="34" spans="1:35">
      <c r="A34" s="759" t="s">
        <v>60</v>
      </c>
      <c r="B34" s="765" t="e">
        <f>VLOOKUP($A34,'汇总-累计'!$B$5:$AH$23,2,0)</f>
        <v>#N/A</v>
      </c>
      <c r="C34" s="759" t="e">
        <f t="shared" si="0"/>
        <v>#N/A</v>
      </c>
      <c r="D34" s="765" t="e">
        <f>VLOOKUP($A34,'汇总-累计'!$B$5:$AH$23,8,0)</f>
        <v>#N/A</v>
      </c>
      <c r="E34" s="759" t="e">
        <f t="shared" si="1"/>
        <v>#N/A</v>
      </c>
      <c r="F34" s="765" t="e">
        <f>VLOOKUP($A34,'汇总-累计'!$B$5:$AH$23,14,0)</f>
        <v>#N/A</v>
      </c>
      <c r="G34" s="759" t="e">
        <f t="shared" si="2"/>
        <v>#N/A</v>
      </c>
      <c r="H34" s="766" t="e">
        <f>VLOOKUP($A34,'汇总-累计'!$B$5:$AH$23,20,0)</f>
        <v>#N/A</v>
      </c>
      <c r="I34" s="759" t="e">
        <f t="shared" si="3"/>
        <v>#N/A</v>
      </c>
      <c r="J34" s="767" t="e">
        <f>VLOOKUP($A34,'汇总-累计'!$B$5:$AH$23,21,0)</f>
        <v>#N/A</v>
      </c>
      <c r="K34" s="759" t="e">
        <f t="shared" si="4"/>
        <v>#N/A</v>
      </c>
      <c r="L34" s="767" t="e">
        <f>VLOOKUP($A34,'汇总-累计'!$B$5:$AH$23,22,0)</f>
        <v>#N/A</v>
      </c>
      <c r="M34" s="759" t="e">
        <f t="shared" si="5"/>
        <v>#N/A</v>
      </c>
      <c r="N34" s="768" t="e">
        <f>VLOOKUP($A34,'汇总-累计'!$B$5:$AH$23,23,0)</f>
        <v>#N/A</v>
      </c>
      <c r="O34" s="759" t="e">
        <f t="shared" si="6"/>
        <v>#N/A</v>
      </c>
      <c r="P34" s="768" t="e">
        <f>VLOOKUP($A34,'汇总-累计'!$B$5:$AH$23,24,0)</f>
        <v>#N/A</v>
      </c>
      <c r="Q34" s="759" t="e">
        <f t="shared" si="7"/>
        <v>#N/A</v>
      </c>
      <c r="R34" s="768" t="e">
        <f>VLOOKUP($A34,'汇总-累计'!$B$5:$AH$23,25,0)</f>
        <v>#N/A</v>
      </c>
      <c r="S34" s="759" t="e">
        <f t="shared" si="8"/>
        <v>#N/A</v>
      </c>
      <c r="T34" s="767" t="e">
        <f>VLOOKUP($A34,'汇总-累计'!$B$5:$AH$23,26,0)</f>
        <v>#N/A</v>
      </c>
      <c r="U34" s="759" t="e">
        <f t="shared" si="9"/>
        <v>#N/A</v>
      </c>
      <c r="V34" s="767" t="e">
        <f>VLOOKUP($A34,'汇总-累计'!$B$5:$AH$23,27,0)</f>
        <v>#N/A</v>
      </c>
      <c r="W34" s="759" t="e">
        <f t="shared" si="10"/>
        <v>#N/A</v>
      </c>
      <c r="X34" s="768" t="e">
        <f>VLOOKUP($A34,'汇总-累计'!$B$5:$AH$23,28,0)</f>
        <v>#N/A</v>
      </c>
      <c r="Y34" s="759" t="e">
        <f t="shared" si="11"/>
        <v>#N/A</v>
      </c>
      <c r="Z34" s="767" t="e">
        <f>VLOOKUP($A34,'汇总-累计'!$B$5:$AH$23,29,0)</f>
        <v>#N/A</v>
      </c>
      <c r="AA34" s="759" t="e">
        <f t="shared" si="12"/>
        <v>#N/A</v>
      </c>
      <c r="AB34" s="767" t="e">
        <f>VLOOKUP($A34,'汇总-累计'!$B$5:$AH$23,30,0)</f>
        <v>#N/A</v>
      </c>
      <c r="AC34" s="759" t="e">
        <f t="shared" si="13"/>
        <v>#N/A</v>
      </c>
      <c r="AD34" s="768" t="e">
        <f>VLOOKUP($A34,'汇总-累计'!$B$5:$AH$23,31,0)</f>
        <v>#N/A</v>
      </c>
      <c r="AE34" s="759" t="e">
        <f t="shared" si="14"/>
        <v>#N/A</v>
      </c>
      <c r="AF34" s="767" t="e">
        <f>VLOOKUP($A34,'汇总-累计'!$B$5:$AH$23,32,0)</f>
        <v>#N/A</v>
      </c>
      <c r="AG34" s="759" t="e">
        <f t="shared" si="15"/>
        <v>#N/A</v>
      </c>
      <c r="AH34" s="767" t="e">
        <f>VLOOKUP($A34,'汇总-累计'!$B$5:$AH$23,33,0)</f>
        <v>#N/A</v>
      </c>
      <c r="AI34" s="759" t="e">
        <f t="shared" si="16"/>
        <v>#N/A</v>
      </c>
    </row>
    <row r="35" spans="1:35">
      <c r="A35" s="759" t="s">
        <v>61</v>
      </c>
      <c r="B35" s="765" t="e">
        <f>VLOOKUP($A35,'汇总-累计'!$B$5:$AH$23,2,0)</f>
        <v>#N/A</v>
      </c>
      <c r="C35" s="759" t="e">
        <f t="shared" si="0"/>
        <v>#N/A</v>
      </c>
      <c r="D35" s="765" t="e">
        <f>VLOOKUP($A35,'汇总-累计'!$B$5:$AH$23,8,0)</f>
        <v>#N/A</v>
      </c>
      <c r="E35" s="759" t="e">
        <f t="shared" si="1"/>
        <v>#N/A</v>
      </c>
      <c r="F35" s="765" t="e">
        <f>VLOOKUP($A35,'汇总-累计'!$B$5:$AH$23,14,0)</f>
        <v>#N/A</v>
      </c>
      <c r="G35" s="759" t="e">
        <f t="shared" si="2"/>
        <v>#N/A</v>
      </c>
      <c r="H35" s="766" t="e">
        <f>VLOOKUP($A35,'汇总-累计'!$B$5:$AH$23,20,0)</f>
        <v>#N/A</v>
      </c>
      <c r="I35" s="759" t="e">
        <f t="shared" si="3"/>
        <v>#N/A</v>
      </c>
      <c r="J35" s="767" t="e">
        <f>VLOOKUP($A35,'汇总-累计'!$B$5:$AH$23,21,0)</f>
        <v>#N/A</v>
      </c>
      <c r="K35" s="759" t="e">
        <f t="shared" si="4"/>
        <v>#N/A</v>
      </c>
      <c r="L35" s="767" t="e">
        <f>VLOOKUP($A35,'汇总-累计'!$B$5:$AH$23,22,0)</f>
        <v>#N/A</v>
      </c>
      <c r="M35" s="759" t="e">
        <f t="shared" si="5"/>
        <v>#N/A</v>
      </c>
      <c r="N35" s="768" t="e">
        <f>VLOOKUP($A35,'汇总-累计'!$B$5:$AH$23,23,0)</f>
        <v>#N/A</v>
      </c>
      <c r="O35" s="759" t="e">
        <f t="shared" si="6"/>
        <v>#N/A</v>
      </c>
      <c r="P35" s="768" t="e">
        <f>VLOOKUP($A35,'汇总-累计'!$B$5:$AH$23,24,0)</f>
        <v>#N/A</v>
      </c>
      <c r="Q35" s="759" t="e">
        <f t="shared" si="7"/>
        <v>#N/A</v>
      </c>
      <c r="R35" s="768" t="e">
        <f>VLOOKUP($A35,'汇总-累计'!$B$5:$AH$23,25,0)</f>
        <v>#N/A</v>
      </c>
      <c r="S35" s="759" t="e">
        <f t="shared" si="8"/>
        <v>#N/A</v>
      </c>
      <c r="T35" s="767" t="e">
        <f>VLOOKUP($A35,'汇总-累计'!$B$5:$AH$23,26,0)</f>
        <v>#N/A</v>
      </c>
      <c r="U35" s="759" t="e">
        <f t="shared" si="9"/>
        <v>#N/A</v>
      </c>
      <c r="V35" s="767" t="e">
        <f>VLOOKUP($A35,'汇总-累计'!$B$5:$AH$23,27,0)</f>
        <v>#N/A</v>
      </c>
      <c r="W35" s="759" t="e">
        <f t="shared" si="10"/>
        <v>#N/A</v>
      </c>
      <c r="X35" s="768" t="e">
        <f>VLOOKUP($A35,'汇总-累计'!$B$5:$AH$23,28,0)</f>
        <v>#N/A</v>
      </c>
      <c r="Y35" s="759" t="e">
        <f t="shared" si="11"/>
        <v>#N/A</v>
      </c>
      <c r="Z35" s="767" t="e">
        <f>VLOOKUP($A35,'汇总-累计'!$B$5:$AH$23,29,0)</f>
        <v>#N/A</v>
      </c>
      <c r="AA35" s="759" t="e">
        <f t="shared" si="12"/>
        <v>#N/A</v>
      </c>
      <c r="AB35" s="767" t="e">
        <f>VLOOKUP($A35,'汇总-累计'!$B$5:$AH$23,30,0)</f>
        <v>#N/A</v>
      </c>
      <c r="AC35" s="759" t="e">
        <f t="shared" si="13"/>
        <v>#N/A</v>
      </c>
      <c r="AD35" s="768" t="e">
        <f>VLOOKUP($A35,'汇总-累计'!$B$5:$AH$23,31,0)</f>
        <v>#N/A</v>
      </c>
      <c r="AE35" s="759" t="e">
        <f t="shared" si="14"/>
        <v>#N/A</v>
      </c>
      <c r="AF35" s="767" t="e">
        <f>VLOOKUP($A35,'汇总-累计'!$B$5:$AH$23,32,0)</f>
        <v>#N/A</v>
      </c>
      <c r="AG35" s="759" t="e">
        <f t="shared" si="15"/>
        <v>#N/A</v>
      </c>
      <c r="AH35" s="767" t="e">
        <f>VLOOKUP($A35,'汇总-累计'!$B$5:$AH$23,33,0)</f>
        <v>#N/A</v>
      </c>
      <c r="AI35" s="759" t="e">
        <f t="shared" si="16"/>
        <v>#N/A</v>
      </c>
    </row>
    <row r="36" spans="1:35">
      <c r="A36" s="759" t="s">
        <v>62</v>
      </c>
      <c r="B36" s="765" t="e">
        <f>VLOOKUP($A36,'汇总-累计'!$B$5:$AH$23,2,0)</f>
        <v>#N/A</v>
      </c>
      <c r="C36" s="759" t="e">
        <f t="shared" si="0"/>
        <v>#N/A</v>
      </c>
      <c r="D36" s="765" t="e">
        <f>VLOOKUP($A36,'汇总-累计'!$B$5:$AH$23,8,0)</f>
        <v>#N/A</v>
      </c>
      <c r="E36" s="759" t="e">
        <f t="shared" si="1"/>
        <v>#N/A</v>
      </c>
      <c r="F36" s="765" t="e">
        <f>VLOOKUP($A36,'汇总-累计'!$B$5:$AH$23,14,0)</f>
        <v>#N/A</v>
      </c>
      <c r="G36" s="759" t="e">
        <f t="shared" si="2"/>
        <v>#N/A</v>
      </c>
      <c r="H36" s="766" t="e">
        <f>VLOOKUP($A36,'汇总-累计'!$B$5:$AH$23,20,0)</f>
        <v>#N/A</v>
      </c>
      <c r="I36" s="759" t="e">
        <f t="shared" si="3"/>
        <v>#N/A</v>
      </c>
      <c r="J36" s="767" t="e">
        <f>VLOOKUP($A36,'汇总-累计'!$B$5:$AH$23,21,0)</f>
        <v>#N/A</v>
      </c>
      <c r="K36" s="759" t="e">
        <f t="shared" si="4"/>
        <v>#N/A</v>
      </c>
      <c r="L36" s="767" t="e">
        <f>VLOOKUP($A36,'汇总-累计'!$B$5:$AH$23,22,0)</f>
        <v>#N/A</v>
      </c>
      <c r="M36" s="759" t="e">
        <f t="shared" si="5"/>
        <v>#N/A</v>
      </c>
      <c r="N36" s="768" t="e">
        <f>VLOOKUP($A36,'汇总-累计'!$B$5:$AH$23,23,0)</f>
        <v>#N/A</v>
      </c>
      <c r="O36" s="759" t="e">
        <f t="shared" si="6"/>
        <v>#N/A</v>
      </c>
      <c r="P36" s="768" t="e">
        <f>VLOOKUP($A36,'汇总-累计'!$B$5:$AH$23,24,0)</f>
        <v>#N/A</v>
      </c>
      <c r="Q36" s="759" t="e">
        <f t="shared" si="7"/>
        <v>#N/A</v>
      </c>
      <c r="R36" s="768" t="e">
        <f>VLOOKUP($A36,'汇总-累计'!$B$5:$AH$23,25,0)</f>
        <v>#N/A</v>
      </c>
      <c r="S36" s="759" t="e">
        <f t="shared" si="8"/>
        <v>#N/A</v>
      </c>
      <c r="T36" s="767" t="e">
        <f>VLOOKUP($A36,'汇总-累计'!$B$5:$AH$23,26,0)</f>
        <v>#N/A</v>
      </c>
      <c r="U36" s="759" t="e">
        <f t="shared" si="9"/>
        <v>#N/A</v>
      </c>
      <c r="V36" s="767" t="e">
        <f>VLOOKUP($A36,'汇总-累计'!$B$5:$AH$23,27,0)</f>
        <v>#N/A</v>
      </c>
      <c r="W36" s="759" t="e">
        <f t="shared" si="10"/>
        <v>#N/A</v>
      </c>
      <c r="X36" s="768" t="e">
        <f>VLOOKUP($A36,'汇总-累计'!$B$5:$AH$23,28,0)</f>
        <v>#N/A</v>
      </c>
      <c r="Y36" s="759" t="e">
        <f t="shared" si="11"/>
        <v>#N/A</v>
      </c>
      <c r="Z36" s="767" t="e">
        <f>VLOOKUP($A36,'汇总-累计'!$B$5:$AH$23,29,0)</f>
        <v>#N/A</v>
      </c>
      <c r="AA36" s="759" t="e">
        <f t="shared" si="12"/>
        <v>#N/A</v>
      </c>
      <c r="AB36" s="767" t="e">
        <f>VLOOKUP($A36,'汇总-累计'!$B$5:$AH$23,30,0)</f>
        <v>#N/A</v>
      </c>
      <c r="AC36" s="759" t="e">
        <f t="shared" si="13"/>
        <v>#N/A</v>
      </c>
      <c r="AD36" s="768" t="e">
        <f>VLOOKUP($A36,'汇总-累计'!$B$5:$AH$23,31,0)</f>
        <v>#N/A</v>
      </c>
      <c r="AE36" s="759" t="e">
        <f t="shared" si="14"/>
        <v>#N/A</v>
      </c>
      <c r="AF36" s="767" t="e">
        <f>VLOOKUP($A36,'汇总-累计'!$B$5:$AH$23,32,0)</f>
        <v>#N/A</v>
      </c>
      <c r="AG36" s="759" t="e">
        <f t="shared" si="15"/>
        <v>#N/A</v>
      </c>
      <c r="AH36" s="767" t="e">
        <f>VLOOKUP($A36,'汇总-累计'!$B$5:$AH$23,33,0)</f>
        <v>#N/A</v>
      </c>
      <c r="AI36" s="759" t="e">
        <f t="shared" si="16"/>
        <v>#N/A</v>
      </c>
    </row>
    <row r="37" spans="1:35">
      <c r="A37" s="759" t="s">
        <v>63</v>
      </c>
      <c r="B37" s="765" t="e">
        <f>VLOOKUP($A37,'汇总-累计'!$B$5:$AH$23,2,0)</f>
        <v>#N/A</v>
      </c>
      <c r="C37" s="759" t="e">
        <f t="shared" si="0"/>
        <v>#N/A</v>
      </c>
      <c r="D37" s="765" t="e">
        <f>VLOOKUP($A37,'汇总-累计'!$B$5:$AH$23,8,0)</f>
        <v>#N/A</v>
      </c>
      <c r="E37" s="759" t="e">
        <f t="shared" si="1"/>
        <v>#N/A</v>
      </c>
      <c r="F37" s="765" t="e">
        <f>VLOOKUP($A37,'汇总-累计'!$B$5:$AH$23,14,0)</f>
        <v>#N/A</v>
      </c>
      <c r="G37" s="759" t="e">
        <f t="shared" si="2"/>
        <v>#N/A</v>
      </c>
      <c r="H37" s="766" t="e">
        <f>VLOOKUP($A37,'汇总-累计'!$B$5:$AH$23,20,0)</f>
        <v>#N/A</v>
      </c>
      <c r="I37" s="759" t="e">
        <f t="shared" si="3"/>
        <v>#N/A</v>
      </c>
      <c r="J37" s="767" t="e">
        <f>VLOOKUP($A37,'汇总-累计'!$B$5:$AH$23,21,0)</f>
        <v>#N/A</v>
      </c>
      <c r="K37" s="759" t="e">
        <f t="shared" si="4"/>
        <v>#N/A</v>
      </c>
      <c r="L37" s="767" t="e">
        <f>VLOOKUP($A37,'汇总-累计'!$B$5:$AH$23,22,0)</f>
        <v>#N/A</v>
      </c>
      <c r="M37" s="759" t="e">
        <f t="shared" si="5"/>
        <v>#N/A</v>
      </c>
      <c r="N37" s="768" t="e">
        <f>VLOOKUP($A37,'汇总-累计'!$B$5:$AH$23,23,0)</f>
        <v>#N/A</v>
      </c>
      <c r="O37" s="759" t="e">
        <f t="shared" si="6"/>
        <v>#N/A</v>
      </c>
      <c r="P37" s="768" t="e">
        <f>VLOOKUP($A37,'汇总-累计'!$B$5:$AH$23,24,0)</f>
        <v>#N/A</v>
      </c>
      <c r="Q37" s="759" t="e">
        <f t="shared" si="7"/>
        <v>#N/A</v>
      </c>
      <c r="R37" s="768" t="e">
        <f>VLOOKUP($A37,'汇总-累计'!$B$5:$AH$23,25,0)</f>
        <v>#N/A</v>
      </c>
      <c r="S37" s="759" t="e">
        <f t="shared" si="8"/>
        <v>#N/A</v>
      </c>
      <c r="T37" s="767" t="e">
        <f>VLOOKUP($A37,'汇总-累计'!$B$5:$AH$23,26,0)</f>
        <v>#N/A</v>
      </c>
      <c r="U37" s="759" t="e">
        <f t="shared" si="9"/>
        <v>#N/A</v>
      </c>
      <c r="V37" s="767" t="e">
        <f>VLOOKUP($A37,'汇总-累计'!$B$5:$AH$23,27,0)</f>
        <v>#N/A</v>
      </c>
      <c r="W37" s="759" t="e">
        <f t="shared" si="10"/>
        <v>#N/A</v>
      </c>
      <c r="X37" s="768" t="e">
        <f>VLOOKUP($A37,'汇总-累计'!$B$5:$AH$23,28,0)</f>
        <v>#N/A</v>
      </c>
      <c r="Y37" s="759" t="e">
        <f t="shared" si="11"/>
        <v>#N/A</v>
      </c>
      <c r="Z37" s="767" t="e">
        <f>VLOOKUP($A37,'汇总-累计'!$B$5:$AH$23,29,0)</f>
        <v>#N/A</v>
      </c>
      <c r="AA37" s="759" t="e">
        <f t="shared" si="12"/>
        <v>#N/A</v>
      </c>
      <c r="AB37" s="767" t="e">
        <f>VLOOKUP($A37,'汇总-累计'!$B$5:$AH$23,30,0)</f>
        <v>#N/A</v>
      </c>
      <c r="AC37" s="759" t="e">
        <f t="shared" si="13"/>
        <v>#N/A</v>
      </c>
      <c r="AD37" s="768" t="e">
        <f>VLOOKUP($A37,'汇总-累计'!$B$5:$AH$23,31,0)</f>
        <v>#N/A</v>
      </c>
      <c r="AE37" s="759" t="e">
        <f t="shared" si="14"/>
        <v>#N/A</v>
      </c>
      <c r="AF37" s="767" t="e">
        <f>VLOOKUP($A37,'汇总-累计'!$B$5:$AH$23,32,0)</f>
        <v>#N/A</v>
      </c>
      <c r="AG37" s="759" t="e">
        <f t="shared" si="15"/>
        <v>#N/A</v>
      </c>
      <c r="AH37" s="767" t="e">
        <f>VLOOKUP($A37,'汇总-累计'!$B$5:$AH$23,33,0)</f>
        <v>#N/A</v>
      </c>
      <c r="AI37" s="759" t="e">
        <f t="shared" si="16"/>
        <v>#N/A</v>
      </c>
    </row>
    <row r="38" spans="1:35">
      <c r="A38" s="759" t="s">
        <v>64</v>
      </c>
      <c r="B38" s="765" t="e">
        <f>VLOOKUP($A38,'汇总-累计'!$B$5:$AH$23,2,0)</f>
        <v>#N/A</v>
      </c>
      <c r="C38" s="759" t="e">
        <f t="shared" si="0"/>
        <v>#N/A</v>
      </c>
      <c r="D38" s="765" t="e">
        <f>VLOOKUP($A38,'汇总-累计'!$B$5:$AH$23,8,0)</f>
        <v>#N/A</v>
      </c>
      <c r="E38" s="759" t="e">
        <f t="shared" si="1"/>
        <v>#N/A</v>
      </c>
      <c r="F38" s="765" t="e">
        <f>VLOOKUP($A38,'汇总-累计'!$B$5:$AH$23,14,0)</f>
        <v>#N/A</v>
      </c>
      <c r="G38" s="759" t="e">
        <f t="shared" si="2"/>
        <v>#N/A</v>
      </c>
      <c r="H38" s="766" t="e">
        <f>VLOOKUP($A38,'汇总-累计'!$B$5:$AH$23,20,0)</f>
        <v>#N/A</v>
      </c>
      <c r="I38" s="759" t="e">
        <f t="shared" si="3"/>
        <v>#N/A</v>
      </c>
      <c r="J38" s="767" t="e">
        <f>VLOOKUP($A38,'汇总-累计'!$B$5:$AH$23,21,0)</f>
        <v>#N/A</v>
      </c>
      <c r="K38" s="759" t="e">
        <f t="shared" si="4"/>
        <v>#N/A</v>
      </c>
      <c r="L38" s="767" t="e">
        <f>VLOOKUP($A38,'汇总-累计'!$B$5:$AH$23,22,0)</f>
        <v>#N/A</v>
      </c>
      <c r="M38" s="759" t="e">
        <f t="shared" si="5"/>
        <v>#N/A</v>
      </c>
      <c r="N38" s="768" t="e">
        <f>VLOOKUP($A38,'汇总-累计'!$B$5:$AH$23,23,0)</f>
        <v>#N/A</v>
      </c>
      <c r="O38" s="759" t="e">
        <f t="shared" si="6"/>
        <v>#N/A</v>
      </c>
      <c r="P38" s="768" t="e">
        <f>VLOOKUP($A38,'汇总-累计'!$B$5:$AH$23,24,0)</f>
        <v>#N/A</v>
      </c>
      <c r="Q38" s="759" t="e">
        <f t="shared" si="7"/>
        <v>#N/A</v>
      </c>
      <c r="R38" s="768" t="e">
        <f>VLOOKUP($A38,'汇总-累计'!$B$5:$AH$23,25,0)</f>
        <v>#N/A</v>
      </c>
      <c r="S38" s="759" t="e">
        <f t="shared" si="8"/>
        <v>#N/A</v>
      </c>
      <c r="T38" s="767" t="e">
        <f>VLOOKUP($A38,'汇总-累计'!$B$5:$AH$23,26,0)</f>
        <v>#N/A</v>
      </c>
      <c r="U38" s="759" t="e">
        <f t="shared" si="9"/>
        <v>#N/A</v>
      </c>
      <c r="V38" s="767" t="e">
        <f>VLOOKUP($A38,'汇总-累计'!$B$5:$AH$23,27,0)</f>
        <v>#N/A</v>
      </c>
      <c r="W38" s="759" t="e">
        <f t="shared" si="10"/>
        <v>#N/A</v>
      </c>
      <c r="X38" s="768" t="e">
        <f>VLOOKUP($A38,'汇总-累计'!$B$5:$AH$23,28,0)</f>
        <v>#N/A</v>
      </c>
      <c r="Y38" s="759" t="e">
        <f t="shared" si="11"/>
        <v>#N/A</v>
      </c>
      <c r="Z38" s="767" t="e">
        <f>VLOOKUP($A38,'汇总-累计'!$B$5:$AH$23,29,0)</f>
        <v>#N/A</v>
      </c>
      <c r="AA38" s="759" t="e">
        <f t="shared" si="12"/>
        <v>#N/A</v>
      </c>
      <c r="AB38" s="767" t="e">
        <f>VLOOKUP($A38,'汇总-累计'!$B$5:$AH$23,30,0)</f>
        <v>#N/A</v>
      </c>
      <c r="AC38" s="759" t="e">
        <f t="shared" si="13"/>
        <v>#N/A</v>
      </c>
      <c r="AD38" s="768" t="e">
        <f>VLOOKUP($A38,'汇总-累计'!$B$5:$AH$23,31,0)</f>
        <v>#N/A</v>
      </c>
      <c r="AE38" s="759" t="e">
        <f t="shared" si="14"/>
        <v>#N/A</v>
      </c>
      <c r="AF38" s="767" t="e">
        <f>VLOOKUP($A38,'汇总-累计'!$B$5:$AH$23,32,0)</f>
        <v>#N/A</v>
      </c>
      <c r="AG38" s="759" t="e">
        <f t="shared" si="15"/>
        <v>#N/A</v>
      </c>
      <c r="AH38" s="767" t="e">
        <f>VLOOKUP($A38,'汇总-累计'!$B$5:$AH$23,33,0)</f>
        <v>#N/A</v>
      </c>
      <c r="AI38" s="759" t="e">
        <f t="shared" si="16"/>
        <v>#N/A</v>
      </c>
    </row>
    <row r="39" spans="1:35">
      <c r="A39" s="759" t="s">
        <v>65</v>
      </c>
      <c r="B39" s="765" t="e">
        <f>VLOOKUP($A39,'汇总-累计'!$B$5:$AH$23,2,0)</f>
        <v>#N/A</v>
      </c>
      <c r="C39" s="759" t="e">
        <f t="shared" si="0"/>
        <v>#N/A</v>
      </c>
      <c r="D39" s="765" t="e">
        <f>VLOOKUP($A39,'汇总-累计'!$B$5:$AH$23,8,0)</f>
        <v>#N/A</v>
      </c>
      <c r="E39" s="759" t="e">
        <f t="shared" si="1"/>
        <v>#N/A</v>
      </c>
      <c r="F39" s="765" t="e">
        <f>VLOOKUP($A39,'汇总-累计'!$B$5:$AH$23,14,0)</f>
        <v>#N/A</v>
      </c>
      <c r="G39" s="759" t="e">
        <f t="shared" si="2"/>
        <v>#N/A</v>
      </c>
      <c r="H39" s="766" t="e">
        <f>VLOOKUP($A39,'汇总-累计'!$B$5:$AH$23,20,0)</f>
        <v>#N/A</v>
      </c>
      <c r="I39" s="759" t="e">
        <f t="shared" si="3"/>
        <v>#N/A</v>
      </c>
      <c r="J39" s="767" t="e">
        <f>VLOOKUP($A39,'汇总-累计'!$B$5:$AH$23,21,0)</f>
        <v>#N/A</v>
      </c>
      <c r="K39" s="759" t="e">
        <f t="shared" si="4"/>
        <v>#N/A</v>
      </c>
      <c r="L39" s="767" t="e">
        <f>VLOOKUP($A39,'汇总-累计'!$B$5:$AH$23,22,0)</f>
        <v>#N/A</v>
      </c>
      <c r="M39" s="759" t="e">
        <f t="shared" si="5"/>
        <v>#N/A</v>
      </c>
      <c r="N39" s="768" t="e">
        <f>VLOOKUP($A39,'汇总-累计'!$B$5:$AH$23,23,0)</f>
        <v>#N/A</v>
      </c>
      <c r="O39" s="759" t="e">
        <f t="shared" si="6"/>
        <v>#N/A</v>
      </c>
      <c r="P39" s="768" t="e">
        <f>VLOOKUP($A39,'汇总-累计'!$B$5:$AH$23,24,0)</f>
        <v>#N/A</v>
      </c>
      <c r="Q39" s="759" t="e">
        <f t="shared" si="7"/>
        <v>#N/A</v>
      </c>
      <c r="R39" s="768" t="e">
        <f>VLOOKUP($A39,'汇总-累计'!$B$5:$AH$23,25,0)</f>
        <v>#N/A</v>
      </c>
      <c r="S39" s="759" t="e">
        <f t="shared" si="8"/>
        <v>#N/A</v>
      </c>
      <c r="T39" s="767" t="e">
        <f>VLOOKUP($A39,'汇总-累计'!$B$5:$AH$23,26,0)</f>
        <v>#N/A</v>
      </c>
      <c r="U39" s="759" t="e">
        <f t="shared" si="9"/>
        <v>#N/A</v>
      </c>
      <c r="V39" s="767" t="e">
        <f>VLOOKUP($A39,'汇总-累计'!$B$5:$AH$23,27,0)</f>
        <v>#N/A</v>
      </c>
      <c r="W39" s="759" t="e">
        <f t="shared" si="10"/>
        <v>#N/A</v>
      </c>
      <c r="X39" s="768" t="e">
        <f>VLOOKUP($A39,'汇总-累计'!$B$5:$AH$23,28,0)</f>
        <v>#N/A</v>
      </c>
      <c r="Y39" s="759" t="e">
        <f t="shared" si="11"/>
        <v>#N/A</v>
      </c>
      <c r="Z39" s="767" t="e">
        <f>VLOOKUP($A39,'汇总-累计'!$B$5:$AH$23,29,0)</f>
        <v>#N/A</v>
      </c>
      <c r="AA39" s="759" t="e">
        <f t="shared" si="12"/>
        <v>#N/A</v>
      </c>
      <c r="AB39" s="767" t="e">
        <f>VLOOKUP($A39,'汇总-累计'!$B$5:$AH$23,30,0)</f>
        <v>#N/A</v>
      </c>
      <c r="AC39" s="759" t="e">
        <f t="shared" si="13"/>
        <v>#N/A</v>
      </c>
      <c r="AD39" s="768" t="e">
        <f>VLOOKUP($A39,'汇总-累计'!$B$5:$AH$23,31,0)</f>
        <v>#N/A</v>
      </c>
      <c r="AE39" s="759" t="e">
        <f t="shared" si="14"/>
        <v>#N/A</v>
      </c>
      <c r="AF39" s="767" t="e">
        <f>VLOOKUP($A39,'汇总-累计'!$B$5:$AH$23,32,0)</f>
        <v>#N/A</v>
      </c>
      <c r="AG39" s="759" t="e">
        <f t="shared" si="15"/>
        <v>#N/A</v>
      </c>
      <c r="AH39" s="767" t="e">
        <f>VLOOKUP($A39,'汇总-累计'!$B$5:$AH$23,33,0)</f>
        <v>#N/A</v>
      </c>
      <c r="AI39" s="759" t="e">
        <f t="shared" si="16"/>
        <v>#N/A</v>
      </c>
    </row>
  </sheetData>
  <phoneticPr fontId="5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47"/>
  <sheetViews>
    <sheetView workbookViewId="0">
      <pane xSplit="1" ySplit="4" topLeftCell="B8" activePane="bottomRight" state="frozen"/>
      <selection pane="topRight"/>
      <selection pane="bottomLeft"/>
      <selection pane="bottomRight" activeCell="AP27" sqref="AP27"/>
    </sheetView>
  </sheetViews>
  <sheetFormatPr defaultColWidth="9.140625" defaultRowHeight="15" customHeight="1" outlineLevelCol="1"/>
  <cols>
    <col min="1" max="1" width="14.640625" style="696" customWidth="1"/>
    <col min="2" max="2" width="18.85546875" style="697" customWidth="1"/>
    <col min="3" max="3" width="8.640625" style="697" customWidth="1"/>
    <col min="4" max="11" width="8.35546875" style="698" customWidth="1" outlineLevel="1"/>
    <col min="12" max="12" width="8.85546875" style="698" customWidth="1" outlineLevel="1"/>
    <col min="13" max="13" width="9.2109375" style="698" customWidth="1" outlineLevel="1"/>
    <col min="14" max="14" width="8.85546875" style="698" customWidth="1" outlineLevel="1"/>
    <col min="15" max="15" width="9.85546875" style="698" customWidth="1" outlineLevel="1"/>
    <col min="16" max="16" width="8.35546875" style="698" customWidth="1"/>
    <col min="17" max="26" width="8.35546875" style="698" hidden="1" customWidth="1" outlineLevel="1"/>
    <col min="27" max="27" width="8.35546875" style="698" customWidth="1" collapsed="1"/>
    <col min="28" max="28" width="8.35546875" style="698" customWidth="1"/>
    <col min="29" max="39" width="8.35546875" style="698" customWidth="1" outlineLevel="1"/>
    <col min="40" max="40" width="9.2109375" style="698" customWidth="1"/>
    <col min="41" max="41" width="10.85546875" style="698" customWidth="1"/>
    <col min="42" max="42" width="8.35546875" style="698" customWidth="1"/>
    <col min="43" max="44" width="9.140625" style="699" customWidth="1"/>
    <col min="45" max="47" width="9.140625" style="696" customWidth="1"/>
    <col min="48" max="50" width="10.85546875" style="700" customWidth="1"/>
    <col min="51" max="53" width="9.140625" style="696" customWidth="1"/>
    <col min="54" max="16384" width="9.140625" style="696"/>
  </cols>
  <sheetData>
    <row r="1" spans="1:52" ht="15" customHeight="1">
      <c r="AS1" s="701" t="s">
        <v>265</v>
      </c>
      <c r="AT1" s="701" t="s">
        <v>265</v>
      </c>
      <c r="AU1" s="701"/>
    </row>
    <row r="2" spans="1:52" ht="15" customHeight="1">
      <c r="C2" s="702" t="s">
        <v>266</v>
      </c>
      <c r="D2" s="702" t="s">
        <v>266</v>
      </c>
      <c r="E2" s="702" t="s">
        <v>266</v>
      </c>
      <c r="F2" s="702" t="s">
        <v>266</v>
      </c>
      <c r="G2" s="702" t="s">
        <v>266</v>
      </c>
      <c r="H2" s="702" t="s">
        <v>266</v>
      </c>
      <c r="I2" s="702" t="s">
        <v>266</v>
      </c>
      <c r="J2" s="702" t="s">
        <v>266</v>
      </c>
      <c r="K2" s="702" t="s">
        <v>266</v>
      </c>
      <c r="L2" s="702" t="s">
        <v>266</v>
      </c>
      <c r="M2" s="702" t="s">
        <v>266</v>
      </c>
      <c r="N2" s="702" t="s">
        <v>266</v>
      </c>
      <c r="O2" s="702" t="s">
        <v>266</v>
      </c>
      <c r="P2" s="703" t="s">
        <v>266</v>
      </c>
      <c r="Q2" s="703" t="s">
        <v>266</v>
      </c>
      <c r="R2" s="703" t="s">
        <v>266</v>
      </c>
      <c r="S2" s="703" t="s">
        <v>266</v>
      </c>
      <c r="T2" s="703" t="s">
        <v>266</v>
      </c>
      <c r="U2" s="703" t="s">
        <v>266</v>
      </c>
      <c r="V2" s="703" t="s">
        <v>266</v>
      </c>
      <c r="W2" s="703" t="s">
        <v>266</v>
      </c>
      <c r="X2" s="703" t="s">
        <v>266</v>
      </c>
      <c r="Y2" s="703" t="s">
        <v>266</v>
      </c>
      <c r="Z2" s="703" t="s">
        <v>266</v>
      </c>
      <c r="AA2" s="703" t="s">
        <v>266</v>
      </c>
      <c r="AB2" s="704" t="s">
        <v>266</v>
      </c>
      <c r="AC2" s="704" t="s">
        <v>266</v>
      </c>
      <c r="AD2" s="704" t="s">
        <v>266</v>
      </c>
      <c r="AE2" s="704" t="s">
        <v>266</v>
      </c>
      <c r="AF2" s="704" t="s">
        <v>266</v>
      </c>
      <c r="AG2" s="704" t="s">
        <v>266</v>
      </c>
      <c r="AH2" s="704" t="s">
        <v>266</v>
      </c>
      <c r="AI2" s="704" t="s">
        <v>266</v>
      </c>
      <c r="AJ2" s="704" t="s">
        <v>266</v>
      </c>
      <c r="AK2" s="704" t="s">
        <v>266</v>
      </c>
      <c r="AL2" s="704" t="s">
        <v>266</v>
      </c>
      <c r="AM2" s="704" t="s">
        <v>266</v>
      </c>
      <c r="AN2" s="704" t="s">
        <v>266</v>
      </c>
      <c r="AO2" s="705" t="s">
        <v>267</v>
      </c>
      <c r="AP2" s="705" t="s">
        <v>267</v>
      </c>
      <c r="AQ2" s="705" t="s">
        <v>267</v>
      </c>
      <c r="AR2" s="706" t="s">
        <v>63</v>
      </c>
      <c r="AS2" s="707" t="s">
        <v>63</v>
      </c>
      <c r="AT2" s="708" t="s">
        <v>63</v>
      </c>
      <c r="AU2" s="709" t="s">
        <v>268</v>
      </c>
      <c r="AV2" s="709" t="s">
        <v>268</v>
      </c>
      <c r="AW2" s="709" t="s">
        <v>268</v>
      </c>
      <c r="AX2" s="710" t="s">
        <v>269</v>
      </c>
      <c r="AY2" s="710" t="s">
        <v>269</v>
      </c>
      <c r="AZ2" s="711" t="s">
        <v>269</v>
      </c>
    </row>
    <row r="3" spans="1:52" ht="15" customHeight="1">
      <c r="C3" s="702" t="s">
        <v>9</v>
      </c>
      <c r="D3" s="702" t="s">
        <v>9</v>
      </c>
      <c r="E3" s="702" t="s">
        <v>9</v>
      </c>
      <c r="F3" s="702" t="s">
        <v>9</v>
      </c>
      <c r="G3" s="702" t="s">
        <v>9</v>
      </c>
      <c r="H3" s="702" t="s">
        <v>9</v>
      </c>
      <c r="I3" s="702" t="s">
        <v>9</v>
      </c>
      <c r="J3" s="702" t="s">
        <v>9</v>
      </c>
      <c r="K3" s="702" t="s">
        <v>9</v>
      </c>
      <c r="L3" s="702" t="s">
        <v>9</v>
      </c>
      <c r="M3" s="702" t="s">
        <v>9</v>
      </c>
      <c r="N3" s="702" t="s">
        <v>9</v>
      </c>
      <c r="O3" s="702" t="s">
        <v>9</v>
      </c>
      <c r="P3" s="703" t="s">
        <v>249</v>
      </c>
      <c r="Q3" s="703" t="s">
        <v>249</v>
      </c>
      <c r="R3" s="703" t="s">
        <v>249</v>
      </c>
      <c r="S3" s="703" t="s">
        <v>249</v>
      </c>
      <c r="T3" s="703" t="s">
        <v>249</v>
      </c>
      <c r="U3" s="703" t="s">
        <v>249</v>
      </c>
      <c r="V3" s="703" t="s">
        <v>249</v>
      </c>
      <c r="W3" s="703" t="s">
        <v>249</v>
      </c>
      <c r="X3" s="703" t="s">
        <v>249</v>
      </c>
      <c r="Y3" s="703" t="s">
        <v>249</v>
      </c>
      <c r="Z3" s="703" t="s">
        <v>249</v>
      </c>
      <c r="AA3" s="703" t="s">
        <v>249</v>
      </c>
      <c r="AB3" s="704" t="s">
        <v>270</v>
      </c>
      <c r="AC3" s="704" t="s">
        <v>270</v>
      </c>
      <c r="AD3" s="704" t="s">
        <v>270</v>
      </c>
      <c r="AE3" s="704" t="s">
        <v>270</v>
      </c>
      <c r="AF3" s="704" t="s">
        <v>270</v>
      </c>
      <c r="AG3" s="704" t="s">
        <v>270</v>
      </c>
      <c r="AH3" s="704" t="s">
        <v>270</v>
      </c>
      <c r="AI3" s="704" t="s">
        <v>270</v>
      </c>
      <c r="AJ3" s="704" t="s">
        <v>270</v>
      </c>
      <c r="AK3" s="704" t="s">
        <v>270</v>
      </c>
      <c r="AL3" s="704" t="s">
        <v>270</v>
      </c>
      <c r="AM3" s="704" t="s">
        <v>270</v>
      </c>
      <c r="AN3" s="704" t="s">
        <v>270</v>
      </c>
      <c r="AO3" s="712" t="s">
        <v>270</v>
      </c>
      <c r="AP3" s="712" t="s">
        <v>9</v>
      </c>
      <c r="AQ3" s="712" t="s">
        <v>249</v>
      </c>
      <c r="AR3" s="713" t="s">
        <v>270</v>
      </c>
      <c r="AS3" s="714" t="s">
        <v>9</v>
      </c>
      <c r="AT3" s="713" t="s">
        <v>249</v>
      </c>
      <c r="AU3" s="715" t="s">
        <v>270</v>
      </c>
      <c r="AV3" s="715" t="s">
        <v>9</v>
      </c>
      <c r="AW3" s="716" t="s">
        <v>249</v>
      </c>
      <c r="AX3" s="717" t="s">
        <v>270</v>
      </c>
      <c r="AY3" s="717" t="s">
        <v>9</v>
      </c>
      <c r="AZ3" s="718" t="s">
        <v>249</v>
      </c>
    </row>
    <row r="4" spans="1:52" ht="15" customHeight="1">
      <c r="C4" s="702" t="s">
        <v>213</v>
      </c>
      <c r="D4" s="702" t="s">
        <v>271</v>
      </c>
      <c r="E4" s="702" t="s">
        <v>272</v>
      </c>
      <c r="F4" s="702" t="s">
        <v>273</v>
      </c>
      <c r="G4" s="702" t="s">
        <v>274</v>
      </c>
      <c r="H4" s="702" t="s">
        <v>275</v>
      </c>
      <c r="I4" s="702" t="s">
        <v>276</v>
      </c>
      <c r="J4" s="702" t="s">
        <v>277</v>
      </c>
      <c r="K4" s="702" t="s">
        <v>278</v>
      </c>
      <c r="L4" s="702" t="s">
        <v>279</v>
      </c>
      <c r="M4" s="702" t="s">
        <v>280</v>
      </c>
      <c r="N4" s="702" t="s">
        <v>281</v>
      </c>
      <c r="O4" s="702" t="s">
        <v>282</v>
      </c>
      <c r="P4" s="703" t="s">
        <v>271</v>
      </c>
      <c r="Q4" s="703" t="s">
        <v>272</v>
      </c>
      <c r="R4" s="703" t="s">
        <v>273</v>
      </c>
      <c r="S4" s="703" t="s">
        <v>274</v>
      </c>
      <c r="T4" s="703" t="s">
        <v>275</v>
      </c>
      <c r="U4" s="703" t="s">
        <v>276</v>
      </c>
      <c r="V4" s="703" t="s">
        <v>277</v>
      </c>
      <c r="W4" s="703" t="s">
        <v>278</v>
      </c>
      <c r="X4" s="703" t="s">
        <v>279</v>
      </c>
      <c r="Y4" s="703" t="s">
        <v>280</v>
      </c>
      <c r="Z4" s="703" t="s">
        <v>281</v>
      </c>
      <c r="AA4" s="703" t="s">
        <v>282</v>
      </c>
      <c r="AB4" s="704" t="s">
        <v>213</v>
      </c>
      <c r="AC4" s="704" t="s">
        <v>271</v>
      </c>
      <c r="AD4" s="704" t="s">
        <v>272</v>
      </c>
      <c r="AE4" s="704" t="s">
        <v>273</v>
      </c>
      <c r="AF4" s="704" t="s">
        <v>274</v>
      </c>
      <c r="AG4" s="704" t="s">
        <v>275</v>
      </c>
      <c r="AH4" s="704" t="s">
        <v>276</v>
      </c>
      <c r="AI4" s="704" t="s">
        <v>277</v>
      </c>
      <c r="AJ4" s="704" t="s">
        <v>278</v>
      </c>
      <c r="AK4" s="704" t="s">
        <v>279</v>
      </c>
      <c r="AL4" s="704" t="s">
        <v>280</v>
      </c>
      <c r="AM4" s="704" t="s">
        <v>281</v>
      </c>
      <c r="AN4" s="704" t="s">
        <v>282</v>
      </c>
      <c r="AO4" s="705" t="s">
        <v>213</v>
      </c>
      <c r="AP4" s="705" t="s">
        <v>213</v>
      </c>
      <c r="AQ4" s="705" t="s">
        <v>213</v>
      </c>
      <c r="AR4" s="713" t="s">
        <v>213</v>
      </c>
      <c r="AS4" s="714" t="s">
        <v>213</v>
      </c>
      <c r="AT4" s="719" t="s">
        <v>213</v>
      </c>
      <c r="AU4" s="709" t="s">
        <v>213</v>
      </c>
      <c r="AV4" s="709" t="s">
        <v>213</v>
      </c>
      <c r="AW4" s="720" t="s">
        <v>213</v>
      </c>
      <c r="AX4" s="721" t="s">
        <v>212</v>
      </c>
      <c r="AY4" s="721" t="s">
        <v>212</v>
      </c>
      <c r="AZ4" s="722" t="s">
        <v>212</v>
      </c>
    </row>
    <row r="5" spans="1:52" ht="15" customHeight="1">
      <c r="A5" s="912" t="s">
        <v>2</v>
      </c>
      <c r="B5" s="697" t="s">
        <v>6</v>
      </c>
      <c r="C5" s="723">
        <f>SUM(D5:O5)</f>
        <v>48341.135154999996</v>
      </c>
      <c r="D5" s="724">
        <v>3982.4378969999998</v>
      </c>
      <c r="E5" s="724">
        <v>3214.8342950000001</v>
      </c>
      <c r="F5" s="724">
        <v>3807.8547450000001</v>
      </c>
      <c r="G5" s="724">
        <v>4418.5769799999998</v>
      </c>
      <c r="H5" s="724">
        <v>5256.7729950000003</v>
      </c>
      <c r="I5" s="724">
        <v>3116.39460499999</v>
      </c>
      <c r="J5" s="724">
        <v>4142.23440200001</v>
      </c>
      <c r="K5" s="724">
        <v>4188.1091399999996</v>
      </c>
      <c r="L5" s="724">
        <v>3191.7784809999998</v>
      </c>
      <c r="M5" s="724">
        <v>5323.1582560000097</v>
      </c>
      <c r="N5" s="724">
        <v>4101.4003570000104</v>
      </c>
      <c r="O5" s="724">
        <v>3597.5830019999698</v>
      </c>
      <c r="P5" s="724">
        <v>3863.63374526711</v>
      </c>
      <c r="Q5" s="724">
        <v>3521.4325489472399</v>
      </c>
      <c r="R5" s="724">
        <v>4397.13922112808</v>
      </c>
      <c r="S5" s="724">
        <v>4819.5000412221098</v>
      </c>
      <c r="T5" s="724">
        <v>5079.15016022081</v>
      </c>
      <c r="U5" s="724">
        <v>4459.1147938520298</v>
      </c>
      <c r="V5" s="724">
        <v>5179.6245774997597</v>
      </c>
      <c r="W5" s="724">
        <v>5490.6080712200701</v>
      </c>
      <c r="X5" s="724">
        <v>4267.3779419249804</v>
      </c>
      <c r="Y5" s="724">
        <v>5594.7401528973396</v>
      </c>
      <c r="Z5" s="724">
        <v>4757.9424333880497</v>
      </c>
      <c r="AA5" s="724">
        <v>4700.51508259406</v>
      </c>
      <c r="AB5" s="724">
        <f>SUM(AC5:AN5)</f>
        <v>54989.552401000008</v>
      </c>
      <c r="AC5" s="724">
        <v>4572.3614619999898</v>
      </c>
      <c r="AD5" s="724">
        <v>4120.0110729999997</v>
      </c>
      <c r="AE5" s="724">
        <v>4351.2391159999997</v>
      </c>
      <c r="AF5" s="724">
        <v>4840.5940410000003</v>
      </c>
      <c r="AG5" s="724">
        <v>5105.4388300000001</v>
      </c>
      <c r="AH5" s="724">
        <v>3781.1219599999999</v>
      </c>
      <c r="AI5" s="724">
        <v>5033.4226930000004</v>
      </c>
      <c r="AJ5" s="724">
        <v>5437.2654230000098</v>
      </c>
      <c r="AK5" s="724">
        <v>3727.9745600000001</v>
      </c>
      <c r="AL5" s="724">
        <v>5533.0602389999904</v>
      </c>
      <c r="AM5" s="724">
        <v>4582.4317460000102</v>
      </c>
      <c r="AN5" s="724">
        <v>3904.6312580000099</v>
      </c>
      <c r="AO5" s="724">
        <f>汇总!P43/10000</f>
        <v>172.65390500000001</v>
      </c>
      <c r="AP5" s="725">
        <f>汇总!M43/10000</f>
        <v>170.640199</v>
      </c>
      <c r="AQ5" s="725">
        <f>汇总!N43/10000</f>
        <v>187.33186000000001</v>
      </c>
      <c r="AR5" s="725"/>
      <c r="AU5" s="726">
        <f>AO5+AR5</f>
        <v>172.65390500000001</v>
      </c>
      <c r="AV5" s="726">
        <f>AP5+AS5</f>
        <v>170.640199</v>
      </c>
      <c r="AW5" s="726">
        <f>AQ5+AT5</f>
        <v>187.33186000000001</v>
      </c>
      <c r="AX5" s="726">
        <f>AU5-AB5</f>
        <v>-54816.898496000009</v>
      </c>
      <c r="AY5" s="727">
        <f t="shared" ref="AY5:AY32" si="0">AV5-C5</f>
        <v>-48170.494955999995</v>
      </c>
      <c r="AZ5" s="727"/>
    </row>
    <row r="6" spans="1:52" ht="15" customHeight="1">
      <c r="A6" s="912"/>
      <c r="B6" s="697" t="s">
        <v>7</v>
      </c>
      <c r="C6" s="728">
        <f t="shared" ref="C6:C34" si="1">SUM(D6:O6)</f>
        <v>43765.125205999997</v>
      </c>
      <c r="D6" s="724">
        <v>4448.8133809999999</v>
      </c>
      <c r="E6" s="724">
        <v>3259.1618709999998</v>
      </c>
      <c r="F6" s="724">
        <v>3280.659224</v>
      </c>
      <c r="G6" s="724">
        <v>3111.6159229999998</v>
      </c>
      <c r="H6" s="724">
        <v>4302.3150319999904</v>
      </c>
      <c r="I6" s="724">
        <v>2597.0236020000002</v>
      </c>
      <c r="J6" s="724">
        <v>3279.6005639999998</v>
      </c>
      <c r="K6" s="724">
        <v>3416.9368260000001</v>
      </c>
      <c r="L6" s="724">
        <v>3155.5753770000001</v>
      </c>
      <c r="M6" s="724">
        <v>5110.86601899999</v>
      </c>
      <c r="N6" s="724">
        <v>4223.1067920000096</v>
      </c>
      <c r="O6" s="724">
        <v>3579.4505949999998</v>
      </c>
      <c r="P6" s="724">
        <v>4283.2716242397</v>
      </c>
      <c r="Q6" s="724">
        <v>3200.10509189093</v>
      </c>
      <c r="R6" s="724">
        <v>3759.3422905954899</v>
      </c>
      <c r="S6" s="724">
        <v>3824.7665966146901</v>
      </c>
      <c r="T6" s="724">
        <v>4464.8975868379403</v>
      </c>
      <c r="U6" s="724">
        <v>3881.7395953116402</v>
      </c>
      <c r="V6" s="724">
        <v>4212.9718312183504</v>
      </c>
      <c r="W6" s="724">
        <v>4648.0062264215203</v>
      </c>
      <c r="X6" s="724">
        <v>4343.2000877293103</v>
      </c>
      <c r="Y6" s="724">
        <v>5024.7512914074696</v>
      </c>
      <c r="Z6" s="724">
        <v>4518.2227939340901</v>
      </c>
      <c r="AA6" s="724">
        <v>4631.5947011838798</v>
      </c>
      <c r="AB6" s="724">
        <f t="shared" ref="AB6:AB34" si="2">SUM(AC6:AN6)</f>
        <v>48650.075303999998</v>
      </c>
      <c r="AC6" s="724">
        <v>5915.1067880000001</v>
      </c>
      <c r="AD6" s="724">
        <v>3669.5269950000002</v>
      </c>
      <c r="AE6" s="724">
        <v>3577.2901390000002</v>
      </c>
      <c r="AF6" s="724">
        <v>3231.9725990000002</v>
      </c>
      <c r="AG6" s="724">
        <v>4135.8817859999999</v>
      </c>
      <c r="AH6" s="724">
        <v>3354.6410030000002</v>
      </c>
      <c r="AI6" s="724">
        <v>3964.7455</v>
      </c>
      <c r="AJ6" s="724">
        <v>4543.5179479999997</v>
      </c>
      <c r="AK6" s="724">
        <v>3632.7157630000002</v>
      </c>
      <c r="AL6" s="724">
        <v>4451.44379999999</v>
      </c>
      <c r="AM6" s="724">
        <v>4361.1625879999901</v>
      </c>
      <c r="AN6" s="724">
        <v>3812.0703950000202</v>
      </c>
      <c r="AO6" s="724">
        <f>(汇总!P56-汇总!P54)/10000</f>
        <v>304.20401299999997</v>
      </c>
      <c r="AP6" s="725">
        <f>(汇总!M56-汇总!M54)/10000</f>
        <v>219.00033100000002</v>
      </c>
      <c r="AQ6" s="725">
        <f>(汇总!N56-汇总!N54)/10000</f>
        <v>248.73443499999996</v>
      </c>
      <c r="AR6" s="725"/>
      <c r="AU6" s="726">
        <f t="shared" ref="AU6:AU27" si="3">AO6+AR6</f>
        <v>304.20401299999997</v>
      </c>
      <c r="AV6" s="726">
        <f t="shared" ref="AV6:AV27" si="4">AP6+AS6</f>
        <v>219.00033100000002</v>
      </c>
      <c r="AW6" s="726">
        <f t="shared" ref="AW6:AW27" si="5">AQ6+AT6</f>
        <v>248.73443499999996</v>
      </c>
      <c r="AX6" s="726">
        <f t="shared" ref="AX6:AX31" si="6">AU6-AB6</f>
        <v>-48345.871290999996</v>
      </c>
      <c r="AY6" s="727">
        <f t="shared" si="0"/>
        <v>-43546.124874999994</v>
      </c>
      <c r="AZ6" s="727"/>
    </row>
    <row r="7" spans="1:52" ht="15" customHeight="1">
      <c r="A7" s="912"/>
      <c r="B7" s="697" t="s">
        <v>82</v>
      </c>
      <c r="C7" s="728">
        <f t="shared" si="1"/>
        <v>249.53699300000002</v>
      </c>
      <c r="D7" s="724">
        <v>16.633517999999999</v>
      </c>
      <c r="E7" s="724">
        <v>14.620244</v>
      </c>
      <c r="F7" s="724">
        <v>17.202152999999999</v>
      </c>
      <c r="G7" s="724">
        <v>26.808263</v>
      </c>
      <c r="H7" s="724">
        <v>17.056940999999998</v>
      </c>
      <c r="I7" s="724">
        <v>21.516216</v>
      </c>
      <c r="J7" s="724">
        <v>40.987043</v>
      </c>
      <c r="K7" s="724">
        <v>37.107022000000001</v>
      </c>
      <c r="L7" s="724">
        <v>14.528195</v>
      </c>
      <c r="M7" s="724">
        <v>17.28717</v>
      </c>
      <c r="N7" s="724">
        <v>14.502566</v>
      </c>
      <c r="O7" s="724">
        <v>11.287661999999999</v>
      </c>
      <c r="P7" s="724">
        <v>13.3996682441243</v>
      </c>
      <c r="Q7" s="724">
        <v>12.0065627777324</v>
      </c>
      <c r="R7" s="724">
        <v>17.763456478531101</v>
      </c>
      <c r="S7" s="724">
        <v>27.044647952883999</v>
      </c>
      <c r="T7" s="724">
        <v>29.102071280350302</v>
      </c>
      <c r="U7" s="724">
        <v>62.721059639880103</v>
      </c>
      <c r="V7" s="724">
        <v>69.060857661794699</v>
      </c>
      <c r="W7" s="724">
        <v>70.987435494896701</v>
      </c>
      <c r="X7" s="724">
        <v>37.995734304500601</v>
      </c>
      <c r="Y7" s="724">
        <v>22.182681221522</v>
      </c>
      <c r="Z7" s="724">
        <v>18.8982957035449</v>
      </c>
      <c r="AA7" s="724">
        <v>17.9202966071974</v>
      </c>
      <c r="AB7" s="724">
        <f t="shared" si="2"/>
        <v>354.94350900000006</v>
      </c>
      <c r="AC7" s="724">
        <v>25.54026</v>
      </c>
      <c r="AD7" s="724">
        <v>21.462610000000002</v>
      </c>
      <c r="AE7" s="724">
        <v>19.731318000000002</v>
      </c>
      <c r="AF7" s="724">
        <v>21.983121000000001</v>
      </c>
      <c r="AG7" s="724">
        <v>21.328409000000001</v>
      </c>
      <c r="AH7" s="724">
        <v>44.979399999999998</v>
      </c>
      <c r="AI7" s="724">
        <v>70.678331</v>
      </c>
      <c r="AJ7" s="724">
        <v>47.422683999999997</v>
      </c>
      <c r="AK7" s="724">
        <v>20.9936000000001</v>
      </c>
      <c r="AL7" s="724">
        <v>19.582114999999899</v>
      </c>
      <c r="AM7" s="724">
        <v>22.6757570000001</v>
      </c>
      <c r="AN7" s="724">
        <v>18.565904</v>
      </c>
      <c r="AO7" s="724">
        <f>汇总!P69/10000</f>
        <v>0</v>
      </c>
      <c r="AP7" s="725">
        <f>汇总!M69/10000</f>
        <v>0</v>
      </c>
      <c r="AQ7" s="725">
        <f>汇总!N69/10000</f>
        <v>0</v>
      </c>
      <c r="AR7" s="725"/>
      <c r="AU7" s="726">
        <f t="shared" si="3"/>
        <v>0</v>
      </c>
      <c r="AV7" s="726">
        <f t="shared" si="4"/>
        <v>0</v>
      </c>
      <c r="AW7" s="726">
        <f t="shared" si="5"/>
        <v>0</v>
      </c>
      <c r="AX7" s="726">
        <f t="shared" si="6"/>
        <v>-354.94350900000006</v>
      </c>
      <c r="AY7" s="727">
        <f t="shared" si="0"/>
        <v>-249.53699300000002</v>
      </c>
      <c r="AZ7" s="727"/>
    </row>
    <row r="8" spans="1:52" ht="15" customHeight="1">
      <c r="A8" s="912"/>
      <c r="B8" s="697" t="s">
        <v>283</v>
      </c>
      <c r="C8" s="728">
        <f t="shared" si="1"/>
        <v>2214.0165000000002</v>
      </c>
      <c r="D8" s="724">
        <v>167.46911</v>
      </c>
      <c r="E8" s="724">
        <v>39.637073999999998</v>
      </c>
      <c r="F8" s="724">
        <v>24.358105999999999</v>
      </c>
      <c r="G8" s="724">
        <v>100.481933</v>
      </c>
      <c r="H8" s="724">
        <v>330.07524100000001</v>
      </c>
      <c r="I8" s="724">
        <v>36.5143410000003</v>
      </c>
      <c r="J8" s="724">
        <v>178.44259500000001</v>
      </c>
      <c r="K8" s="724">
        <v>159.597263</v>
      </c>
      <c r="L8" s="724">
        <v>998.06604500000003</v>
      </c>
      <c r="M8" s="724">
        <v>88.161120000000196</v>
      </c>
      <c r="N8" s="724">
        <v>48.102748999999697</v>
      </c>
      <c r="O8" s="724">
        <v>43.110923000000199</v>
      </c>
      <c r="P8" s="724">
        <v>125.527616698912</v>
      </c>
      <c r="Q8" s="724">
        <v>36.869531271335198</v>
      </c>
      <c r="R8" s="724">
        <v>28.4089041768881</v>
      </c>
      <c r="S8" s="724">
        <v>51.686723176196402</v>
      </c>
      <c r="T8" s="724">
        <v>200.14814192731799</v>
      </c>
      <c r="U8" s="724">
        <v>59.084031740300198</v>
      </c>
      <c r="V8" s="724">
        <v>38.1783725014444</v>
      </c>
      <c r="W8" s="724">
        <v>166.266184410931</v>
      </c>
      <c r="X8" s="724">
        <v>844.70841452181503</v>
      </c>
      <c r="Y8" s="724">
        <v>157.55321250434801</v>
      </c>
      <c r="Z8" s="724">
        <v>49.922713268800102</v>
      </c>
      <c r="AA8" s="724">
        <v>64.814600262935002</v>
      </c>
      <c r="AB8" s="724">
        <f t="shared" si="2"/>
        <v>2491.4537550000005</v>
      </c>
      <c r="AC8" s="724">
        <v>265.68785800000001</v>
      </c>
      <c r="AD8" s="724">
        <v>110.47566399999999</v>
      </c>
      <c r="AE8" s="724">
        <v>52.594073999999999</v>
      </c>
      <c r="AF8" s="724">
        <v>50.708612000000002</v>
      </c>
      <c r="AG8" s="724">
        <v>225.287058</v>
      </c>
      <c r="AH8" s="724">
        <v>116.653719</v>
      </c>
      <c r="AI8" s="724">
        <v>29.560772</v>
      </c>
      <c r="AJ8" s="724">
        <v>626.87602200000003</v>
      </c>
      <c r="AK8" s="724">
        <v>842.567048</v>
      </c>
      <c r="AL8" s="724">
        <v>41.805291000000103</v>
      </c>
      <c r="AM8" s="724">
        <v>34.688778999999599</v>
      </c>
      <c r="AN8" s="724">
        <v>94.548858000000607</v>
      </c>
      <c r="AO8" s="724">
        <f>汇总!P54/10000</f>
        <v>5.6151380000000009</v>
      </c>
      <c r="AP8" s="725">
        <f>汇总!M54/10000</f>
        <v>2.1521840000000001</v>
      </c>
      <c r="AQ8" s="725">
        <f>汇总!N54/10000</f>
        <v>2.654868</v>
      </c>
      <c r="AR8" s="725"/>
      <c r="AU8" s="726">
        <f t="shared" si="3"/>
        <v>5.6151380000000009</v>
      </c>
      <c r="AV8" s="726">
        <f t="shared" si="4"/>
        <v>2.1521840000000001</v>
      </c>
      <c r="AW8" s="726">
        <f t="shared" si="5"/>
        <v>2.654868</v>
      </c>
      <c r="AX8" s="726">
        <f t="shared" si="6"/>
        <v>-2485.8386170000003</v>
      </c>
      <c r="AY8" s="727">
        <f t="shared" si="0"/>
        <v>-2211.8643160000001</v>
      </c>
      <c r="AZ8" s="727"/>
    </row>
    <row r="9" spans="1:52" ht="15" customHeight="1">
      <c r="A9" s="912"/>
      <c r="B9" s="697" t="s">
        <v>284</v>
      </c>
      <c r="C9" s="728">
        <f t="shared" si="1"/>
        <v>8044.1074960000005</v>
      </c>
      <c r="D9" s="724">
        <v>697.95908799999995</v>
      </c>
      <c r="E9" s="724">
        <v>833.49095399999999</v>
      </c>
      <c r="F9" s="724">
        <v>703.17924800000003</v>
      </c>
      <c r="G9" s="724">
        <v>628.82332099999996</v>
      </c>
      <c r="H9" s="724">
        <v>638.88235099999997</v>
      </c>
      <c r="I9" s="724">
        <v>680.62711200000103</v>
      </c>
      <c r="J9" s="724">
        <v>640.73024099999895</v>
      </c>
      <c r="K9" s="724">
        <v>668.82064300000002</v>
      </c>
      <c r="L9" s="724">
        <v>714.60444800000005</v>
      </c>
      <c r="M9" s="724">
        <v>630.87034100000005</v>
      </c>
      <c r="N9" s="724">
        <v>597.57023999999706</v>
      </c>
      <c r="O9" s="724">
        <v>608.54950900000301</v>
      </c>
      <c r="P9" s="724">
        <v>576.37928650937397</v>
      </c>
      <c r="Q9" s="724">
        <v>764.96963860590097</v>
      </c>
      <c r="R9" s="724">
        <v>629.83877704942699</v>
      </c>
      <c r="S9" s="724">
        <v>569.57450911188005</v>
      </c>
      <c r="T9" s="724">
        <v>575.23681543732403</v>
      </c>
      <c r="U9" s="724">
        <v>661.73097982570505</v>
      </c>
      <c r="V9" s="724">
        <v>592.22573136799099</v>
      </c>
      <c r="W9" s="724">
        <v>593.97727351297397</v>
      </c>
      <c r="X9" s="724">
        <v>642.65074221879502</v>
      </c>
      <c r="Y9" s="724">
        <v>583.78199721635804</v>
      </c>
      <c r="Z9" s="724">
        <v>579.12181382154097</v>
      </c>
      <c r="AA9" s="724">
        <v>663.69600147465405</v>
      </c>
      <c r="AB9" s="724">
        <f t="shared" si="2"/>
        <v>8111.9681469999996</v>
      </c>
      <c r="AC9" s="724">
        <v>536.708303</v>
      </c>
      <c r="AD9" s="724">
        <v>927.63491599999998</v>
      </c>
      <c r="AE9" s="724">
        <v>785.19096000000002</v>
      </c>
      <c r="AF9" s="724">
        <v>583.00931500000002</v>
      </c>
      <c r="AG9" s="724">
        <v>595.77876500000002</v>
      </c>
      <c r="AH9" s="724">
        <v>675.52030300000001</v>
      </c>
      <c r="AI9" s="724">
        <v>697.186059</v>
      </c>
      <c r="AJ9" s="724">
        <v>669.36860099999899</v>
      </c>
      <c r="AK9" s="724">
        <v>700.54815699999995</v>
      </c>
      <c r="AL9" s="724">
        <v>636.69438499999796</v>
      </c>
      <c r="AM9" s="724">
        <v>616.32553900000096</v>
      </c>
      <c r="AN9" s="724">
        <v>688.00284400000101</v>
      </c>
      <c r="AO9" s="724">
        <f>汇总!P75/10000</f>
        <v>7.3412750000000004</v>
      </c>
      <c r="AP9" s="725">
        <f>汇总!M75/10000</f>
        <v>10.778019999999998</v>
      </c>
      <c r="AQ9" s="725">
        <f>汇总!N75/10000</f>
        <v>7.2610279999999996</v>
      </c>
      <c r="AR9" s="725"/>
      <c r="AU9" s="726">
        <f t="shared" si="3"/>
        <v>7.3412750000000004</v>
      </c>
      <c r="AV9" s="726">
        <f t="shared" si="4"/>
        <v>10.778019999999998</v>
      </c>
      <c r="AW9" s="726">
        <f t="shared" si="5"/>
        <v>7.2610279999999996</v>
      </c>
      <c r="AX9" s="726">
        <f t="shared" si="6"/>
        <v>-8104.6268719999998</v>
      </c>
      <c r="AY9" s="727">
        <f t="shared" si="0"/>
        <v>-8033.3294760000008</v>
      </c>
      <c r="AZ9" s="727"/>
    </row>
    <row r="10" spans="1:52" ht="15" customHeight="1">
      <c r="A10" s="912"/>
      <c r="B10" s="697" t="s">
        <v>285</v>
      </c>
      <c r="C10" s="728">
        <f t="shared" si="1"/>
        <v>2565.6057849999997</v>
      </c>
      <c r="D10" s="724">
        <v>728.96958700000005</v>
      </c>
      <c r="E10" s="724">
        <v>420.01403499999998</v>
      </c>
      <c r="F10" s="724">
        <v>140.24679</v>
      </c>
      <c r="G10" s="724">
        <v>112.507339</v>
      </c>
      <c r="H10" s="724">
        <v>99.056676000000195</v>
      </c>
      <c r="I10" s="724">
        <v>39.809914999999997</v>
      </c>
      <c r="J10" s="724">
        <v>63.337257999999999</v>
      </c>
      <c r="K10" s="724">
        <v>87.310979999999503</v>
      </c>
      <c r="L10" s="724">
        <v>42.070466000000401</v>
      </c>
      <c r="M10" s="724">
        <v>169.19507200000001</v>
      </c>
      <c r="N10" s="724">
        <v>244.90129300000001</v>
      </c>
      <c r="O10" s="724">
        <v>418.186374</v>
      </c>
      <c r="P10" s="724">
        <v>636.583859007809</v>
      </c>
      <c r="Q10" s="724">
        <v>454.61313280495398</v>
      </c>
      <c r="R10" s="724">
        <v>154.53303714962101</v>
      </c>
      <c r="S10" s="724">
        <v>77.497165333879096</v>
      </c>
      <c r="T10" s="724">
        <v>101.299865493308</v>
      </c>
      <c r="U10" s="724">
        <v>59.709719976847303</v>
      </c>
      <c r="V10" s="724">
        <v>86.538501273199302</v>
      </c>
      <c r="W10" s="724">
        <v>110.98701177125599</v>
      </c>
      <c r="X10" s="724">
        <v>72.330687514561802</v>
      </c>
      <c r="Y10" s="724">
        <v>181.01123560689501</v>
      </c>
      <c r="Z10" s="724">
        <v>211.585713542289</v>
      </c>
      <c r="AA10" s="724">
        <v>450.406144603656</v>
      </c>
      <c r="AB10" s="724">
        <f t="shared" si="2"/>
        <v>2884.915602</v>
      </c>
      <c r="AC10" s="724">
        <v>474.83957700000002</v>
      </c>
      <c r="AD10" s="724">
        <v>500.268395</v>
      </c>
      <c r="AE10" s="724">
        <v>241.002985</v>
      </c>
      <c r="AF10" s="724">
        <v>334.13648499999999</v>
      </c>
      <c r="AG10" s="724">
        <v>98.564927999999995</v>
      </c>
      <c r="AH10" s="724">
        <v>55.495887000000302</v>
      </c>
      <c r="AI10" s="724">
        <v>82.826787999999993</v>
      </c>
      <c r="AJ10" s="724">
        <v>110.100769</v>
      </c>
      <c r="AK10" s="724">
        <v>57.739643999999998</v>
      </c>
      <c r="AL10" s="724">
        <v>173.97296600000001</v>
      </c>
      <c r="AM10" s="724">
        <v>225.72761600000001</v>
      </c>
      <c r="AN10" s="724">
        <v>530.23956199999998</v>
      </c>
      <c r="AO10" s="724">
        <f>汇总!P70/10000</f>
        <v>0</v>
      </c>
      <c r="AP10" s="725">
        <f>汇总!M70/10000</f>
        <v>0</v>
      </c>
      <c r="AQ10" s="725">
        <f>汇总!N70/10000</f>
        <v>0</v>
      </c>
      <c r="AR10" s="725"/>
      <c r="AU10" s="726">
        <f t="shared" si="3"/>
        <v>0</v>
      </c>
      <c r="AV10" s="726">
        <f t="shared" si="4"/>
        <v>0</v>
      </c>
      <c r="AW10" s="726">
        <f t="shared" si="5"/>
        <v>0</v>
      </c>
      <c r="AX10" s="726">
        <f t="shared" si="6"/>
        <v>-2884.915602</v>
      </c>
      <c r="AY10" s="727">
        <f t="shared" si="0"/>
        <v>-2565.6057849999997</v>
      </c>
      <c r="AZ10" s="727"/>
    </row>
    <row r="11" spans="1:52" ht="15" customHeight="1">
      <c r="A11" s="912"/>
      <c r="B11" s="697" t="s">
        <v>286</v>
      </c>
      <c r="C11" s="728">
        <f t="shared" si="1"/>
        <v>2587.8453190000005</v>
      </c>
      <c r="D11" s="724">
        <v>240.96360100000001</v>
      </c>
      <c r="E11" s="724">
        <v>183.792618</v>
      </c>
      <c r="F11" s="724">
        <v>198.75973400000001</v>
      </c>
      <c r="G11" s="724">
        <v>204.785211</v>
      </c>
      <c r="H11" s="724">
        <v>223.158692</v>
      </c>
      <c r="I11" s="724">
        <v>208.34316200000001</v>
      </c>
      <c r="J11" s="724">
        <v>233.07252700000001</v>
      </c>
      <c r="K11" s="724">
        <v>206.739823999999</v>
      </c>
      <c r="L11" s="724">
        <v>182.02425299999999</v>
      </c>
      <c r="M11" s="724">
        <v>251.04869300000101</v>
      </c>
      <c r="N11" s="724">
        <v>220.138691999999</v>
      </c>
      <c r="O11" s="724">
        <v>235.018312000001</v>
      </c>
      <c r="P11" s="724">
        <v>83.8497730283202</v>
      </c>
      <c r="Q11" s="724">
        <v>75.477006057079805</v>
      </c>
      <c r="R11" s="724">
        <v>76.849954215536201</v>
      </c>
      <c r="S11" s="724">
        <v>82.8830954504201</v>
      </c>
      <c r="T11" s="724">
        <v>97.036404286517495</v>
      </c>
      <c r="U11" s="724">
        <v>98.655586009631307</v>
      </c>
      <c r="V11" s="724">
        <v>110.199297507932</v>
      </c>
      <c r="W11" s="724">
        <v>121.84214173241401</v>
      </c>
      <c r="X11" s="724">
        <v>74.943306300770303</v>
      </c>
      <c r="Y11" s="724">
        <v>86.163177620921701</v>
      </c>
      <c r="Z11" s="724">
        <v>74.992083035094794</v>
      </c>
      <c r="AA11" s="724">
        <v>84.927583150324196</v>
      </c>
      <c r="AB11" s="724">
        <f t="shared" si="2"/>
        <v>2459.439402</v>
      </c>
      <c r="AC11" s="724">
        <v>223.75959700000001</v>
      </c>
      <c r="AD11" s="724">
        <v>136.06994900000001</v>
      </c>
      <c r="AE11" s="724">
        <v>139.695674</v>
      </c>
      <c r="AF11" s="724">
        <v>150.29277500000001</v>
      </c>
      <c r="AG11" s="724">
        <v>197.861808</v>
      </c>
      <c r="AH11" s="724">
        <v>195.10241099999999</v>
      </c>
      <c r="AI11" s="724">
        <v>250.48058499999999</v>
      </c>
      <c r="AJ11" s="724">
        <v>216.639883</v>
      </c>
      <c r="AK11" s="724">
        <v>208.007701999999</v>
      </c>
      <c r="AL11" s="724">
        <v>282.79696300000001</v>
      </c>
      <c r="AM11" s="724">
        <v>176.90835100000101</v>
      </c>
      <c r="AN11" s="724">
        <v>281.82370400000002</v>
      </c>
      <c r="AO11" s="724">
        <f>(汇总!P71+汇总!P72+汇总!P73+汇总!P74+汇总!P76)/10000</f>
        <v>10.380798</v>
      </c>
      <c r="AP11" s="725">
        <f>(汇总!M71+汇总!M72+汇总!M73+汇总!M74+汇总!M76)/10000</f>
        <v>7.1708270000000001</v>
      </c>
      <c r="AQ11" s="725">
        <f>(汇总!N71+汇总!N72+汇总!N73+汇总!N74+汇总!N76)/10000</f>
        <v>2.3583959999999999</v>
      </c>
      <c r="AR11" s="725"/>
      <c r="AU11" s="726">
        <f t="shared" si="3"/>
        <v>10.380798</v>
      </c>
      <c r="AV11" s="726">
        <f t="shared" si="4"/>
        <v>7.1708270000000001</v>
      </c>
      <c r="AW11" s="726">
        <f t="shared" si="5"/>
        <v>2.3583959999999999</v>
      </c>
      <c r="AX11" s="726">
        <f t="shared" si="6"/>
        <v>-2449.0586039999998</v>
      </c>
      <c r="AY11" s="727">
        <f t="shared" si="0"/>
        <v>-2580.6744920000006</v>
      </c>
      <c r="AZ11" s="727"/>
    </row>
    <row r="12" spans="1:52" ht="15" customHeight="1">
      <c r="A12" s="697" t="s">
        <v>230</v>
      </c>
      <c r="B12" s="697" t="s">
        <v>242</v>
      </c>
      <c r="C12" s="728">
        <f t="shared" si="1"/>
        <v>-22736.078836222216</v>
      </c>
      <c r="D12" s="724">
        <v>-1647.5632875185199</v>
      </c>
      <c r="E12" s="724">
        <v>-2740.0672585185198</v>
      </c>
      <c r="F12" s="724">
        <v>-2635.64765551852</v>
      </c>
      <c r="G12" s="724">
        <v>-1723.6823365185201</v>
      </c>
      <c r="H12" s="724">
        <v>-647.32452551851998</v>
      </c>
      <c r="I12" s="724">
        <v>-2937.5154205185199</v>
      </c>
      <c r="J12" s="724">
        <v>-2661.3086855185202</v>
      </c>
      <c r="K12" s="724">
        <v>-2941.1727995185202</v>
      </c>
      <c r="L12" s="724">
        <v>-2754.6560775185098</v>
      </c>
      <c r="M12" s="724">
        <v>-354.34081851851801</v>
      </c>
      <c r="N12" s="724">
        <v>-1483.52310951852</v>
      </c>
      <c r="O12" s="724">
        <v>-209.27686151850901</v>
      </c>
      <c r="P12" s="724">
        <v>-2155.7955526748301</v>
      </c>
      <c r="Q12" s="724">
        <v>-2675.2336270890601</v>
      </c>
      <c r="R12" s="724">
        <v>-1880.96369441194</v>
      </c>
      <c r="S12" s="724">
        <v>-1682.6934088307501</v>
      </c>
      <c r="T12" s="724">
        <v>-1261.85745531252</v>
      </c>
      <c r="U12" s="724">
        <v>-1914.26372127184</v>
      </c>
      <c r="V12" s="724">
        <v>-1540.1100940854899</v>
      </c>
      <c r="W12" s="724">
        <v>-1184.0113163385399</v>
      </c>
      <c r="X12" s="724">
        <v>-2030.35559276808</v>
      </c>
      <c r="Y12" s="724">
        <v>-796.19370528547302</v>
      </c>
      <c r="Z12" s="724">
        <v>-1444.85868593742</v>
      </c>
      <c r="AA12" s="724">
        <v>-1384.4434752162599</v>
      </c>
      <c r="AB12" s="724">
        <f t="shared" si="2"/>
        <v>-23635.529203222221</v>
      </c>
      <c r="AC12" s="724">
        <v>-1332.03717051852</v>
      </c>
      <c r="AD12" s="724">
        <v>-2447.1677221851801</v>
      </c>
      <c r="AE12" s="724">
        <v>-2213.5125031851799</v>
      </c>
      <c r="AF12" s="724">
        <v>-2127.25140818519</v>
      </c>
      <c r="AG12" s="724">
        <v>-1837.71726351852</v>
      </c>
      <c r="AH12" s="724">
        <v>-3017.11129851852</v>
      </c>
      <c r="AI12" s="724">
        <v>-2521.1178325185201</v>
      </c>
      <c r="AJ12" s="724">
        <v>-1795.36646951852</v>
      </c>
      <c r="AK12" s="724">
        <v>-3033.38049251852</v>
      </c>
      <c r="AL12" s="724">
        <v>-488.70223651851802</v>
      </c>
      <c r="AM12" s="724">
        <v>-1240.17699551852</v>
      </c>
      <c r="AN12" s="724">
        <v>-1581.9878105185101</v>
      </c>
      <c r="AO12" s="724">
        <f>汇总!P132/10000</f>
        <v>-276.75863700000002</v>
      </c>
      <c r="AP12" s="725">
        <f>汇总!M132/10000</f>
        <v>-233.110758</v>
      </c>
      <c r="AQ12" s="725">
        <f>汇总!N132/10000</f>
        <v>-214.98069599999999</v>
      </c>
      <c r="AR12" s="729" t="e">
        <f>-AR17</f>
        <v>#REF!</v>
      </c>
      <c r="AS12" s="729" t="e">
        <f>-AS17</f>
        <v>#REF!</v>
      </c>
      <c r="AT12" s="729" t="e">
        <f>-AT17</f>
        <v>#REF!</v>
      </c>
      <c r="AU12" s="730" t="e">
        <f t="shared" si="3"/>
        <v>#REF!</v>
      </c>
      <c r="AV12" s="730" t="e">
        <f t="shared" si="4"/>
        <v>#REF!</v>
      </c>
      <c r="AW12" s="726" t="e">
        <f t="shared" si="5"/>
        <v>#REF!</v>
      </c>
      <c r="AX12" s="726" t="e">
        <f t="shared" si="6"/>
        <v>#REF!</v>
      </c>
      <c r="AY12" s="727" t="e">
        <f t="shared" si="0"/>
        <v>#REF!</v>
      </c>
      <c r="AZ12" s="727"/>
    </row>
    <row r="13" spans="1:52" ht="15" customHeight="1">
      <c r="A13" s="731" t="s">
        <v>287</v>
      </c>
      <c r="B13" s="732" t="s">
        <v>287</v>
      </c>
      <c r="C13" s="733">
        <f t="shared" si="1"/>
        <v>0</v>
      </c>
      <c r="D13" s="734">
        <v>-1038.0057360000001</v>
      </c>
      <c r="E13" s="734">
        <v>3237.022946</v>
      </c>
      <c r="F13" s="734">
        <v>591.198461636361</v>
      </c>
      <c r="G13" s="734">
        <v>920.30742036364097</v>
      </c>
      <c r="H13" s="734">
        <v>2616.7694879999899</v>
      </c>
      <c r="I13" s="734">
        <v>513.14564200000598</v>
      </c>
      <c r="J13" s="734">
        <v>1615.9678281818301</v>
      </c>
      <c r="K13" s="734"/>
      <c r="L13" s="734">
        <v>-8456.4060501818203</v>
      </c>
      <c r="M13" s="734">
        <v>0</v>
      </c>
      <c r="N13" s="734">
        <v>0</v>
      </c>
      <c r="O13" s="734">
        <v>-7.2759576141834308E-12</v>
      </c>
      <c r="P13" s="735">
        <v>-1677.59143736689</v>
      </c>
      <c r="Q13" s="735">
        <v>2714.0153774251198</v>
      </c>
      <c r="R13" s="735">
        <v>1146.01031557336</v>
      </c>
      <c r="S13" s="735">
        <v>732.81708557072602</v>
      </c>
      <c r="T13" s="735">
        <v>1867.68605035326</v>
      </c>
      <c r="U13" s="735">
        <v>1620.83298998549</v>
      </c>
      <c r="V13" s="735">
        <v>1484.43442115117</v>
      </c>
      <c r="W13" s="735">
        <v>2221.79738788331</v>
      </c>
      <c r="X13" s="735">
        <v>1893.66209414626</v>
      </c>
      <c r="Y13" s="735">
        <v>1657.6952533061601</v>
      </c>
      <c r="Z13" s="735">
        <v>2358.7725799664199</v>
      </c>
      <c r="AA13" s="735">
        <v>1238.8678820056</v>
      </c>
      <c r="AB13" s="724">
        <f t="shared" si="2"/>
        <v>0</v>
      </c>
      <c r="AC13" s="735"/>
      <c r="AD13" s="735"/>
      <c r="AE13" s="735"/>
      <c r="AF13" s="735"/>
      <c r="AG13" s="735"/>
      <c r="AH13" s="735">
        <v>0</v>
      </c>
      <c r="AI13" s="735"/>
      <c r="AJ13" s="735">
        <v>0</v>
      </c>
      <c r="AK13" s="735">
        <v>0</v>
      </c>
      <c r="AL13" s="735">
        <v>0</v>
      </c>
      <c r="AM13" s="735">
        <v>0</v>
      </c>
      <c r="AN13" s="735">
        <v>0</v>
      </c>
      <c r="AO13" s="735"/>
      <c r="AP13" s="699"/>
      <c r="AU13" s="726">
        <f t="shared" si="3"/>
        <v>0</v>
      </c>
      <c r="AV13" s="726">
        <f t="shared" si="4"/>
        <v>0</v>
      </c>
      <c r="AW13" s="726">
        <f t="shared" si="5"/>
        <v>0</v>
      </c>
      <c r="AX13" s="726">
        <f t="shared" si="6"/>
        <v>0</v>
      </c>
      <c r="AY13" s="727">
        <f t="shared" si="0"/>
        <v>0</v>
      </c>
      <c r="AZ13" s="727"/>
    </row>
    <row r="14" spans="1:52" s="694" customFormat="1" ht="15" customHeight="1">
      <c r="A14" s="697" t="s">
        <v>288</v>
      </c>
      <c r="B14" s="697"/>
      <c r="C14" s="728">
        <f t="shared" si="1"/>
        <v>32891.400943222223</v>
      </c>
      <c r="D14" s="724">
        <v>2748.0376611851898</v>
      </c>
      <c r="E14" s="724">
        <v>2747.5546481851802</v>
      </c>
      <c r="F14" s="724">
        <v>2749.4826621851898</v>
      </c>
      <c r="G14" s="724">
        <v>2747.4841111851902</v>
      </c>
      <c r="H14" s="724">
        <v>2298.7631071851802</v>
      </c>
      <c r="I14" s="724">
        <v>2602.8072581851902</v>
      </c>
      <c r="J14" s="724">
        <v>2629.50002318518</v>
      </c>
      <c r="K14" s="724">
        <v>3416.8471921851801</v>
      </c>
      <c r="L14" s="724">
        <v>2730.3372101851901</v>
      </c>
      <c r="M14" s="724">
        <v>2732.8158171851701</v>
      </c>
      <c r="N14" s="724">
        <v>2726.8364661852002</v>
      </c>
      <c r="O14" s="724">
        <v>2760.9347861851802</v>
      </c>
      <c r="P14" s="724">
        <v>2881.90209651852</v>
      </c>
      <c r="Q14" s="724">
        <v>2883.0616795185201</v>
      </c>
      <c r="R14" s="724">
        <v>2884.1735905185201</v>
      </c>
      <c r="S14" s="724">
        <v>2885.8988775185198</v>
      </c>
      <c r="T14" s="724">
        <v>2886.7602475185199</v>
      </c>
      <c r="U14" s="724">
        <v>2886.0176235185199</v>
      </c>
      <c r="V14" s="724">
        <v>2886.0840215185199</v>
      </c>
      <c r="W14" s="724">
        <v>2886.2975805185201</v>
      </c>
      <c r="X14" s="724">
        <v>2887.1521495185202</v>
      </c>
      <c r="Y14" s="724">
        <v>2887.5341065185198</v>
      </c>
      <c r="Z14" s="724">
        <v>2888.0363565185198</v>
      </c>
      <c r="AA14" s="724">
        <v>2887.90392051852</v>
      </c>
      <c r="AB14" s="724">
        <f t="shared" si="2"/>
        <v>33502.958339222227</v>
      </c>
      <c r="AC14" s="724">
        <v>2669.1509731851902</v>
      </c>
      <c r="AD14" s="724">
        <v>2803.66853718519</v>
      </c>
      <c r="AE14" s="724">
        <v>2931.4476251851902</v>
      </c>
      <c r="AF14" s="724">
        <v>2866.5736731851898</v>
      </c>
      <c r="AG14" s="724">
        <v>2809.1223421851901</v>
      </c>
      <c r="AH14" s="724">
        <v>2900.3934821851799</v>
      </c>
      <c r="AI14" s="724">
        <v>2906.8745761851901</v>
      </c>
      <c r="AJ14" s="724">
        <v>2889.75962218518</v>
      </c>
      <c r="AK14" s="724">
        <v>2889.0658421851899</v>
      </c>
      <c r="AL14" s="724">
        <v>2349.4019991851901</v>
      </c>
      <c r="AM14" s="724">
        <v>2759.4744491851802</v>
      </c>
      <c r="AN14" s="724">
        <v>2728.0252171851698</v>
      </c>
      <c r="AO14" s="724">
        <f>汇总!P128/10000</f>
        <v>59.499327000000001</v>
      </c>
      <c r="AP14" s="736">
        <f>汇总!M128/10000</f>
        <v>58.990434999999998</v>
      </c>
      <c r="AQ14" s="736">
        <f>汇总!N128/10000</f>
        <v>58.562946999999994</v>
      </c>
      <c r="AR14" s="736"/>
      <c r="AU14" s="726">
        <f t="shared" si="3"/>
        <v>59.499327000000001</v>
      </c>
      <c r="AV14" s="726">
        <f t="shared" si="4"/>
        <v>58.990434999999998</v>
      </c>
      <c r="AW14" s="726">
        <f t="shared" si="5"/>
        <v>58.562946999999994</v>
      </c>
      <c r="AX14" s="726">
        <f t="shared" si="6"/>
        <v>-33443.459012222229</v>
      </c>
      <c r="AY14" s="737">
        <f t="shared" si="0"/>
        <v>-32832.410508222223</v>
      </c>
      <c r="AZ14" s="737"/>
    </row>
    <row r="15" spans="1:52" ht="15" customHeight="1">
      <c r="A15" s="913" t="s">
        <v>289</v>
      </c>
      <c r="B15" s="738" t="s">
        <v>290</v>
      </c>
      <c r="C15" s="739">
        <f t="shared" si="1"/>
        <v>18852.376193</v>
      </c>
      <c r="D15" s="740">
        <v>2015.7654689999999</v>
      </c>
      <c r="E15" s="724">
        <v>1207.6812030000001</v>
      </c>
      <c r="F15" s="740">
        <v>1245.6223649999999</v>
      </c>
      <c r="G15" s="740">
        <v>1256.3927960000001</v>
      </c>
      <c r="H15" s="740">
        <v>1926.3134689999999</v>
      </c>
      <c r="I15" s="740">
        <v>1000.0955259999999</v>
      </c>
      <c r="J15" s="740">
        <v>1437.9381289999999</v>
      </c>
      <c r="K15" s="740">
        <v>1545.0524330000001</v>
      </c>
      <c r="L15" s="740">
        <v>2048.8366129999999</v>
      </c>
      <c r="M15" s="740">
        <v>2138.6453729999998</v>
      </c>
      <c r="N15" s="740">
        <v>1604.08219499999</v>
      </c>
      <c r="O15" s="740">
        <v>1425.9506220000101</v>
      </c>
      <c r="P15" s="740">
        <v>1785.6943862161399</v>
      </c>
      <c r="Q15" s="740">
        <v>1327.5163377096801</v>
      </c>
      <c r="R15" s="740">
        <v>1465.24887066002</v>
      </c>
      <c r="S15" s="740">
        <v>1521.3460309395</v>
      </c>
      <c r="T15" s="740">
        <v>1907.3772631876</v>
      </c>
      <c r="U15" s="740">
        <v>1535.30964488525</v>
      </c>
      <c r="V15" s="740">
        <v>1646.3830363949101</v>
      </c>
      <c r="W15" s="740">
        <v>2012.60299224818</v>
      </c>
      <c r="X15" s="740">
        <v>2459.8746590496999</v>
      </c>
      <c r="Y15" s="740">
        <v>2096.9054452542</v>
      </c>
      <c r="Z15" s="740">
        <v>1753.7919345392299</v>
      </c>
      <c r="AA15" s="740">
        <v>1819.67704959553</v>
      </c>
      <c r="AB15" s="724">
        <f t="shared" si="2"/>
        <v>21132.781305</v>
      </c>
      <c r="AC15" s="740">
        <v>2431.3369980000002</v>
      </c>
      <c r="AD15" s="740">
        <v>1710.1410530000001</v>
      </c>
      <c r="AE15" s="740">
        <v>1290.937621</v>
      </c>
      <c r="AF15" s="740">
        <v>1350.2640739999999</v>
      </c>
      <c r="AG15" s="740">
        <v>1770.5907400000001</v>
      </c>
      <c r="AH15" s="740">
        <v>1374.9943860000001</v>
      </c>
      <c r="AI15" s="740">
        <v>1572.9789290000001</v>
      </c>
      <c r="AJ15" s="740">
        <v>2375.7891079999999</v>
      </c>
      <c r="AK15" s="740">
        <v>2232.5945120000001</v>
      </c>
      <c r="AL15" s="740">
        <v>1889.872901</v>
      </c>
      <c r="AM15" s="740">
        <v>1609.1626369999999</v>
      </c>
      <c r="AN15" s="740">
        <v>1524.118346</v>
      </c>
      <c r="AO15" s="740">
        <f>汇总!P17/10000</f>
        <v>149.39083600000001</v>
      </c>
      <c r="AP15" s="699">
        <f>汇总!M17/10000</f>
        <v>107.10259200000002</v>
      </c>
      <c r="AQ15" s="699">
        <f>汇总!N17/10000</f>
        <v>113.17930700000001</v>
      </c>
      <c r="AU15" s="726">
        <f t="shared" si="3"/>
        <v>149.39083600000001</v>
      </c>
      <c r="AV15" s="726">
        <f t="shared" si="4"/>
        <v>107.10259200000002</v>
      </c>
      <c r="AW15" s="726">
        <f t="shared" si="5"/>
        <v>113.17930700000001</v>
      </c>
      <c r="AX15" s="726">
        <f t="shared" si="6"/>
        <v>-20983.390469000002</v>
      </c>
      <c r="AY15" s="727">
        <f t="shared" si="0"/>
        <v>-18745.273601000001</v>
      </c>
      <c r="AZ15" s="727"/>
    </row>
    <row r="16" spans="1:52" ht="15" customHeight="1">
      <c r="A16" s="913"/>
      <c r="B16" s="738" t="s">
        <v>291</v>
      </c>
      <c r="C16" s="739">
        <f t="shared" si="1"/>
        <v>0</v>
      </c>
      <c r="D16" s="740"/>
      <c r="E16" s="724">
        <v>0</v>
      </c>
      <c r="F16" s="740">
        <v>0</v>
      </c>
      <c r="G16" s="740">
        <v>0</v>
      </c>
      <c r="H16" s="740">
        <v>0</v>
      </c>
      <c r="I16" s="740">
        <v>0</v>
      </c>
      <c r="J16" s="740">
        <v>0</v>
      </c>
      <c r="K16" s="740">
        <v>0</v>
      </c>
      <c r="L16" s="740">
        <v>0</v>
      </c>
      <c r="M16" s="740">
        <v>0</v>
      </c>
      <c r="N16" s="740">
        <v>0</v>
      </c>
      <c r="O16" s="740">
        <v>0</v>
      </c>
      <c r="P16" s="740"/>
      <c r="Q16" s="740"/>
      <c r="R16" s="740"/>
      <c r="S16" s="740"/>
      <c r="T16" s="740"/>
      <c r="U16" s="740"/>
      <c r="V16" s="740"/>
      <c r="W16" s="740"/>
      <c r="X16" s="740"/>
      <c r="Y16" s="740"/>
      <c r="Z16" s="740"/>
      <c r="AA16" s="740"/>
      <c r="AB16" s="724">
        <f t="shared" si="2"/>
        <v>0</v>
      </c>
      <c r="AC16" s="740"/>
      <c r="AD16" s="740"/>
      <c r="AE16" s="740"/>
      <c r="AF16" s="740"/>
      <c r="AG16" s="740"/>
      <c r="AH16" s="740">
        <v>0</v>
      </c>
      <c r="AI16" s="740"/>
      <c r="AJ16" s="740">
        <v>0</v>
      </c>
      <c r="AK16" s="740">
        <v>0</v>
      </c>
      <c r="AL16" s="740">
        <v>0</v>
      </c>
      <c r="AM16" s="740">
        <v>0</v>
      </c>
      <c r="AN16" s="740">
        <v>0</v>
      </c>
      <c r="AO16" s="740"/>
      <c r="AP16" s="699"/>
      <c r="AU16" s="726">
        <f t="shared" si="3"/>
        <v>0</v>
      </c>
      <c r="AV16" s="726">
        <f t="shared" si="4"/>
        <v>0</v>
      </c>
      <c r="AW16" s="726">
        <f t="shared" si="5"/>
        <v>0</v>
      </c>
      <c r="AX16" s="726">
        <f t="shared" si="6"/>
        <v>0</v>
      </c>
      <c r="AY16" s="727">
        <f t="shared" si="0"/>
        <v>0</v>
      </c>
      <c r="AZ16" s="727"/>
    </row>
    <row r="17" spans="1:52" ht="15" customHeight="1">
      <c r="A17" s="913"/>
      <c r="B17" s="738" t="s">
        <v>292</v>
      </c>
      <c r="C17" s="739">
        <f t="shared" si="1"/>
        <v>24088.968714999999</v>
      </c>
      <c r="D17" s="740">
        <v>2203.516498</v>
      </c>
      <c r="E17" s="724">
        <v>1914.4550220000001</v>
      </c>
      <c r="F17" s="740">
        <v>2016.3428550000001</v>
      </c>
      <c r="G17" s="740">
        <v>1953.279593</v>
      </c>
      <c r="H17" s="740">
        <v>2203.4083609999998</v>
      </c>
      <c r="I17" s="740">
        <v>1793.1298870000001</v>
      </c>
      <c r="J17" s="740">
        <v>2039.106297</v>
      </c>
      <c r="K17" s="740">
        <v>1914.794688</v>
      </c>
      <c r="L17" s="740">
        <v>2006.3398790000001</v>
      </c>
      <c r="M17" s="740">
        <v>2244.8807259999999</v>
      </c>
      <c r="N17" s="740">
        <v>1971.2774910000001</v>
      </c>
      <c r="O17" s="740">
        <v>1828.437418</v>
      </c>
      <c r="P17" s="740">
        <v>2034.4871908677101</v>
      </c>
      <c r="Q17" s="740">
        <v>1905.9524188252301</v>
      </c>
      <c r="R17" s="740">
        <v>1905.3844508167999</v>
      </c>
      <c r="S17" s="740">
        <v>1980.7134535150699</v>
      </c>
      <c r="T17" s="740">
        <v>2045.8670472950701</v>
      </c>
      <c r="U17" s="740">
        <v>1963.7883608212401</v>
      </c>
      <c r="V17" s="740">
        <v>2059.4626057154701</v>
      </c>
      <c r="W17" s="740">
        <v>2096.97303560198</v>
      </c>
      <c r="X17" s="740">
        <v>2004.17118148745</v>
      </c>
      <c r="Y17" s="740">
        <v>2189.0382376172101</v>
      </c>
      <c r="Z17" s="740">
        <v>2021.3517968179699</v>
      </c>
      <c r="AA17" s="740">
        <v>2014.4365572884999</v>
      </c>
      <c r="AB17" s="724">
        <f t="shared" si="2"/>
        <v>27142.130184000001</v>
      </c>
      <c r="AC17" s="740">
        <v>2442.1638990000001</v>
      </c>
      <c r="AD17" s="740">
        <v>2349.8483580000002</v>
      </c>
      <c r="AE17" s="740">
        <v>2183.836652</v>
      </c>
      <c r="AF17" s="740">
        <v>2215.3160939999998</v>
      </c>
      <c r="AG17" s="740">
        <v>2288.8953660000002</v>
      </c>
      <c r="AH17" s="740">
        <v>2146.3389189999998</v>
      </c>
      <c r="AI17" s="740">
        <v>2633.476001</v>
      </c>
      <c r="AJ17" s="740">
        <v>2328.2862679999998</v>
      </c>
      <c r="AK17" s="740">
        <v>2122.932965</v>
      </c>
      <c r="AL17" s="740">
        <v>2293.09803900001</v>
      </c>
      <c r="AM17" s="740">
        <v>2066.2367829999998</v>
      </c>
      <c r="AN17" s="740">
        <v>2071.70083999999</v>
      </c>
      <c r="AO17" s="740">
        <f>(汇总!P44+汇总!P45+汇总!P61+汇总!P62+汇总!P79+汇总!P80)/10000</f>
        <v>129.208122</v>
      </c>
      <c r="AP17" s="699">
        <f>(汇总!M44+汇总!M45+汇总!M61+汇总!M62+汇总!M79+汇总!M80)/10000</f>
        <v>102.84287599999999</v>
      </c>
      <c r="AQ17" s="699">
        <f>(汇总!N44+汇总!N45+汇总!N61+汇总!N62+汇总!N79+汇总!N80)/10000</f>
        <v>120.64576299999999</v>
      </c>
      <c r="AR17" s="699" t="e">
        <f>-#REF!/10000</f>
        <v>#REF!</v>
      </c>
      <c r="AS17" s="729" t="e">
        <f>-#REF!/10000</f>
        <v>#REF!</v>
      </c>
      <c r="AT17" s="729" t="e">
        <f>-#REF!/10000</f>
        <v>#REF!</v>
      </c>
      <c r="AU17" s="726" t="e">
        <f t="shared" si="3"/>
        <v>#REF!</v>
      </c>
      <c r="AV17" s="726" t="e">
        <f t="shared" si="4"/>
        <v>#REF!</v>
      </c>
      <c r="AW17" s="726" t="e">
        <f t="shared" si="5"/>
        <v>#REF!</v>
      </c>
      <c r="AX17" s="726" t="e">
        <f t="shared" si="6"/>
        <v>#REF!</v>
      </c>
      <c r="AY17" s="727" t="e">
        <f t="shared" si="0"/>
        <v>#REF!</v>
      </c>
      <c r="AZ17" s="727"/>
    </row>
    <row r="18" spans="1:52" ht="15" customHeight="1">
      <c r="A18" s="913"/>
      <c r="B18" s="738" t="s">
        <v>293</v>
      </c>
      <c r="C18" s="739">
        <f t="shared" si="1"/>
        <v>0</v>
      </c>
      <c r="D18" s="740"/>
      <c r="E18" s="724"/>
      <c r="F18" s="740"/>
      <c r="G18" s="740">
        <v>0</v>
      </c>
      <c r="H18" s="740">
        <v>0</v>
      </c>
      <c r="I18" s="740">
        <v>0</v>
      </c>
      <c r="J18" s="740">
        <v>0</v>
      </c>
      <c r="K18" s="740">
        <v>0</v>
      </c>
      <c r="L18" s="740">
        <v>0</v>
      </c>
      <c r="M18" s="740">
        <v>0</v>
      </c>
      <c r="N18" s="740">
        <v>0</v>
      </c>
      <c r="O18" s="740">
        <v>0</v>
      </c>
      <c r="P18" s="740"/>
      <c r="Q18" s="740"/>
      <c r="R18" s="740"/>
      <c r="S18" s="740"/>
      <c r="T18" s="740"/>
      <c r="U18" s="740"/>
      <c r="V18" s="740"/>
      <c r="W18" s="740"/>
      <c r="X18" s="740"/>
      <c r="Y18" s="740"/>
      <c r="Z18" s="740"/>
      <c r="AA18" s="740"/>
      <c r="AB18" s="724">
        <f t="shared" si="2"/>
        <v>0</v>
      </c>
      <c r="AC18" s="740"/>
      <c r="AD18" s="740"/>
      <c r="AE18" s="740"/>
      <c r="AF18" s="740"/>
      <c r="AG18" s="740"/>
      <c r="AH18" s="740">
        <v>0</v>
      </c>
      <c r="AI18" s="740"/>
      <c r="AJ18" s="740">
        <v>0</v>
      </c>
      <c r="AK18" s="740">
        <v>0</v>
      </c>
      <c r="AL18" s="740">
        <v>0</v>
      </c>
      <c r="AM18" s="740">
        <v>0</v>
      </c>
      <c r="AN18" s="740">
        <v>0</v>
      </c>
      <c r="AO18" s="740"/>
      <c r="AP18" s="699"/>
      <c r="AU18" s="726">
        <f t="shared" si="3"/>
        <v>0</v>
      </c>
      <c r="AV18" s="726">
        <f t="shared" si="4"/>
        <v>0</v>
      </c>
      <c r="AW18" s="726">
        <f t="shared" si="5"/>
        <v>0</v>
      </c>
      <c r="AX18" s="726">
        <f t="shared" si="6"/>
        <v>0</v>
      </c>
      <c r="AY18" s="727">
        <f t="shared" si="0"/>
        <v>0</v>
      </c>
      <c r="AZ18" s="727"/>
    </row>
    <row r="19" spans="1:52" ht="15" customHeight="1">
      <c r="A19" s="913"/>
      <c r="B19" s="738" t="s">
        <v>294</v>
      </c>
      <c r="C19" s="739">
        <f t="shared" si="1"/>
        <v>0</v>
      </c>
      <c r="D19" s="740"/>
      <c r="E19" s="724">
        <v>0</v>
      </c>
      <c r="F19" s="740">
        <v>0</v>
      </c>
      <c r="G19" s="740">
        <v>0</v>
      </c>
      <c r="H19" s="740">
        <v>0</v>
      </c>
      <c r="I19" s="740">
        <v>0</v>
      </c>
      <c r="J19" s="740">
        <v>0</v>
      </c>
      <c r="K19" s="740">
        <v>0</v>
      </c>
      <c r="L19" s="740">
        <v>0</v>
      </c>
      <c r="M19" s="740">
        <v>0</v>
      </c>
      <c r="N19" s="740">
        <v>0</v>
      </c>
      <c r="O19" s="740">
        <v>0</v>
      </c>
      <c r="P19" s="740"/>
      <c r="Q19" s="740"/>
      <c r="R19" s="740"/>
      <c r="S19" s="740"/>
      <c r="T19" s="740"/>
      <c r="U19" s="740"/>
      <c r="V19" s="740"/>
      <c r="W19" s="740"/>
      <c r="X19" s="740"/>
      <c r="Y19" s="740"/>
      <c r="Z19" s="740"/>
      <c r="AA19" s="740"/>
      <c r="AB19" s="724">
        <f t="shared" si="2"/>
        <v>0</v>
      </c>
      <c r="AC19" s="740"/>
      <c r="AD19" s="740"/>
      <c r="AE19" s="740"/>
      <c r="AF19" s="740"/>
      <c r="AG19" s="740"/>
      <c r="AH19" s="740">
        <v>0</v>
      </c>
      <c r="AI19" s="740"/>
      <c r="AJ19" s="740">
        <v>0</v>
      </c>
      <c r="AK19" s="740">
        <v>0</v>
      </c>
      <c r="AL19" s="740">
        <v>0</v>
      </c>
      <c r="AM19" s="740">
        <v>0</v>
      </c>
      <c r="AN19" s="740">
        <v>0</v>
      </c>
      <c r="AO19" s="740"/>
      <c r="AP19" s="699"/>
      <c r="AU19" s="726">
        <f t="shared" si="3"/>
        <v>0</v>
      </c>
      <c r="AV19" s="726">
        <f t="shared" si="4"/>
        <v>0</v>
      </c>
      <c r="AW19" s="726">
        <f t="shared" si="5"/>
        <v>0</v>
      </c>
      <c r="AX19" s="726">
        <f t="shared" si="6"/>
        <v>0</v>
      </c>
      <c r="AY19" s="727">
        <f t="shared" si="0"/>
        <v>0</v>
      </c>
      <c r="AZ19" s="727"/>
    </row>
    <row r="20" spans="1:52" ht="15" customHeight="1">
      <c r="A20" s="913"/>
      <c r="B20" s="738" t="s">
        <v>295</v>
      </c>
      <c r="C20" s="739">
        <f t="shared" si="1"/>
        <v>0</v>
      </c>
      <c r="D20" s="740"/>
      <c r="E20" s="724">
        <v>0</v>
      </c>
      <c r="F20" s="740">
        <v>0</v>
      </c>
      <c r="G20" s="740">
        <v>0</v>
      </c>
      <c r="H20" s="740">
        <v>0</v>
      </c>
      <c r="I20" s="740">
        <v>0</v>
      </c>
      <c r="J20" s="740">
        <v>0</v>
      </c>
      <c r="K20" s="740">
        <v>0</v>
      </c>
      <c r="L20" s="740">
        <v>0</v>
      </c>
      <c r="M20" s="740">
        <v>0</v>
      </c>
      <c r="N20" s="740">
        <v>0</v>
      </c>
      <c r="O20" s="740">
        <v>0</v>
      </c>
      <c r="P20" s="740"/>
      <c r="Q20" s="740"/>
      <c r="R20" s="740"/>
      <c r="S20" s="740"/>
      <c r="T20" s="740"/>
      <c r="U20" s="740"/>
      <c r="V20" s="740"/>
      <c r="W20" s="740"/>
      <c r="X20" s="740"/>
      <c r="Y20" s="740"/>
      <c r="Z20" s="740"/>
      <c r="AA20" s="740"/>
      <c r="AB20" s="724">
        <f t="shared" si="2"/>
        <v>0</v>
      </c>
      <c r="AC20" s="740"/>
      <c r="AD20" s="740"/>
      <c r="AE20" s="740"/>
      <c r="AF20" s="740"/>
      <c r="AG20" s="740"/>
      <c r="AH20" s="740">
        <v>0</v>
      </c>
      <c r="AI20" s="740"/>
      <c r="AJ20" s="740">
        <v>0</v>
      </c>
      <c r="AK20" s="740">
        <v>0</v>
      </c>
      <c r="AL20" s="740">
        <v>0</v>
      </c>
      <c r="AM20" s="740">
        <v>0</v>
      </c>
      <c r="AN20" s="740">
        <v>0</v>
      </c>
      <c r="AO20" s="740"/>
      <c r="AP20" s="699"/>
      <c r="AU20" s="726">
        <f t="shared" si="3"/>
        <v>0</v>
      </c>
      <c r="AV20" s="726">
        <f t="shared" si="4"/>
        <v>0</v>
      </c>
      <c r="AW20" s="726">
        <f t="shared" si="5"/>
        <v>0</v>
      </c>
      <c r="AX20" s="726">
        <f t="shared" si="6"/>
        <v>0</v>
      </c>
      <c r="AY20" s="727">
        <f t="shared" si="0"/>
        <v>0</v>
      </c>
      <c r="AZ20" s="727"/>
    </row>
    <row r="21" spans="1:52" ht="15" customHeight="1">
      <c r="A21" s="913" t="s">
        <v>296</v>
      </c>
      <c r="B21" s="738" t="s">
        <v>292</v>
      </c>
      <c r="C21" s="739">
        <f t="shared" si="1"/>
        <v>14968.935200000002</v>
      </c>
      <c r="D21" s="740">
        <v>1289.9799350000001</v>
      </c>
      <c r="E21" s="724">
        <v>1261.425943</v>
      </c>
      <c r="F21" s="740">
        <v>1342.0752660000001</v>
      </c>
      <c r="G21" s="740">
        <v>1243.0876539999999</v>
      </c>
      <c r="H21" s="740">
        <v>1343.696766</v>
      </c>
      <c r="I21" s="740">
        <v>1180.5056239999999</v>
      </c>
      <c r="J21" s="740">
        <v>1223.795325</v>
      </c>
      <c r="K21" s="740">
        <v>1203.279133</v>
      </c>
      <c r="L21" s="740">
        <v>1196.660558</v>
      </c>
      <c r="M21" s="740">
        <v>1277.0101010000001</v>
      </c>
      <c r="N21" s="740">
        <v>1224.1117850000001</v>
      </c>
      <c r="O21" s="740">
        <v>1183.30711</v>
      </c>
      <c r="P21" s="740">
        <v>1335.69491241231</v>
      </c>
      <c r="Q21" s="740">
        <v>1293.3463681022099</v>
      </c>
      <c r="R21" s="740">
        <v>1328.7493914808099</v>
      </c>
      <c r="S21" s="740">
        <v>1333.715897025</v>
      </c>
      <c r="T21" s="740">
        <v>1343.7475277311701</v>
      </c>
      <c r="U21" s="740">
        <v>1325.21059889142</v>
      </c>
      <c r="V21" s="740">
        <v>1365.63129933751</v>
      </c>
      <c r="W21" s="740">
        <v>1377.30009512267</v>
      </c>
      <c r="X21" s="740">
        <v>1344.29931518226</v>
      </c>
      <c r="Y21" s="740">
        <v>1391.3615273784801</v>
      </c>
      <c r="Z21" s="740">
        <v>1326.23943023741</v>
      </c>
      <c r="AA21" s="740">
        <v>1359.4268225089099</v>
      </c>
      <c r="AB21" s="724">
        <f t="shared" si="2"/>
        <v>16618.101252</v>
      </c>
      <c r="AC21" s="740">
        <v>1515.1979610000001</v>
      </c>
      <c r="AD21" s="740">
        <v>1444.743868</v>
      </c>
      <c r="AE21" s="740">
        <v>1368.858909</v>
      </c>
      <c r="AF21" s="740">
        <v>1365.0714049999999</v>
      </c>
      <c r="AG21" s="740">
        <v>1556.824435</v>
      </c>
      <c r="AH21" s="740">
        <v>1311.68147</v>
      </c>
      <c r="AI21" s="740">
        <v>1413.300954</v>
      </c>
      <c r="AJ21" s="740">
        <v>1354.6427389999999</v>
      </c>
      <c r="AK21" s="740">
        <v>1287.1561839999999</v>
      </c>
      <c r="AL21" s="740">
        <v>1372.119541</v>
      </c>
      <c r="AM21" s="740">
        <v>1241.0058730000001</v>
      </c>
      <c r="AN21" s="740">
        <v>1387.4979129999999</v>
      </c>
      <c r="AO21" s="740">
        <f>(汇总!P91+汇总!P92+汇总!P98+汇总!P99+汇总!P103+汇总!P104)/10000</f>
        <v>100.847539</v>
      </c>
      <c r="AP21" s="699">
        <f>(汇总!M91+汇总!M92+汇总!M98+汇总!M99+汇总!M103+汇总!M104)/10000</f>
        <v>87.170944000000006</v>
      </c>
      <c r="AQ21" s="699">
        <f>(汇总!N91+汇总!N92+汇总!N98+汇总!N99+汇总!N103+汇总!N104)/10000</f>
        <v>90.617542999999998</v>
      </c>
      <c r="AU21" s="726">
        <f t="shared" si="3"/>
        <v>100.847539</v>
      </c>
      <c r="AV21" s="726">
        <f t="shared" si="4"/>
        <v>87.170944000000006</v>
      </c>
      <c r="AW21" s="726">
        <f t="shared" si="5"/>
        <v>90.617542999999998</v>
      </c>
      <c r="AX21" s="726">
        <f t="shared" si="6"/>
        <v>-16517.253713000002</v>
      </c>
      <c r="AY21" s="727">
        <f t="shared" si="0"/>
        <v>-14881.764256000002</v>
      </c>
      <c r="AZ21" s="727"/>
    </row>
    <row r="22" spans="1:52" ht="15" customHeight="1">
      <c r="A22" s="913"/>
      <c r="B22" s="738" t="s">
        <v>297</v>
      </c>
      <c r="C22" s="739">
        <f t="shared" si="1"/>
        <v>0</v>
      </c>
      <c r="D22" s="740"/>
      <c r="E22" s="724"/>
      <c r="F22" s="740"/>
      <c r="G22" s="740">
        <v>0</v>
      </c>
      <c r="H22" s="740">
        <v>0</v>
      </c>
      <c r="I22" s="740">
        <v>0</v>
      </c>
      <c r="J22" s="740">
        <v>0</v>
      </c>
      <c r="K22" s="740">
        <v>0</v>
      </c>
      <c r="L22" s="740">
        <v>0</v>
      </c>
      <c r="M22" s="740">
        <v>0</v>
      </c>
      <c r="N22" s="740">
        <v>0</v>
      </c>
      <c r="O22" s="740">
        <v>0</v>
      </c>
      <c r="P22" s="740"/>
      <c r="Q22" s="740"/>
      <c r="R22" s="740"/>
      <c r="S22" s="740"/>
      <c r="T22" s="740"/>
      <c r="U22" s="740"/>
      <c r="V22" s="740"/>
      <c r="W22" s="740"/>
      <c r="X22" s="740"/>
      <c r="Y22" s="740"/>
      <c r="Z22" s="740"/>
      <c r="AA22" s="740"/>
      <c r="AB22" s="724">
        <f t="shared" si="2"/>
        <v>0</v>
      </c>
      <c r="AC22" s="740"/>
      <c r="AD22" s="740"/>
      <c r="AE22" s="740"/>
      <c r="AF22" s="740"/>
      <c r="AG22" s="740"/>
      <c r="AH22" s="740">
        <v>0</v>
      </c>
      <c r="AI22" s="740"/>
      <c r="AJ22" s="740">
        <v>0</v>
      </c>
      <c r="AK22" s="740">
        <v>0</v>
      </c>
      <c r="AL22" s="740">
        <v>0</v>
      </c>
      <c r="AM22" s="740">
        <v>0</v>
      </c>
      <c r="AN22" s="740">
        <v>0</v>
      </c>
      <c r="AO22" s="740"/>
      <c r="AP22" s="699"/>
      <c r="AU22" s="726">
        <f t="shared" si="3"/>
        <v>0</v>
      </c>
      <c r="AV22" s="726">
        <f t="shared" si="4"/>
        <v>0</v>
      </c>
      <c r="AW22" s="726">
        <f t="shared" si="5"/>
        <v>0</v>
      </c>
      <c r="AX22" s="726">
        <f t="shared" si="6"/>
        <v>0</v>
      </c>
      <c r="AY22" s="727">
        <f t="shared" si="0"/>
        <v>0</v>
      </c>
      <c r="AZ22" s="727"/>
    </row>
    <row r="23" spans="1:52" ht="15" customHeight="1">
      <c r="A23" s="913"/>
      <c r="B23" s="738" t="s">
        <v>288</v>
      </c>
      <c r="C23" s="739">
        <f t="shared" si="1"/>
        <v>32891.400943222223</v>
      </c>
      <c r="D23" s="740">
        <v>2748.0376611851898</v>
      </c>
      <c r="E23" s="724">
        <v>2747.5546481851802</v>
      </c>
      <c r="F23" s="740">
        <v>2749.4826621851898</v>
      </c>
      <c r="G23" s="740">
        <v>2747.4841111851902</v>
      </c>
      <c r="H23" s="740">
        <v>2298.7631071851802</v>
      </c>
      <c r="I23" s="740">
        <v>2601.7072501851799</v>
      </c>
      <c r="J23" s="740">
        <v>2630.6000311851899</v>
      </c>
      <c r="K23" s="740">
        <v>3416.8471921851801</v>
      </c>
      <c r="L23" s="740">
        <v>2730.3372101851901</v>
      </c>
      <c r="M23" s="740">
        <v>2732.8158171851701</v>
      </c>
      <c r="N23" s="740">
        <v>2726.8364661852002</v>
      </c>
      <c r="O23" s="740">
        <v>2760.9347861851802</v>
      </c>
      <c r="P23" s="740">
        <v>2881.90209651852</v>
      </c>
      <c r="Q23" s="740">
        <v>2883.0616795185201</v>
      </c>
      <c r="R23" s="740">
        <v>2884.1735905185201</v>
      </c>
      <c r="S23" s="740">
        <v>2885.8988775185198</v>
      </c>
      <c r="T23" s="740">
        <v>2886.7602475185199</v>
      </c>
      <c r="U23" s="740">
        <v>2886.0176235185199</v>
      </c>
      <c r="V23" s="740">
        <v>2886.0840215185199</v>
      </c>
      <c r="W23" s="740">
        <v>2886.2975805185201</v>
      </c>
      <c r="X23" s="740">
        <v>2887.1521495185202</v>
      </c>
      <c r="Y23" s="740">
        <v>2887.5341065185198</v>
      </c>
      <c r="Z23" s="740">
        <v>2888.0363565185198</v>
      </c>
      <c r="AA23" s="740">
        <v>2887.90392051852</v>
      </c>
      <c r="AB23" s="724">
        <f t="shared" si="2"/>
        <v>33502.958339222227</v>
      </c>
      <c r="AC23" s="740">
        <v>2811.09800718519</v>
      </c>
      <c r="AD23" s="740">
        <v>2661.7215031851902</v>
      </c>
      <c r="AE23" s="740">
        <v>2931.4476251851902</v>
      </c>
      <c r="AF23" s="740">
        <v>2866.5736731851898</v>
      </c>
      <c r="AG23" s="740">
        <v>2809.1223421851901</v>
      </c>
      <c r="AH23" s="740">
        <v>2900.3934821851799</v>
      </c>
      <c r="AI23" s="740">
        <v>2906.8745761851901</v>
      </c>
      <c r="AJ23" s="740">
        <v>2889.75962218518</v>
      </c>
      <c r="AK23" s="740">
        <v>2889.0658421851899</v>
      </c>
      <c r="AL23" s="740">
        <v>2349.4019991851901</v>
      </c>
      <c r="AM23" s="740">
        <v>2759.4744491851802</v>
      </c>
      <c r="AN23" s="740">
        <v>2728.0252171851698</v>
      </c>
      <c r="AO23" s="740">
        <f>汇总!P128/10000</f>
        <v>59.499327000000001</v>
      </c>
      <c r="AP23" s="699">
        <f>汇总!M128/10000</f>
        <v>58.990434999999998</v>
      </c>
      <c r="AQ23" s="699">
        <f>汇总!N128/10000</f>
        <v>58.562946999999994</v>
      </c>
      <c r="AU23" s="730">
        <f t="shared" si="3"/>
        <v>59.499327000000001</v>
      </c>
      <c r="AV23" s="730">
        <f t="shared" si="4"/>
        <v>58.990434999999998</v>
      </c>
      <c r="AW23" s="726">
        <f t="shared" si="5"/>
        <v>58.562946999999994</v>
      </c>
      <c r="AX23" s="726">
        <f t="shared" si="6"/>
        <v>-33443.459012222229</v>
      </c>
      <c r="AY23" s="727">
        <f t="shared" si="0"/>
        <v>-32832.410508222223</v>
      </c>
      <c r="AZ23" s="727"/>
    </row>
    <row r="24" spans="1:52" ht="15" customHeight="1">
      <c r="A24" s="913"/>
      <c r="B24" s="738" t="s">
        <v>298</v>
      </c>
      <c r="C24" s="739">
        <f t="shared" si="1"/>
        <v>9021.3736289999997</v>
      </c>
      <c r="D24" s="740">
        <v>920.42333799999994</v>
      </c>
      <c r="E24" s="724">
        <v>830.16601000000003</v>
      </c>
      <c r="F24" s="740">
        <v>696.57531700000004</v>
      </c>
      <c r="G24" s="740">
        <v>576.24386300000003</v>
      </c>
      <c r="H24" s="740">
        <v>673.11429399999997</v>
      </c>
      <c r="I24" s="740">
        <v>664.11875499999906</v>
      </c>
      <c r="J24" s="740">
        <v>890.06254800000295</v>
      </c>
      <c r="K24" s="740">
        <v>896.98784999999998</v>
      </c>
      <c r="L24" s="740">
        <v>679.53559299999904</v>
      </c>
      <c r="M24" s="740">
        <v>666.137202</v>
      </c>
      <c r="N24" s="740">
        <v>710.11843600000304</v>
      </c>
      <c r="O24" s="740">
        <v>817.89042299999699</v>
      </c>
      <c r="P24" s="740">
        <v>997.461885010061</v>
      </c>
      <c r="Q24" s="740">
        <v>885.05607773468398</v>
      </c>
      <c r="R24" s="740">
        <v>753.10384356101201</v>
      </c>
      <c r="S24" s="740">
        <v>662.00569178324599</v>
      </c>
      <c r="T24" s="740">
        <v>706.37725230764795</v>
      </c>
      <c r="U24" s="740">
        <v>740.06523050307703</v>
      </c>
      <c r="V24" s="740">
        <v>954.64955673085501</v>
      </c>
      <c r="W24" s="740">
        <v>981.21669179559694</v>
      </c>
      <c r="X24" s="740">
        <v>787.35814308795398</v>
      </c>
      <c r="Y24" s="740">
        <v>780.53353857084198</v>
      </c>
      <c r="Z24" s="740">
        <v>842.19001630074604</v>
      </c>
      <c r="AA24" s="740">
        <v>937.46686962799299</v>
      </c>
      <c r="AB24" s="724">
        <f t="shared" si="2"/>
        <v>10210.131174999999</v>
      </c>
      <c r="AC24" s="740">
        <v>1049.6541480000001</v>
      </c>
      <c r="AD24" s="740">
        <v>966.64472999999998</v>
      </c>
      <c r="AE24" s="740">
        <v>790.56416200000001</v>
      </c>
      <c r="AF24" s="740">
        <v>738.23683400000004</v>
      </c>
      <c r="AG24" s="740">
        <v>663.73513200000002</v>
      </c>
      <c r="AH24" s="740">
        <v>750.75754300000199</v>
      </c>
      <c r="AI24" s="740">
        <v>1048.483827</v>
      </c>
      <c r="AJ24" s="740">
        <v>1112.9793159999999</v>
      </c>
      <c r="AK24" s="740">
        <v>833.70553400000097</v>
      </c>
      <c r="AL24" s="740">
        <v>642.69942800000001</v>
      </c>
      <c r="AM24" s="740">
        <v>696.822372000001</v>
      </c>
      <c r="AN24" s="740">
        <v>915.84814899999401</v>
      </c>
      <c r="AO24" s="740">
        <f>汇总!P101/10000</f>
        <v>120.78555499999999</v>
      </c>
      <c r="AP24" s="699">
        <f>汇总!M101/10000</f>
        <v>121.017425</v>
      </c>
      <c r="AQ24" s="699">
        <f>汇总!N101/10000</f>
        <v>103.88839399999999</v>
      </c>
      <c r="AU24" s="726">
        <f t="shared" si="3"/>
        <v>120.78555499999999</v>
      </c>
      <c r="AV24" s="726">
        <f t="shared" si="4"/>
        <v>121.017425</v>
      </c>
      <c r="AW24" s="726">
        <f t="shared" si="5"/>
        <v>103.88839399999999</v>
      </c>
      <c r="AX24" s="726">
        <f t="shared" si="6"/>
        <v>-10089.345619999998</v>
      </c>
      <c r="AY24" s="727">
        <f t="shared" si="0"/>
        <v>-8900.3562039999997</v>
      </c>
      <c r="AZ24" s="727"/>
    </row>
    <row r="25" spans="1:52" ht="15" customHeight="1">
      <c r="A25" s="913"/>
      <c r="B25" s="738" t="s">
        <v>299</v>
      </c>
      <c r="C25" s="739">
        <f t="shared" si="1"/>
        <v>6714.9640629999994</v>
      </c>
      <c r="D25" s="740">
        <v>538.47146633333296</v>
      </c>
      <c r="E25" s="724">
        <v>590.26001133333295</v>
      </c>
      <c r="F25" s="740">
        <v>554.29376333333403</v>
      </c>
      <c r="G25" s="740">
        <v>553.52669033333302</v>
      </c>
      <c r="H25" s="740">
        <v>479.28810933333301</v>
      </c>
      <c r="I25" s="740">
        <v>547.00726233333398</v>
      </c>
      <c r="J25" s="740">
        <v>522.91979533333301</v>
      </c>
      <c r="K25" s="740">
        <v>599.43112833333203</v>
      </c>
      <c r="L25" s="740">
        <v>540.43569733333402</v>
      </c>
      <c r="M25" s="740">
        <v>546.38950233333298</v>
      </c>
      <c r="N25" s="740">
        <v>535.12120833333199</v>
      </c>
      <c r="O25" s="740">
        <v>707.81942833333596</v>
      </c>
      <c r="P25" s="740">
        <v>450.891318884866</v>
      </c>
      <c r="Q25" s="740">
        <v>467.02099269055401</v>
      </c>
      <c r="R25" s="740">
        <v>446.47642960655497</v>
      </c>
      <c r="S25" s="740">
        <v>437.40124518333101</v>
      </c>
      <c r="T25" s="740">
        <v>439.98845094896001</v>
      </c>
      <c r="U25" s="740">
        <v>448.90945498043101</v>
      </c>
      <c r="V25" s="740">
        <v>441.703459211292</v>
      </c>
      <c r="W25" s="740">
        <v>442.77560102356398</v>
      </c>
      <c r="X25" s="740">
        <v>450.18803774269998</v>
      </c>
      <c r="Y25" s="740">
        <v>446.22049777072402</v>
      </c>
      <c r="Z25" s="740">
        <v>442.01154141111999</v>
      </c>
      <c r="AA25" s="740">
        <v>460.66509736543497</v>
      </c>
      <c r="AB25" s="724">
        <f t="shared" si="2"/>
        <v>6717.6439440000013</v>
      </c>
      <c r="AC25" s="740">
        <v>543.69943233333299</v>
      </c>
      <c r="AD25" s="740">
        <v>592.03413999999998</v>
      </c>
      <c r="AE25" s="740">
        <v>582.68256599999995</v>
      </c>
      <c r="AF25" s="740">
        <v>555.360276</v>
      </c>
      <c r="AG25" s="740">
        <v>569.96202433333303</v>
      </c>
      <c r="AH25" s="740">
        <v>547.29895033333298</v>
      </c>
      <c r="AI25" s="740">
        <v>553.42252633333305</v>
      </c>
      <c r="AJ25" s="740">
        <v>571.92126433333397</v>
      </c>
      <c r="AK25" s="740">
        <v>562.30135533333305</v>
      </c>
      <c r="AL25" s="740">
        <v>560.78006833333404</v>
      </c>
      <c r="AM25" s="740">
        <v>547.18114233333199</v>
      </c>
      <c r="AN25" s="740">
        <v>531.00019833333602</v>
      </c>
      <c r="AO25" s="740">
        <f>(汇总!P96+汇总!P117)/10000</f>
        <v>14.877452000000002</v>
      </c>
      <c r="AP25" s="699">
        <f>(汇总!M96+汇总!M117)/10000</f>
        <v>14.3546</v>
      </c>
      <c r="AQ25" s="699">
        <f>(汇总!N96+汇总!N117)/10000</f>
        <v>15.490758999999999</v>
      </c>
      <c r="AU25" s="726">
        <f t="shared" si="3"/>
        <v>14.877452000000002</v>
      </c>
      <c r="AV25" s="726">
        <f t="shared" si="4"/>
        <v>14.3546</v>
      </c>
      <c r="AW25" s="726">
        <f t="shared" si="5"/>
        <v>15.490758999999999</v>
      </c>
      <c r="AX25" s="726">
        <f t="shared" si="6"/>
        <v>-6702.7664920000016</v>
      </c>
      <c r="AY25" s="727">
        <f t="shared" si="0"/>
        <v>-6700.6094629999998</v>
      </c>
      <c r="AZ25" s="727"/>
    </row>
    <row r="26" spans="1:52" ht="15" customHeight="1">
      <c r="A26" s="913"/>
      <c r="B26" s="741" t="s">
        <v>300</v>
      </c>
      <c r="C26" s="742">
        <f t="shared" si="1"/>
        <v>3199.822576</v>
      </c>
      <c r="D26" s="743">
        <v>294.63893899999999</v>
      </c>
      <c r="E26" s="724">
        <v>226.78463199999999</v>
      </c>
      <c r="F26" s="743">
        <v>247.16690199999999</v>
      </c>
      <c r="G26" s="743">
        <v>249.49874299999999</v>
      </c>
      <c r="H26" s="743">
        <v>298.321325</v>
      </c>
      <c r="I26" s="743">
        <v>221.38530800000001</v>
      </c>
      <c r="J26" s="743">
        <v>236.51510500000001</v>
      </c>
      <c r="K26" s="743">
        <v>234.83014800000001</v>
      </c>
      <c r="L26" s="743">
        <v>230.054733</v>
      </c>
      <c r="M26" s="743">
        <v>317.002026</v>
      </c>
      <c r="N26" s="743">
        <v>313.031834</v>
      </c>
      <c r="O26" s="743">
        <v>330.59288099999998</v>
      </c>
      <c r="P26" s="743">
        <v>297.89918857088202</v>
      </c>
      <c r="Q26" s="743">
        <v>232.7844010817</v>
      </c>
      <c r="R26" s="743">
        <v>286.54961543188</v>
      </c>
      <c r="S26" s="743">
        <v>296.74221281300498</v>
      </c>
      <c r="T26" s="743">
        <v>336.185791851837</v>
      </c>
      <c r="U26" s="743">
        <v>294.41072062733701</v>
      </c>
      <c r="V26" s="743">
        <v>321.405864822051</v>
      </c>
      <c r="W26" s="743">
        <v>357.47121265931997</v>
      </c>
      <c r="X26" s="743">
        <v>301.82413899422102</v>
      </c>
      <c r="Y26" s="743">
        <v>387.738606463064</v>
      </c>
      <c r="Z26" s="743">
        <v>327.572414841095</v>
      </c>
      <c r="AA26" s="743">
        <v>342.48895487264298</v>
      </c>
      <c r="AB26" s="724">
        <f t="shared" si="2"/>
        <v>3513.7856769999994</v>
      </c>
      <c r="AC26" s="743">
        <v>302.62703900000002</v>
      </c>
      <c r="AD26" s="743">
        <v>273.392831</v>
      </c>
      <c r="AE26" s="743">
        <v>316.495203</v>
      </c>
      <c r="AF26" s="743">
        <v>256.21441900000002</v>
      </c>
      <c r="AG26" s="743">
        <v>322.64555799999999</v>
      </c>
      <c r="AH26" s="743">
        <v>252.737707</v>
      </c>
      <c r="AI26" s="743">
        <v>275.62113199999999</v>
      </c>
      <c r="AJ26" s="743">
        <v>347.63464599999998</v>
      </c>
      <c r="AK26" s="743">
        <v>215.855436999999</v>
      </c>
      <c r="AL26" s="743">
        <v>291.28681499999999</v>
      </c>
      <c r="AM26" s="743">
        <v>320.27584800000102</v>
      </c>
      <c r="AN26" s="743">
        <v>338.99904199999997</v>
      </c>
      <c r="AO26" s="743">
        <f>(汇总!P110+汇总!P112)/10000</f>
        <v>11.942634000000002</v>
      </c>
      <c r="AP26" s="699">
        <f>(汇总!M110+汇总!M112)/10000</f>
        <v>10.173693999999999</v>
      </c>
      <c r="AQ26" s="699">
        <f>(汇总!N110+汇总!N112)/10000</f>
        <v>9.9329600000000013</v>
      </c>
      <c r="AU26" s="726">
        <f t="shared" si="3"/>
        <v>11.942634000000002</v>
      </c>
      <c r="AV26" s="726">
        <f t="shared" si="4"/>
        <v>10.173693999999999</v>
      </c>
      <c r="AW26" s="726">
        <f t="shared" si="5"/>
        <v>9.9329600000000013</v>
      </c>
      <c r="AX26" s="726">
        <f t="shared" si="6"/>
        <v>-3501.8430429999994</v>
      </c>
      <c r="AY26" s="727">
        <f t="shared" si="0"/>
        <v>-3189.648882</v>
      </c>
      <c r="AZ26" s="727"/>
    </row>
    <row r="27" spans="1:52" ht="15" customHeight="1">
      <c r="A27" s="913"/>
      <c r="B27" s="738" t="s">
        <v>301</v>
      </c>
      <c r="C27" s="739">
        <f t="shared" si="1"/>
        <v>20765.609970999987</v>
      </c>
      <c r="D27" s="740">
        <v>1919.976163</v>
      </c>
      <c r="E27" s="724">
        <v>1927.29088</v>
      </c>
      <c r="F27" s="740">
        <v>1956.3485250000001</v>
      </c>
      <c r="G27" s="740">
        <v>1747.7678559999899</v>
      </c>
      <c r="H27" s="740">
        <v>2291.7370219999998</v>
      </c>
      <c r="I27" s="740">
        <v>1629.7947610000001</v>
      </c>
      <c r="J27" s="740">
        <v>2258.77608500001</v>
      </c>
      <c r="K27" s="740">
        <v>1894.57192500004</v>
      </c>
      <c r="L27" s="740">
        <v>1621.10305899997</v>
      </c>
      <c r="M27" s="740">
        <v>2022.04674200003</v>
      </c>
      <c r="N27" s="740">
        <v>1848.66638299997</v>
      </c>
      <c r="O27" s="740">
        <v>-352.46943000002602</v>
      </c>
      <c r="P27" s="740">
        <v>1954.4101157033101</v>
      </c>
      <c r="Q27" s="740">
        <v>1745.9688317830701</v>
      </c>
      <c r="R27" s="740">
        <v>1875.15311191457</v>
      </c>
      <c r="S27" s="740">
        <v>2017.8227478952799</v>
      </c>
      <c r="T27" s="740">
        <v>2142.42488935043</v>
      </c>
      <c r="U27" s="740">
        <v>2003.3078221523999</v>
      </c>
      <c r="V27" s="740">
        <v>2153.5701241916699</v>
      </c>
      <c r="W27" s="740">
        <v>2232.0484214046801</v>
      </c>
      <c r="X27" s="740">
        <v>2078.63187530203</v>
      </c>
      <c r="Y27" s="740">
        <v>2267.0647283560502</v>
      </c>
      <c r="Z27" s="740">
        <v>2054.3510111794099</v>
      </c>
      <c r="AA27" s="740">
        <v>2176.3155581450001</v>
      </c>
      <c r="AB27" s="724">
        <f t="shared" si="2"/>
        <v>24740.345447000022</v>
      </c>
      <c r="AC27" s="740">
        <v>2250.26353099998</v>
      </c>
      <c r="AD27" s="740">
        <v>1934.090841</v>
      </c>
      <c r="AE27" s="740">
        <v>1915.434031</v>
      </c>
      <c r="AF27" s="740">
        <v>1992.9115810000001</v>
      </c>
      <c r="AG27" s="740">
        <v>2236.0832500000001</v>
      </c>
      <c r="AH27" s="740">
        <v>1956.42352400001</v>
      </c>
      <c r="AI27" s="740">
        <v>2245.8606150000001</v>
      </c>
      <c r="AJ27" s="740">
        <v>2465.54483600002</v>
      </c>
      <c r="AK27" s="740">
        <v>2080.315137</v>
      </c>
      <c r="AL27" s="740">
        <v>2228.7992039999699</v>
      </c>
      <c r="AM27" s="740">
        <v>2019.93826700002</v>
      </c>
      <c r="AN27" s="740">
        <v>1414.6806300000201</v>
      </c>
      <c r="AO27" s="740">
        <f>SUM(AO5:AO11)-SUM(AO15:AO26)-AO12</f>
        <v>190.40230100000002</v>
      </c>
      <c r="AP27" s="699">
        <f>SUM(AP5:AP11)-SUM(AP15:AP26)-AP12</f>
        <v>141.19975299999996</v>
      </c>
      <c r="AQ27" s="699">
        <f>SUM(AQ5:AQ11)-SUM(AQ15:AQ26)-AQ12</f>
        <v>151.00361000000001</v>
      </c>
      <c r="AU27" s="726">
        <f t="shared" si="3"/>
        <v>190.40230100000002</v>
      </c>
      <c r="AV27" s="726">
        <f t="shared" si="4"/>
        <v>141.19975299999996</v>
      </c>
      <c r="AW27" s="726">
        <f t="shared" si="5"/>
        <v>151.00361000000001</v>
      </c>
      <c r="AX27" s="726">
        <f t="shared" si="6"/>
        <v>-24549.943146000023</v>
      </c>
      <c r="AY27" s="727">
        <f t="shared" si="0"/>
        <v>-20624.410217999986</v>
      </c>
      <c r="AZ27" s="727"/>
    </row>
    <row r="28" spans="1:52" ht="15" customHeight="1">
      <c r="A28" s="913"/>
      <c r="B28" s="741" t="s">
        <v>284</v>
      </c>
      <c r="C28" s="742"/>
      <c r="D28" s="744"/>
      <c r="E28" s="744"/>
      <c r="F28" s="743"/>
      <c r="G28" s="744"/>
      <c r="H28" s="744"/>
      <c r="I28" s="744">
        <v>0</v>
      </c>
      <c r="J28" s="744"/>
      <c r="K28" s="744">
        <v>0</v>
      </c>
      <c r="L28" s="744">
        <v>0</v>
      </c>
      <c r="M28" s="744">
        <v>0</v>
      </c>
      <c r="N28" s="744">
        <v>0</v>
      </c>
      <c r="O28" s="744">
        <v>0</v>
      </c>
      <c r="P28" s="744"/>
      <c r="Q28" s="744"/>
      <c r="R28" s="744"/>
      <c r="S28" s="744"/>
      <c r="T28" s="744"/>
      <c r="U28" s="744"/>
      <c r="V28" s="744"/>
      <c r="W28" s="744"/>
      <c r="X28" s="744"/>
      <c r="Y28" s="744"/>
      <c r="Z28" s="744"/>
      <c r="AA28" s="744"/>
      <c r="AB28" s="724"/>
      <c r="AC28" s="744"/>
      <c r="AD28" s="744"/>
      <c r="AE28" s="744"/>
      <c r="AF28" s="743"/>
      <c r="AG28" s="744"/>
      <c r="AH28" s="743">
        <v>0</v>
      </c>
      <c r="AI28" s="744"/>
      <c r="AJ28" s="744">
        <v>0</v>
      </c>
      <c r="AK28" s="744">
        <v>0</v>
      </c>
      <c r="AL28" s="744">
        <v>0</v>
      </c>
      <c r="AM28" s="744">
        <v>0</v>
      </c>
      <c r="AN28" s="744">
        <v>0</v>
      </c>
      <c r="AO28" s="744"/>
      <c r="AP28" s="699"/>
      <c r="AU28" s="726"/>
      <c r="AV28" s="726"/>
      <c r="AW28" s="726"/>
      <c r="AX28" s="726">
        <f t="shared" si="6"/>
        <v>0</v>
      </c>
      <c r="AY28" s="727">
        <f t="shared" si="0"/>
        <v>0</v>
      </c>
      <c r="AZ28" s="727"/>
    </row>
    <row r="29" spans="1:52" ht="15" customHeight="1">
      <c r="A29" s="913"/>
      <c r="B29" s="741" t="s">
        <v>302</v>
      </c>
      <c r="C29" s="742"/>
      <c r="D29" s="744"/>
      <c r="E29" s="744"/>
      <c r="F29" s="744"/>
      <c r="G29" s="744"/>
      <c r="H29" s="744"/>
      <c r="I29" s="744">
        <v>0</v>
      </c>
      <c r="J29" s="744"/>
      <c r="K29" s="744">
        <v>0</v>
      </c>
      <c r="L29" s="744">
        <v>0</v>
      </c>
      <c r="M29" s="744">
        <v>0</v>
      </c>
      <c r="N29" s="744">
        <v>0</v>
      </c>
      <c r="O29" s="744">
        <v>0</v>
      </c>
      <c r="P29" s="744"/>
      <c r="Q29" s="744"/>
      <c r="R29" s="744"/>
      <c r="S29" s="744"/>
      <c r="T29" s="744"/>
      <c r="U29" s="744"/>
      <c r="V29" s="744"/>
      <c r="W29" s="744"/>
      <c r="X29" s="744"/>
      <c r="Y29" s="744"/>
      <c r="Z29" s="744"/>
      <c r="AA29" s="744"/>
      <c r="AB29" s="724"/>
      <c r="AC29" s="744"/>
      <c r="AD29" s="744"/>
      <c r="AE29" s="744"/>
      <c r="AF29" s="743"/>
      <c r="AG29" s="744"/>
      <c r="AH29" s="743">
        <v>0</v>
      </c>
      <c r="AI29" s="744"/>
      <c r="AJ29" s="744">
        <v>0</v>
      </c>
      <c r="AK29" s="744">
        <v>0</v>
      </c>
      <c r="AL29" s="744">
        <v>0</v>
      </c>
      <c r="AM29" s="744">
        <v>0</v>
      </c>
      <c r="AN29" s="744">
        <v>0</v>
      </c>
      <c r="AO29" s="744"/>
      <c r="AP29" s="699"/>
      <c r="AU29" s="726"/>
      <c r="AV29" s="726"/>
      <c r="AW29" s="726"/>
      <c r="AX29" s="726">
        <f t="shared" si="6"/>
        <v>0</v>
      </c>
      <c r="AY29" s="727">
        <f t="shared" si="0"/>
        <v>0</v>
      </c>
      <c r="AZ29" s="727"/>
    </row>
    <row r="30" spans="1:52" ht="15" customHeight="1">
      <c r="A30" s="913"/>
      <c r="B30" s="738" t="s">
        <v>80</v>
      </c>
      <c r="C30" s="739"/>
      <c r="D30" s="745"/>
      <c r="E30" s="745"/>
      <c r="F30" s="740"/>
      <c r="G30" s="745"/>
      <c r="H30" s="745"/>
      <c r="I30" s="745">
        <v>0</v>
      </c>
      <c r="J30" s="745"/>
      <c r="K30" s="745">
        <v>0</v>
      </c>
      <c r="L30" s="745">
        <v>0</v>
      </c>
      <c r="M30" s="745">
        <v>0</v>
      </c>
      <c r="N30" s="745">
        <v>0</v>
      </c>
      <c r="O30" s="745">
        <v>0</v>
      </c>
      <c r="P30" s="745"/>
      <c r="Q30" s="745"/>
      <c r="R30" s="745"/>
      <c r="S30" s="745"/>
      <c r="T30" s="745"/>
      <c r="U30" s="745"/>
      <c r="V30" s="745"/>
      <c r="W30" s="745"/>
      <c r="X30" s="745"/>
      <c r="Y30" s="745"/>
      <c r="Z30" s="745"/>
      <c r="AA30" s="745"/>
      <c r="AB30" s="724"/>
      <c r="AC30" s="745"/>
      <c r="AD30" s="745"/>
      <c r="AE30" s="745"/>
      <c r="AF30" s="740"/>
      <c r="AG30" s="745"/>
      <c r="AH30" s="740">
        <v>0</v>
      </c>
      <c r="AI30" s="745"/>
      <c r="AJ30" s="745">
        <v>0</v>
      </c>
      <c r="AK30" s="745">
        <v>0</v>
      </c>
      <c r="AL30" s="745">
        <v>0</v>
      </c>
      <c r="AM30" s="745">
        <v>0</v>
      </c>
      <c r="AN30" s="745">
        <v>0</v>
      </c>
      <c r="AO30" s="745"/>
      <c r="AP30" s="699"/>
      <c r="AU30" s="726"/>
      <c r="AV30" s="726"/>
      <c r="AW30" s="726"/>
      <c r="AX30" s="726">
        <f t="shared" si="6"/>
        <v>0</v>
      </c>
      <c r="AY30" s="727">
        <f t="shared" si="0"/>
        <v>0</v>
      </c>
      <c r="AZ30" s="727"/>
    </row>
    <row r="31" spans="1:52" ht="15" customHeight="1">
      <c r="A31" s="913"/>
      <c r="B31" s="738" t="s">
        <v>79</v>
      </c>
      <c r="C31" s="739"/>
      <c r="D31" s="745"/>
      <c r="E31" s="745"/>
      <c r="F31" s="740"/>
      <c r="G31" s="745"/>
      <c r="H31" s="745"/>
      <c r="I31" s="745">
        <v>0</v>
      </c>
      <c r="J31" s="745"/>
      <c r="K31" s="745">
        <v>0</v>
      </c>
      <c r="L31" s="745">
        <v>0</v>
      </c>
      <c r="M31" s="745">
        <v>0</v>
      </c>
      <c r="N31" s="745">
        <v>0</v>
      </c>
      <c r="O31" s="745">
        <v>0</v>
      </c>
      <c r="P31" s="745"/>
      <c r="Q31" s="745"/>
      <c r="R31" s="745"/>
      <c r="S31" s="745"/>
      <c r="T31" s="745"/>
      <c r="U31" s="745"/>
      <c r="V31" s="745"/>
      <c r="W31" s="745"/>
      <c r="X31" s="745"/>
      <c r="Y31" s="745"/>
      <c r="Z31" s="745"/>
      <c r="AA31" s="745"/>
      <c r="AB31" s="724"/>
      <c r="AC31" s="745"/>
      <c r="AD31" s="745"/>
      <c r="AE31" s="745"/>
      <c r="AF31" s="740"/>
      <c r="AG31" s="745"/>
      <c r="AH31" s="740">
        <v>0</v>
      </c>
      <c r="AI31" s="745"/>
      <c r="AJ31" s="745">
        <v>0</v>
      </c>
      <c r="AK31" s="745">
        <v>0</v>
      </c>
      <c r="AL31" s="745">
        <v>0</v>
      </c>
      <c r="AM31" s="745">
        <v>0</v>
      </c>
      <c r="AN31" s="745">
        <v>0</v>
      </c>
      <c r="AO31" s="745"/>
      <c r="AP31" s="699"/>
      <c r="AU31" s="726"/>
      <c r="AV31" s="726"/>
      <c r="AW31" s="726"/>
      <c r="AX31" s="726">
        <f t="shared" si="6"/>
        <v>0</v>
      </c>
      <c r="AY31" s="727">
        <f t="shared" si="0"/>
        <v>0</v>
      </c>
      <c r="AZ31" s="727"/>
    </row>
    <row r="32" spans="1:52" ht="20.149999999999999" customHeight="1">
      <c r="A32" s="913"/>
      <c r="B32" s="738" t="s">
        <v>303</v>
      </c>
      <c r="C32" s="739"/>
      <c r="D32" s="745"/>
      <c r="E32" s="745"/>
      <c r="F32" s="740"/>
      <c r="G32" s="745"/>
      <c r="H32" s="745"/>
      <c r="I32" s="745">
        <v>0</v>
      </c>
      <c r="J32" s="745"/>
      <c r="K32" s="745">
        <v>0</v>
      </c>
      <c r="L32" s="745">
        <v>0</v>
      </c>
      <c r="M32" s="745">
        <v>0</v>
      </c>
      <c r="N32" s="745">
        <v>0</v>
      </c>
      <c r="O32" s="745">
        <v>0</v>
      </c>
      <c r="P32" s="745"/>
      <c r="Q32" s="745"/>
      <c r="R32" s="745"/>
      <c r="S32" s="745"/>
      <c r="T32" s="745"/>
      <c r="U32" s="745"/>
      <c r="V32" s="745"/>
      <c r="W32" s="745"/>
      <c r="X32" s="745"/>
      <c r="Y32" s="745"/>
      <c r="Z32" s="745"/>
      <c r="AA32" s="745"/>
      <c r="AB32" s="724"/>
      <c r="AC32" s="745"/>
      <c r="AD32" s="745"/>
      <c r="AE32" s="745"/>
      <c r="AF32" s="740"/>
      <c r="AG32" s="745"/>
      <c r="AH32" s="740"/>
      <c r="AI32" s="745"/>
      <c r="AJ32" s="745"/>
      <c r="AK32" s="745"/>
      <c r="AL32" s="745"/>
      <c r="AM32" s="745"/>
      <c r="AN32" s="745"/>
      <c r="AO32" s="745"/>
      <c r="AP32" s="699"/>
      <c r="AY32" s="727">
        <f t="shared" si="0"/>
        <v>0</v>
      </c>
      <c r="AZ32" s="727"/>
    </row>
    <row r="33" spans="2:52" ht="15" customHeight="1">
      <c r="C33" s="728">
        <f t="shared" si="1"/>
        <v>0</v>
      </c>
      <c r="F33" s="724"/>
      <c r="AB33" s="724">
        <f t="shared" si="2"/>
        <v>0</v>
      </c>
      <c r="AF33" s="724"/>
      <c r="AH33" s="724"/>
      <c r="AP33" s="699"/>
    </row>
    <row r="34" spans="2:52" s="695" customFormat="1" ht="15" customHeight="1">
      <c r="B34" s="746" t="s">
        <v>304</v>
      </c>
      <c r="C34" s="747">
        <f t="shared" si="1"/>
        <v>17950.258560000009</v>
      </c>
      <c r="D34" s="748">
        <v>1714.2430649999999</v>
      </c>
      <c r="E34" s="748">
        <v>615.67064000000005</v>
      </c>
      <c r="F34" s="748">
        <v>1001.87098</v>
      </c>
      <c r="G34" s="748">
        <v>1368.733833</v>
      </c>
      <c r="H34" s="748">
        <v>2509.2822839999999</v>
      </c>
      <c r="I34" s="748">
        <v>259.35906700000601</v>
      </c>
      <c r="J34" s="748">
        <v>880.36440699999503</v>
      </c>
      <c r="K34" s="748">
        <v>1155.3041679999999</v>
      </c>
      <c r="L34" s="749">
        <v>351.99603500000899</v>
      </c>
      <c r="M34" s="749">
        <v>3108.529278</v>
      </c>
      <c r="N34" s="749">
        <v>1811.506449</v>
      </c>
      <c r="O34" s="749">
        <v>3173.3983539999999</v>
      </c>
      <c r="P34" s="749"/>
      <c r="Q34" s="749"/>
      <c r="R34" s="749"/>
      <c r="S34" s="749"/>
      <c r="T34" s="749"/>
      <c r="U34" s="749"/>
      <c r="V34" s="749"/>
      <c r="W34" s="749"/>
      <c r="X34" s="749"/>
      <c r="Y34" s="749"/>
      <c r="Z34" s="749"/>
      <c r="AA34" s="749"/>
      <c r="AB34" s="748">
        <f t="shared" si="2"/>
        <v>18596.321571000011</v>
      </c>
      <c r="AC34" s="749">
        <v>2075.2820839999999</v>
      </c>
      <c r="AD34" s="749">
        <v>997.38595299999997</v>
      </c>
      <c r="AE34" s="749">
        <v>1451.4850060000001</v>
      </c>
      <c r="AF34" s="748">
        <v>1390.966013</v>
      </c>
      <c r="AG34" s="749">
        <v>1816.1439049999999</v>
      </c>
      <c r="AH34" s="748">
        <v>558.56564100000196</v>
      </c>
      <c r="AI34" s="749">
        <v>1501.11565400001</v>
      </c>
      <c r="AJ34" s="749">
        <v>1995.8638189999899</v>
      </c>
      <c r="AK34" s="749">
        <v>702.02422899999897</v>
      </c>
      <c r="AL34" s="749">
        <v>2169.4744700000001</v>
      </c>
      <c r="AM34" s="749">
        <v>2657.8063550000002</v>
      </c>
      <c r="AN34" s="749">
        <v>1280.2084420000101</v>
      </c>
      <c r="AO34" s="749">
        <f>汇总!P148/10000</f>
        <v>-116.62854700000003</v>
      </c>
      <c r="AP34" s="750">
        <f>汇总!M148/10000</f>
        <v>-102.33954400000005</v>
      </c>
      <c r="AQ34" s="750">
        <f>汇总!N148/10000</f>
        <v>-85.370054999999965</v>
      </c>
      <c r="AR34" s="751" t="e">
        <f>#REF!/10000</f>
        <v>#REF!</v>
      </c>
      <c r="AS34" s="751" t="e">
        <f>AS12</f>
        <v>#REF!</v>
      </c>
      <c r="AT34" s="751" t="e">
        <f>AT12</f>
        <v>#REF!</v>
      </c>
      <c r="AU34" s="752" t="e">
        <f>AO34+AR34</f>
        <v>#REF!</v>
      </c>
      <c r="AV34" s="752" t="e">
        <f t="shared" ref="AV34:AW34" si="7">AP34+AS34</f>
        <v>#REF!</v>
      </c>
      <c r="AW34" s="753" t="e">
        <f t="shared" si="7"/>
        <v>#REF!</v>
      </c>
      <c r="AX34" s="753" t="e">
        <f>AU34-AB34</f>
        <v>#REF!</v>
      </c>
      <c r="AY34" s="754" t="e">
        <f>AV34-C34</f>
        <v>#REF!</v>
      </c>
      <c r="AZ34" s="754"/>
    </row>
    <row r="35" spans="2:52" ht="15" customHeight="1">
      <c r="B35" s="755"/>
      <c r="C35" s="755"/>
      <c r="F35" s="724"/>
      <c r="AH35" s="724"/>
    </row>
    <row r="36" spans="2:52" ht="15" customHeight="1">
      <c r="B36" s="698" t="s">
        <v>2</v>
      </c>
      <c r="C36" s="724">
        <f t="shared" ref="C36:H36" si="8">SUM(C5:C11)</f>
        <v>107767.37245399998</v>
      </c>
      <c r="D36" s="724">
        <f t="shared" si="8"/>
        <v>10283.246181999999</v>
      </c>
      <c r="E36" s="724">
        <f t="shared" si="8"/>
        <v>7965.5510910000003</v>
      </c>
      <c r="F36" s="724">
        <f t="shared" si="8"/>
        <v>8172.26</v>
      </c>
      <c r="G36" s="724">
        <f t="shared" si="8"/>
        <v>8603.5989699999991</v>
      </c>
      <c r="H36" s="724">
        <f t="shared" si="8"/>
        <v>10867.317927999993</v>
      </c>
      <c r="I36" s="724">
        <f t="shared" ref="I36:O36" si="9">SUM(I5:I11)</f>
        <v>6700.2289529999907</v>
      </c>
      <c r="J36" s="724">
        <f t="shared" si="9"/>
        <v>8578.4046300000082</v>
      </c>
      <c r="K36" s="724">
        <f t="shared" si="9"/>
        <v>8764.621697999999</v>
      </c>
      <c r="L36" s="724">
        <f t="shared" si="9"/>
        <v>8298.6472650000014</v>
      </c>
      <c r="M36" s="724">
        <f t="shared" si="9"/>
        <v>11590.586671000001</v>
      </c>
      <c r="N36" s="724">
        <f t="shared" si="9"/>
        <v>9449.7226890000147</v>
      </c>
      <c r="O36" s="724">
        <f t="shared" si="9"/>
        <v>8493.1863769999727</v>
      </c>
      <c r="P36" s="724">
        <f t="shared" ref="P36:AO36" si="10">SUM(P5:P11)</f>
        <v>9582.6455729953504</v>
      </c>
      <c r="Q36" s="724">
        <f t="shared" si="10"/>
        <v>8065.4735123551727</v>
      </c>
      <c r="R36" s="724">
        <f t="shared" si="10"/>
        <v>9063.8756407935725</v>
      </c>
      <c r="S36" s="724">
        <f t="shared" si="10"/>
        <v>9452.9527788620599</v>
      </c>
      <c r="T36" s="724">
        <f t="shared" si="10"/>
        <v>10546.871045483567</v>
      </c>
      <c r="U36" s="724">
        <f t="shared" si="10"/>
        <v>9282.755766356031</v>
      </c>
      <c r="V36" s="724">
        <f t="shared" si="10"/>
        <v>10288.79916903047</v>
      </c>
      <c r="W36" s="724">
        <f t="shared" si="10"/>
        <v>11202.674344564062</v>
      </c>
      <c r="X36" s="724">
        <f t="shared" si="10"/>
        <v>10283.206914514736</v>
      </c>
      <c r="Y36" s="724">
        <f t="shared" si="10"/>
        <v>11650.183748474854</v>
      </c>
      <c r="Z36" s="724">
        <f t="shared" si="10"/>
        <v>10210.685846693408</v>
      </c>
      <c r="AA36" s="724">
        <f t="shared" si="10"/>
        <v>10613.874409876706</v>
      </c>
      <c r="AB36" s="724">
        <f t="shared" ref="AB36" si="11">SUM(AB5:AB11)</f>
        <v>119942.34812</v>
      </c>
      <c r="AC36" s="724">
        <f t="shared" si="10"/>
        <v>12014.00384499999</v>
      </c>
      <c r="AD36" s="724">
        <f t="shared" si="10"/>
        <v>9485.4496019999988</v>
      </c>
      <c r="AE36" s="724">
        <f t="shared" si="10"/>
        <v>9166.7442659999997</v>
      </c>
      <c r="AF36" s="724">
        <f t="shared" si="10"/>
        <v>9212.6969480000025</v>
      </c>
      <c r="AG36" s="724">
        <f t="shared" si="10"/>
        <v>10380.141583999999</v>
      </c>
      <c r="AH36" s="724">
        <f t="shared" ref="AH36" si="12">SUM(AH5:AH11)</f>
        <v>8223.5146830000012</v>
      </c>
      <c r="AI36" s="724">
        <f t="shared" si="10"/>
        <v>10128.900728000001</v>
      </c>
      <c r="AJ36" s="724">
        <f t="shared" si="10"/>
        <v>11651.191330000007</v>
      </c>
      <c r="AK36" s="724">
        <f t="shared" si="10"/>
        <v>9190.5464739999989</v>
      </c>
      <c r="AL36" s="724">
        <f t="shared" si="10"/>
        <v>11139.355758999978</v>
      </c>
      <c r="AM36" s="724">
        <f t="shared" si="10"/>
        <v>10019.920376000005</v>
      </c>
      <c r="AN36" s="724">
        <f t="shared" si="10"/>
        <v>9329.8825250000336</v>
      </c>
      <c r="AO36" s="724">
        <f t="shared" si="10"/>
        <v>500.19512900000001</v>
      </c>
      <c r="AP36" s="724">
        <f t="shared" ref="AP36:AY36" si="13">SUM(AP5:AP11)</f>
        <v>409.74156099999999</v>
      </c>
      <c r="AQ36" s="724">
        <f t="shared" si="13"/>
        <v>448.34058700000003</v>
      </c>
      <c r="AR36" s="724">
        <f t="shared" ref="AR36" si="14">SUM(AR5:AR11)</f>
        <v>0</v>
      </c>
      <c r="AS36" s="724">
        <f t="shared" si="13"/>
        <v>0</v>
      </c>
      <c r="AT36" s="724">
        <f t="shared" si="13"/>
        <v>0</v>
      </c>
      <c r="AU36" s="724">
        <f t="shared" ref="AU36" si="15">SUM(AU5:AU11)</f>
        <v>500.19512900000001</v>
      </c>
      <c r="AV36" s="724">
        <f t="shared" si="13"/>
        <v>409.74156099999999</v>
      </c>
      <c r="AW36" s="724">
        <f t="shared" si="13"/>
        <v>448.34058700000003</v>
      </c>
      <c r="AX36" s="726">
        <f t="shared" ref="AX36:AX39" si="16">AU36-AB36</f>
        <v>-119442.152991</v>
      </c>
      <c r="AY36" s="724">
        <f t="shared" si="13"/>
        <v>-107357.63089300001</v>
      </c>
      <c r="AZ36" s="724"/>
    </row>
    <row r="37" spans="2:52" ht="15" customHeight="1">
      <c r="B37" s="755" t="s">
        <v>296</v>
      </c>
      <c r="C37" s="724">
        <f t="shared" ref="C37:H37" si="17">SUM(C15:C27)</f>
        <v>130503.45129022222</v>
      </c>
      <c r="D37" s="724">
        <f t="shared" si="17"/>
        <v>11930.809469518523</v>
      </c>
      <c r="E37" s="724">
        <f t="shared" si="17"/>
        <v>10705.618349518514</v>
      </c>
      <c r="F37" s="724">
        <f t="shared" si="17"/>
        <v>10807.907655518524</v>
      </c>
      <c r="G37" s="724">
        <f t="shared" si="17"/>
        <v>10327.281306518513</v>
      </c>
      <c r="H37" s="724">
        <f t="shared" si="17"/>
        <v>11514.642453518512</v>
      </c>
      <c r="I37" s="724">
        <f t="shared" ref="I37:O37" si="18">SUM(I15:I27)</f>
        <v>9637.7443735185134</v>
      </c>
      <c r="J37" s="724">
        <f t="shared" si="18"/>
        <v>11239.713315518537</v>
      </c>
      <c r="K37" s="724">
        <f t="shared" si="18"/>
        <v>11705.794497518553</v>
      </c>
      <c r="L37" s="724">
        <f t="shared" si="18"/>
        <v>11053.303342518495</v>
      </c>
      <c r="M37" s="724">
        <f t="shared" si="18"/>
        <v>11944.927489518534</v>
      </c>
      <c r="N37" s="724">
        <f t="shared" si="18"/>
        <v>10933.245798518496</v>
      </c>
      <c r="O37" s="724">
        <f t="shared" si="18"/>
        <v>8702.4632385184959</v>
      </c>
      <c r="P37" s="724">
        <f t="shared" ref="P37:AO37" si="19">SUM(P15:P27)</f>
        <v>11738.4410941838</v>
      </c>
      <c r="Q37" s="724">
        <f t="shared" si="19"/>
        <v>10740.707107445647</v>
      </c>
      <c r="R37" s="724">
        <f t="shared" si="19"/>
        <v>10944.839303990168</v>
      </c>
      <c r="S37" s="724">
        <f t="shared" si="19"/>
        <v>11135.646156672952</v>
      </c>
      <c r="T37" s="724">
        <f t="shared" si="19"/>
        <v>11808.728470191234</v>
      </c>
      <c r="U37" s="724">
        <f t="shared" si="19"/>
        <v>11197.019456379672</v>
      </c>
      <c r="V37" s="724">
        <f t="shared" si="19"/>
        <v>11828.88996792228</v>
      </c>
      <c r="W37" s="724">
        <f t="shared" si="19"/>
        <v>12386.685630374512</v>
      </c>
      <c r="X37" s="724">
        <f t="shared" si="19"/>
        <v>12313.499500364836</v>
      </c>
      <c r="Y37" s="724">
        <f t="shared" si="19"/>
        <v>12446.396687929091</v>
      </c>
      <c r="Z37" s="724">
        <f t="shared" si="19"/>
        <v>11655.544501845501</v>
      </c>
      <c r="AA37" s="724">
        <f t="shared" si="19"/>
        <v>11998.380829922527</v>
      </c>
      <c r="AB37" s="724">
        <f t="shared" ref="AB37:AC37" si="20">SUM(AB15:AB27)</f>
        <v>143577.87732322223</v>
      </c>
      <c r="AC37" s="724">
        <f t="shared" si="20"/>
        <v>13346.041015518504</v>
      </c>
      <c r="AD37" s="724">
        <f t="shared" si="19"/>
        <v>11932.617324185188</v>
      </c>
      <c r="AE37" s="724">
        <f t="shared" si="19"/>
        <v>11380.256769185191</v>
      </c>
      <c r="AF37" s="724">
        <f t="shared" si="19"/>
        <v>11339.948356185188</v>
      </c>
      <c r="AG37" s="724">
        <f t="shared" si="19"/>
        <v>12217.858847518524</v>
      </c>
      <c r="AH37" s="724">
        <f t="shared" ref="AH37" si="21">SUM(AH15:AH27)</f>
        <v>11240.625981518526</v>
      </c>
      <c r="AI37" s="724">
        <f t="shared" si="19"/>
        <v>12650.018560518523</v>
      </c>
      <c r="AJ37" s="724">
        <f t="shared" si="19"/>
        <v>13446.557799518534</v>
      </c>
      <c r="AK37" s="724">
        <f t="shared" si="19"/>
        <v>12223.92696651852</v>
      </c>
      <c r="AL37" s="724">
        <f t="shared" si="19"/>
        <v>11628.057995518504</v>
      </c>
      <c r="AM37" s="724">
        <f t="shared" si="19"/>
        <v>11260.097371518532</v>
      </c>
      <c r="AN37" s="724">
        <f t="shared" si="19"/>
        <v>10911.870335518512</v>
      </c>
      <c r="AO37" s="724">
        <f t="shared" si="19"/>
        <v>776.95376600000009</v>
      </c>
      <c r="AP37" s="724">
        <f t="shared" ref="AP37:AY37" si="22">SUM(AP15:AP27)</f>
        <v>642.85231899999997</v>
      </c>
      <c r="AQ37" s="724">
        <f t="shared" si="22"/>
        <v>663.32128299999999</v>
      </c>
      <c r="AR37" s="724" t="e">
        <f t="shared" ref="AR37" si="23">SUM(AR15:AR27)</f>
        <v>#REF!</v>
      </c>
      <c r="AS37" s="724" t="e">
        <f t="shared" si="22"/>
        <v>#REF!</v>
      </c>
      <c r="AT37" s="724" t="e">
        <f t="shared" si="22"/>
        <v>#REF!</v>
      </c>
      <c r="AU37" s="724" t="e">
        <f t="shared" ref="AU37" si="24">SUM(AU15:AU27)</f>
        <v>#REF!</v>
      </c>
      <c r="AV37" s="724" t="e">
        <f t="shared" si="22"/>
        <v>#REF!</v>
      </c>
      <c r="AW37" s="724" t="e">
        <f t="shared" si="22"/>
        <v>#REF!</v>
      </c>
      <c r="AX37" s="726" t="e">
        <f t="shared" si="16"/>
        <v>#REF!</v>
      </c>
      <c r="AY37" s="724" t="e">
        <f t="shared" si="22"/>
        <v>#REF!</v>
      </c>
      <c r="AZ37" s="724"/>
    </row>
    <row r="38" spans="2:52" ht="15" customHeight="1">
      <c r="B38" s="755" t="s">
        <v>242</v>
      </c>
      <c r="C38" s="724">
        <f t="shared" ref="C38:H38" si="25">C36-C37</f>
        <v>-22736.078836222237</v>
      </c>
      <c r="D38" s="724">
        <f t="shared" si="25"/>
        <v>-1647.5632875185238</v>
      </c>
      <c r="E38" s="724">
        <f t="shared" si="25"/>
        <v>-2740.0672585185139</v>
      </c>
      <c r="F38" s="724">
        <f t="shared" si="25"/>
        <v>-2635.6476555185236</v>
      </c>
      <c r="G38" s="724">
        <f t="shared" si="25"/>
        <v>-1723.6823365185137</v>
      </c>
      <c r="H38" s="724">
        <f t="shared" si="25"/>
        <v>-647.32452551851929</v>
      </c>
      <c r="I38" s="724">
        <f t="shared" ref="I38:O38" si="26">I36-I37</f>
        <v>-2937.5154205185227</v>
      </c>
      <c r="J38" s="724">
        <f t="shared" si="26"/>
        <v>-2661.3086855185284</v>
      </c>
      <c r="K38" s="724">
        <f t="shared" si="26"/>
        <v>-2941.1727995185538</v>
      </c>
      <c r="L38" s="724">
        <f t="shared" si="26"/>
        <v>-2754.6560775184935</v>
      </c>
      <c r="M38" s="724">
        <f t="shared" si="26"/>
        <v>-354.34081851853261</v>
      </c>
      <c r="N38" s="724">
        <f t="shared" si="26"/>
        <v>-1483.5231095184809</v>
      </c>
      <c r="O38" s="724">
        <f t="shared" si="26"/>
        <v>-209.27686151852322</v>
      </c>
      <c r="P38" s="724">
        <f t="shared" ref="P38:AY38" si="27">P36-P37</f>
        <v>-2155.7955211884491</v>
      </c>
      <c r="Q38" s="724">
        <f t="shared" si="27"/>
        <v>-2675.2335950904744</v>
      </c>
      <c r="R38" s="724">
        <f t="shared" si="27"/>
        <v>-1880.963663196595</v>
      </c>
      <c r="S38" s="724">
        <f t="shared" si="27"/>
        <v>-1682.6933778108923</v>
      </c>
      <c r="T38" s="724">
        <f t="shared" si="27"/>
        <v>-1261.8574247076667</v>
      </c>
      <c r="U38" s="724">
        <f t="shared" si="27"/>
        <v>-1914.2636900236412</v>
      </c>
      <c r="V38" s="724">
        <f t="shared" si="27"/>
        <v>-1540.0907988918098</v>
      </c>
      <c r="W38" s="724">
        <f t="shared" si="27"/>
        <v>-1184.0112858104494</v>
      </c>
      <c r="X38" s="724">
        <f t="shared" si="27"/>
        <v>-2030.2925858501003</v>
      </c>
      <c r="Y38" s="724">
        <f t="shared" si="27"/>
        <v>-796.21293945423713</v>
      </c>
      <c r="Z38" s="724">
        <f t="shared" si="27"/>
        <v>-1444.858655152093</v>
      </c>
      <c r="AA38" s="724">
        <f t="shared" si="27"/>
        <v>-1384.5064200458219</v>
      </c>
      <c r="AB38" s="724">
        <f t="shared" ref="AB38:AC38" si="28">AB36-AB37</f>
        <v>-23635.529203222235</v>
      </c>
      <c r="AC38" s="724">
        <f t="shared" si="28"/>
        <v>-1332.0371705185134</v>
      </c>
      <c r="AD38" s="724">
        <f t="shared" si="27"/>
        <v>-2447.1677221851896</v>
      </c>
      <c r="AE38" s="724">
        <f t="shared" si="27"/>
        <v>-2213.5125031851912</v>
      </c>
      <c r="AF38" s="724">
        <f t="shared" si="27"/>
        <v>-2127.2514081851859</v>
      </c>
      <c r="AG38" s="724">
        <f t="shared" si="27"/>
        <v>-1837.7172635185252</v>
      </c>
      <c r="AH38" s="724">
        <f t="shared" ref="AH38" si="29">AH36-AH37</f>
        <v>-3017.1112985185246</v>
      </c>
      <c r="AI38" s="724">
        <f t="shared" si="27"/>
        <v>-2521.1178325185228</v>
      </c>
      <c r="AJ38" s="724">
        <f t="shared" si="27"/>
        <v>-1795.3664695185271</v>
      </c>
      <c r="AK38" s="724">
        <f t="shared" si="27"/>
        <v>-3033.3804925185214</v>
      </c>
      <c r="AL38" s="724">
        <f t="shared" si="27"/>
        <v>-488.70223651852575</v>
      </c>
      <c r="AM38" s="724">
        <f t="shared" si="27"/>
        <v>-1240.1769955185264</v>
      </c>
      <c r="AN38" s="724">
        <f t="shared" si="27"/>
        <v>-1581.987810518478</v>
      </c>
      <c r="AO38" s="724">
        <f t="shared" ref="AO38" si="30">AO36-AO37</f>
        <v>-276.75863700000008</v>
      </c>
      <c r="AP38" s="724">
        <f t="shared" si="27"/>
        <v>-233.11075799999998</v>
      </c>
      <c r="AQ38" s="724">
        <f t="shared" si="27"/>
        <v>-214.98069599999997</v>
      </c>
      <c r="AR38" s="724" t="e">
        <f t="shared" ref="AR38" si="31">AR36-AR37</f>
        <v>#REF!</v>
      </c>
      <c r="AS38" s="724" t="e">
        <f t="shared" si="27"/>
        <v>#REF!</v>
      </c>
      <c r="AT38" s="724" t="e">
        <f t="shared" si="27"/>
        <v>#REF!</v>
      </c>
      <c r="AU38" s="724" t="e">
        <f t="shared" ref="AU38" si="32">AU36-AU37</f>
        <v>#REF!</v>
      </c>
      <c r="AV38" s="724" t="e">
        <f t="shared" si="27"/>
        <v>#REF!</v>
      </c>
      <c r="AW38" s="724" t="e">
        <f t="shared" si="27"/>
        <v>#REF!</v>
      </c>
      <c r="AX38" s="726" t="e">
        <f t="shared" si="16"/>
        <v>#REF!</v>
      </c>
      <c r="AY38" s="724" t="e">
        <f t="shared" si="27"/>
        <v>#REF!</v>
      </c>
      <c r="AZ38" s="724"/>
    </row>
    <row r="39" spans="2:52" ht="15" customHeight="1">
      <c r="B39" s="755" t="s">
        <v>305</v>
      </c>
      <c r="C39" s="724">
        <f t="shared" ref="C39:H39" si="33">C12-C38</f>
        <v>0</v>
      </c>
      <c r="D39" s="724">
        <f t="shared" si="33"/>
        <v>3.865352482534945E-12</v>
      </c>
      <c r="E39" s="724">
        <f t="shared" si="33"/>
        <v>-5.9117155615240335E-12</v>
      </c>
      <c r="F39" s="724">
        <f t="shared" si="33"/>
        <v>3.637978807091713E-12</v>
      </c>
      <c r="G39" s="724">
        <f t="shared" si="33"/>
        <v>-6.3664629124104977E-12</v>
      </c>
      <c r="H39" s="724">
        <f t="shared" si="33"/>
        <v>0</v>
      </c>
      <c r="I39" s="724">
        <f t="shared" ref="I39:O39" si="34">I12-I38</f>
        <v>0</v>
      </c>
      <c r="J39" s="724">
        <f t="shared" si="34"/>
        <v>8.1854523159563541E-12</v>
      </c>
      <c r="K39" s="724">
        <f t="shared" si="34"/>
        <v>3.3651303965598345E-11</v>
      </c>
      <c r="L39" s="724">
        <f t="shared" si="34"/>
        <v>-1.6370904631912708E-11</v>
      </c>
      <c r="M39" s="724">
        <f t="shared" si="34"/>
        <v>1.460875864722766E-11</v>
      </c>
      <c r="N39" s="724">
        <f t="shared" si="34"/>
        <v>-3.9108272176235914E-11</v>
      </c>
      <c r="O39" s="724">
        <f t="shared" si="34"/>
        <v>1.4210854715202004E-11</v>
      </c>
      <c r="P39" s="724">
        <f t="shared" ref="P39:AY39" si="35">P12-P38</f>
        <v>-3.1486380976275541E-5</v>
      </c>
      <c r="Q39" s="724">
        <f t="shared" si="35"/>
        <v>-3.199858565494651E-5</v>
      </c>
      <c r="R39" s="724">
        <f t="shared" si="35"/>
        <v>-3.121534496131062E-5</v>
      </c>
      <c r="S39" s="724">
        <f t="shared" si="35"/>
        <v>-3.1019857715364196E-5</v>
      </c>
      <c r="T39" s="724">
        <f t="shared" si="35"/>
        <v>-3.060485323658213E-5</v>
      </c>
      <c r="U39" s="724">
        <f t="shared" si="35"/>
        <v>-3.1248198865796439E-5</v>
      </c>
      <c r="V39" s="724">
        <f t="shared" si="35"/>
        <v>-1.9295193680136435E-2</v>
      </c>
      <c r="W39" s="724">
        <f t="shared" si="35"/>
        <v>-3.0528090519510442E-5</v>
      </c>
      <c r="X39" s="724">
        <f t="shared" si="35"/>
        <v>-6.3006917979691934E-2</v>
      </c>
      <c r="Y39" s="724">
        <f t="shared" si="35"/>
        <v>1.9234168764114656E-2</v>
      </c>
      <c r="Z39" s="724">
        <f t="shared" si="35"/>
        <v>-3.0785326998739038E-5</v>
      </c>
      <c r="AA39" s="724">
        <f t="shared" si="35"/>
        <v>6.2944829561956794E-2</v>
      </c>
      <c r="AB39" s="724">
        <f t="shared" ref="AB39" si="36">AB12-AB38</f>
        <v>0</v>
      </c>
      <c r="AC39" s="724">
        <f t="shared" si="35"/>
        <v>-6.5938365878537297E-12</v>
      </c>
      <c r="AD39" s="724">
        <f t="shared" si="35"/>
        <v>9.5496943686157465E-12</v>
      </c>
      <c r="AE39" s="724">
        <f t="shared" si="35"/>
        <v>1.1368683772161603E-11</v>
      </c>
      <c r="AF39" s="724">
        <f t="shared" si="35"/>
        <v>-4.0927261579781771E-12</v>
      </c>
      <c r="AG39" s="724">
        <f t="shared" si="35"/>
        <v>5.2295945351943374E-12</v>
      </c>
      <c r="AH39" s="724">
        <f t="shared" ref="AH39" si="37">AH12-AH38</f>
        <v>4.5474735088646412E-12</v>
      </c>
      <c r="AI39" s="724">
        <f t="shared" si="35"/>
        <v>0</v>
      </c>
      <c r="AJ39" s="724">
        <f t="shared" si="35"/>
        <v>7.0485839387401938E-12</v>
      </c>
      <c r="AK39" s="724">
        <f t="shared" si="35"/>
        <v>0</v>
      </c>
      <c r="AL39" s="724">
        <f t="shared" si="35"/>
        <v>7.73070496506989E-12</v>
      </c>
      <c r="AM39" s="724">
        <f t="shared" si="35"/>
        <v>6.3664629124104977E-12</v>
      </c>
      <c r="AN39" s="724">
        <f t="shared" si="35"/>
        <v>-3.205968823749572E-11</v>
      </c>
      <c r="AO39" s="724">
        <f t="shared" ref="AO39" si="38">AO12-AO38</f>
        <v>0</v>
      </c>
      <c r="AP39" s="724">
        <f t="shared" si="35"/>
        <v>0</v>
      </c>
      <c r="AQ39" s="724">
        <f t="shared" si="35"/>
        <v>0</v>
      </c>
      <c r="AR39" s="724" t="e">
        <f t="shared" ref="AR39" si="39">AR12-AR38</f>
        <v>#REF!</v>
      </c>
      <c r="AS39" s="724" t="e">
        <f t="shared" si="35"/>
        <v>#REF!</v>
      </c>
      <c r="AT39" s="724" t="e">
        <f t="shared" si="35"/>
        <v>#REF!</v>
      </c>
      <c r="AU39" s="724" t="e">
        <f t="shared" si="35"/>
        <v>#REF!</v>
      </c>
      <c r="AV39" s="724" t="e">
        <f t="shared" si="35"/>
        <v>#REF!</v>
      </c>
      <c r="AW39" s="724" t="e">
        <f t="shared" si="35"/>
        <v>#REF!</v>
      </c>
      <c r="AX39" s="726" t="e">
        <f t="shared" si="16"/>
        <v>#REF!</v>
      </c>
      <c r="AY39" s="724" t="e">
        <f t="shared" si="35"/>
        <v>#REF!</v>
      </c>
      <c r="AZ39" s="724"/>
    </row>
    <row r="41" spans="2:52" ht="15" customHeight="1">
      <c r="C41" s="726" t="s">
        <v>306</v>
      </c>
      <c r="D41" s="726" t="s">
        <v>306</v>
      </c>
      <c r="E41" s="726" t="s">
        <v>306</v>
      </c>
      <c r="F41" s="726" t="s">
        <v>213</v>
      </c>
      <c r="G41" s="726" t="s">
        <v>213</v>
      </c>
      <c r="H41" s="726" t="s">
        <v>213</v>
      </c>
      <c r="I41" s="726" t="s">
        <v>306</v>
      </c>
      <c r="J41" s="726" t="s">
        <v>306</v>
      </c>
      <c r="K41" s="726" t="s">
        <v>306</v>
      </c>
      <c r="L41" s="726" t="s">
        <v>213</v>
      </c>
      <c r="M41" s="726" t="s">
        <v>213</v>
      </c>
      <c r="N41" s="726" t="s">
        <v>213</v>
      </c>
    </row>
    <row r="42" spans="2:52" ht="15" customHeight="1">
      <c r="C42" s="700" t="s">
        <v>9</v>
      </c>
      <c r="D42" s="700" t="s">
        <v>9</v>
      </c>
      <c r="E42" s="700" t="s">
        <v>9</v>
      </c>
      <c r="F42" s="700" t="s">
        <v>9</v>
      </c>
      <c r="G42" s="700" t="s">
        <v>9</v>
      </c>
      <c r="H42" s="700" t="s">
        <v>9</v>
      </c>
      <c r="I42" s="700" t="s">
        <v>250</v>
      </c>
      <c r="J42" s="700" t="s">
        <v>250</v>
      </c>
      <c r="K42" s="700" t="s">
        <v>250</v>
      </c>
      <c r="L42" s="700" t="s">
        <v>250</v>
      </c>
      <c r="M42" s="700" t="s">
        <v>250</v>
      </c>
      <c r="N42" s="700" t="s">
        <v>250</v>
      </c>
    </row>
    <row r="43" spans="2:52" ht="15" customHeight="1">
      <c r="C43" s="756" t="s">
        <v>307</v>
      </c>
      <c r="D43" s="757" t="s">
        <v>308</v>
      </c>
      <c r="E43" s="757" t="s">
        <v>309</v>
      </c>
      <c r="F43" s="756" t="s">
        <v>307</v>
      </c>
      <c r="G43" s="757" t="s">
        <v>310</v>
      </c>
      <c r="H43" s="757" t="s">
        <v>309</v>
      </c>
      <c r="I43" s="756" t="s">
        <v>307</v>
      </c>
      <c r="J43" s="757" t="s">
        <v>308</v>
      </c>
      <c r="K43" s="757" t="s">
        <v>309</v>
      </c>
      <c r="L43" s="756" t="s">
        <v>307</v>
      </c>
      <c r="M43" s="757" t="s">
        <v>310</v>
      </c>
      <c r="N43" s="757" t="s">
        <v>309</v>
      </c>
    </row>
    <row r="44" spans="2:52" ht="15" customHeight="1">
      <c r="B44" s="755" t="s">
        <v>96</v>
      </c>
      <c r="C44" s="728">
        <f>SUM(O5:O11)</f>
        <v>8493.1863769999727</v>
      </c>
      <c r="D44" s="724">
        <f ca="1">'汇总-1月'!C3</f>
        <v>409.74156100000005</v>
      </c>
      <c r="E44" s="724">
        <f ca="1">C44-D44</f>
        <v>8083.4448159999729</v>
      </c>
      <c r="F44" s="724">
        <f>SUM(C5:C11)</f>
        <v>107767.37245399998</v>
      </c>
      <c r="G44" s="724">
        <f ca="1">'汇总-累计'!C3</f>
        <v>409.74156100000005</v>
      </c>
      <c r="H44" s="724">
        <f ca="1">F44-G44</f>
        <v>107357.63089299998</v>
      </c>
      <c r="I44" s="724">
        <f>SUM(AN5:AN11)</f>
        <v>9329.8825250000336</v>
      </c>
      <c r="J44" s="724">
        <f ca="1">'汇总-1月'!F3</f>
        <v>500.19512900000001</v>
      </c>
      <c r="K44" s="724">
        <f ca="1">I44-J44</f>
        <v>8829.6873960000339</v>
      </c>
      <c r="L44" s="724">
        <f>SUM(AB5:AB11)</f>
        <v>119942.34812</v>
      </c>
      <c r="M44" s="724">
        <f ca="1">'汇总-累计'!F3</f>
        <v>500.19512900000001</v>
      </c>
      <c r="N44" s="724">
        <f ca="1">L44-M44</f>
        <v>119442.152991</v>
      </c>
    </row>
    <row r="45" spans="2:52" ht="15" customHeight="1">
      <c r="B45" s="755" t="s">
        <v>4</v>
      </c>
      <c r="C45" s="728">
        <f>O34</f>
        <v>3173.3983539999999</v>
      </c>
      <c r="D45" s="724">
        <f ca="1">'汇总-1月'!M3</f>
        <v>-102.339544</v>
      </c>
      <c r="E45" s="724">
        <f t="shared" ref="E45:E47" ca="1" si="40">C45-D45</f>
        <v>3275.7378979999999</v>
      </c>
      <c r="F45" s="724">
        <f>C34</f>
        <v>17950.258560000009</v>
      </c>
      <c r="G45" s="724">
        <f ca="1">'汇总-累计'!O3</f>
        <v>-102.339544</v>
      </c>
      <c r="H45" s="724">
        <f t="shared" ref="H45:H47" ca="1" si="41">F45-G45</f>
        <v>18052.598104000008</v>
      </c>
      <c r="I45" s="724">
        <f>AN34</f>
        <v>1280.2084420000101</v>
      </c>
      <c r="J45" s="724">
        <f ca="1">'汇总-1月'!P3</f>
        <v>-116.628547</v>
      </c>
      <c r="K45" s="724">
        <f t="shared" ref="K45:K47" ca="1" si="42">I45-J45</f>
        <v>1396.8369890000101</v>
      </c>
      <c r="L45" s="724">
        <f>AB34</f>
        <v>18596.321571000011</v>
      </c>
      <c r="M45" s="724">
        <f ca="1">'汇总-累计'!R3</f>
        <v>-116.628547</v>
      </c>
      <c r="N45" s="724">
        <f t="shared" ref="N45:N47" ca="1" si="43">L45-M45</f>
        <v>18712.950118000012</v>
      </c>
    </row>
    <row r="46" spans="2:52" ht="15" customHeight="1">
      <c r="B46" s="755" t="s">
        <v>311</v>
      </c>
      <c r="C46" s="728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</row>
    <row r="47" spans="2:52" ht="15" customHeight="1">
      <c r="B47" s="755" t="s">
        <v>242</v>
      </c>
      <c r="C47" s="728">
        <f>O12</f>
        <v>-209.27686151850901</v>
      </c>
      <c r="D47" s="724">
        <f ca="1">'汇总明细-1月'!BL3/10000</f>
        <v>-233.110758</v>
      </c>
      <c r="E47" s="724">
        <f t="shared" ca="1" si="40"/>
        <v>23.833896481490996</v>
      </c>
      <c r="F47" s="724">
        <f>C12</f>
        <v>-22736.078836222216</v>
      </c>
      <c r="G47" s="724">
        <f ca="1">'汇总明细-1月'!BM3/10000</f>
        <v>-233.110758</v>
      </c>
      <c r="H47" s="724">
        <f t="shared" ca="1" si="41"/>
        <v>-22502.968078222217</v>
      </c>
      <c r="I47" s="724">
        <f>AN12</f>
        <v>-1581.9878105185101</v>
      </c>
      <c r="J47" s="724">
        <f ca="1">'汇总明细-1月'!BP3/10000</f>
        <v>-276.75863700000002</v>
      </c>
      <c r="K47" s="724">
        <f t="shared" ca="1" si="42"/>
        <v>-1305.2291735185099</v>
      </c>
      <c r="L47" s="724">
        <f>AB12</f>
        <v>-23635.529203222221</v>
      </c>
      <c r="M47" s="724">
        <f ca="1">'汇总明细-1月'!BQ3/10000</f>
        <v>-276.75863700000002</v>
      </c>
      <c r="N47" s="724">
        <f t="shared" ca="1" si="43"/>
        <v>-23358.770566222222</v>
      </c>
    </row>
  </sheetData>
  <mergeCells count="3">
    <mergeCell ref="A5:A11"/>
    <mergeCell ref="A15:A20"/>
    <mergeCell ref="A21:A32"/>
  </mergeCells>
  <phoneticPr fontId="5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S184"/>
  <sheetViews>
    <sheetView zoomScale="80" zoomScaleNormal="80" workbookViewId="0">
      <pane xSplit="7" ySplit="4" topLeftCell="H5" activePane="bottomRight" state="frozen"/>
      <selection pane="topRight"/>
      <selection pane="bottomLeft"/>
      <selection pane="bottomRight" activeCell="I22" sqref="I22"/>
    </sheetView>
  </sheetViews>
  <sheetFormatPr defaultColWidth="8.640625" defaultRowHeight="16.3" outlineLevelCol="1"/>
  <cols>
    <col min="1" max="4" width="0.2109375" style="14" customWidth="1" outlineLevel="1"/>
    <col min="5" max="5" width="0.2109375" style="15" customWidth="1" outlineLevel="1"/>
    <col min="6" max="6" width="0.2109375" style="16" customWidth="1" outlineLevel="1"/>
    <col min="7" max="7" width="64.640625" style="17" customWidth="1"/>
    <col min="8" max="8" width="13.2109375" style="18" customWidth="1"/>
    <col min="9" max="9" width="13.640625" style="18" customWidth="1"/>
    <col min="10" max="10" width="13.85546875" style="18" customWidth="1"/>
    <col min="11" max="11" width="14.85546875" style="18" customWidth="1"/>
    <col min="12" max="12" width="8.85546875" style="18" customWidth="1"/>
    <col min="13" max="13" width="17.640625" style="19" customWidth="1"/>
    <col min="14" max="14" width="16.2109375" style="18" customWidth="1"/>
    <col min="15" max="15" width="8.85546875" style="18" customWidth="1"/>
    <col min="16" max="16" width="16.2109375" style="19" customWidth="1"/>
    <col min="17" max="17" width="7.35546875" style="18" customWidth="1"/>
    <col min="18" max="18" width="16.2109375" style="18" customWidth="1"/>
    <col min="19" max="19" width="12.85546875" style="18" customWidth="1"/>
    <col min="20" max="21" width="16.2109375" style="18" customWidth="1"/>
    <col min="22" max="22" width="16.2109375" style="19" customWidth="1"/>
    <col min="23" max="24" width="16.2109375" style="18" customWidth="1"/>
    <col min="25" max="25" width="16.2109375" style="19" customWidth="1"/>
    <col min="26" max="26" width="16.2109375" style="18" customWidth="1"/>
    <col min="27" max="27" width="16.2109375" style="558" customWidth="1"/>
    <col min="28" max="37" width="14.640625" style="21" customWidth="1"/>
    <col min="38" max="16384" width="8.640625" style="21"/>
  </cols>
  <sheetData>
    <row r="1" spans="1:45" s="1" customFormat="1" ht="2.7" customHeight="1">
      <c r="A1" s="22"/>
      <c r="B1" s="23"/>
      <c r="C1" s="24"/>
      <c r="D1" s="23"/>
      <c r="E1" s="24"/>
      <c r="F1" s="24"/>
      <c r="G1" s="22"/>
      <c r="H1" s="25" t="s">
        <v>312</v>
      </c>
      <c r="I1" s="25" t="s">
        <v>313</v>
      </c>
      <c r="J1" s="25" t="s">
        <v>314</v>
      </c>
      <c r="K1" s="25" t="s">
        <v>315</v>
      </c>
      <c r="L1" s="25"/>
      <c r="M1" s="25"/>
      <c r="N1" s="25" t="s">
        <v>316</v>
      </c>
      <c r="O1" s="25"/>
      <c r="P1" s="25"/>
      <c r="Q1" s="25" t="s">
        <v>317</v>
      </c>
      <c r="R1" s="25" t="s">
        <v>318</v>
      </c>
      <c r="S1" s="25" t="s">
        <v>319</v>
      </c>
      <c r="T1" s="25" t="s">
        <v>320</v>
      </c>
      <c r="U1" s="25"/>
      <c r="V1" s="25"/>
      <c r="W1" s="672" t="s">
        <v>321</v>
      </c>
      <c r="X1" s="25"/>
      <c r="Y1" s="25"/>
      <c r="Z1" s="25" t="s">
        <v>322</v>
      </c>
      <c r="AA1" s="559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</row>
    <row r="2" spans="1:45" ht="20.9" customHeight="1">
      <c r="G2" s="26" t="s">
        <v>323</v>
      </c>
      <c r="H2" s="27" t="str">
        <f>于洪!H2</f>
        <v>2026年1月</v>
      </c>
      <c r="I2" s="940" t="s">
        <v>324</v>
      </c>
      <c r="J2" s="940"/>
      <c r="K2" s="940"/>
      <c r="L2" s="940"/>
      <c r="M2" s="940"/>
      <c r="N2" s="940"/>
      <c r="O2" s="940"/>
      <c r="P2" s="940"/>
      <c r="Q2" s="940"/>
      <c r="R2" s="28" t="s">
        <v>325</v>
      </c>
      <c r="S2" s="29" t="s">
        <v>326</v>
      </c>
      <c r="T2" s="13"/>
      <c r="U2" s="30"/>
      <c r="V2" s="13"/>
      <c r="W2" s="560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5" s="2" customFormat="1" ht="16.5" customHeight="1">
      <c r="A3" s="32"/>
      <c r="B3" s="32"/>
      <c r="C3" s="32"/>
      <c r="D3" s="32"/>
      <c r="E3" s="33"/>
      <c r="F3" s="34"/>
      <c r="G3" s="923" t="s">
        <v>327</v>
      </c>
      <c r="H3" s="941" t="s">
        <v>328</v>
      </c>
      <c r="I3" s="941"/>
      <c r="J3" s="941"/>
      <c r="K3" s="941"/>
      <c r="L3" s="942"/>
      <c r="M3" s="943" t="s">
        <v>329</v>
      </c>
      <c r="N3" s="944"/>
      <c r="O3" s="944"/>
      <c r="P3" s="944"/>
      <c r="Q3" s="945"/>
      <c r="R3" s="946" t="s">
        <v>330</v>
      </c>
      <c r="S3" s="947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</row>
    <row r="4" spans="1:45" s="2" customFormat="1" ht="16.5" customHeight="1">
      <c r="A4" s="32"/>
      <c r="B4" s="32"/>
      <c r="C4" s="32"/>
      <c r="D4" s="32"/>
      <c r="E4" s="33"/>
      <c r="F4" s="36"/>
      <c r="G4" s="924"/>
      <c r="H4" s="37" t="s">
        <v>331</v>
      </c>
      <c r="I4" s="548" t="s">
        <v>249</v>
      </c>
      <c r="J4" s="39" t="s">
        <v>332</v>
      </c>
      <c r="K4" s="549" t="s">
        <v>270</v>
      </c>
      <c r="L4" s="41" t="s">
        <v>332</v>
      </c>
      <c r="M4" s="42" t="s">
        <v>331</v>
      </c>
      <c r="N4" s="550" t="s">
        <v>249</v>
      </c>
      <c r="O4" s="44" t="s">
        <v>332</v>
      </c>
      <c r="P4" s="550" t="s">
        <v>270</v>
      </c>
      <c r="Q4" s="44" t="s">
        <v>332</v>
      </c>
      <c r="R4" s="45" t="s">
        <v>245</v>
      </c>
      <c r="S4" s="601" t="s">
        <v>11</v>
      </c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</row>
    <row r="5" spans="1:45" ht="16.5" customHeight="1">
      <c r="A5" s="673"/>
      <c r="B5" s="673"/>
      <c r="C5" s="674"/>
      <c r="D5" s="674"/>
      <c r="E5" s="675"/>
      <c r="F5" s="36"/>
      <c r="G5" s="50" t="s">
        <v>333</v>
      </c>
      <c r="H5" s="51">
        <f>SUM(于洪:武汉!H5)</f>
        <v>38719</v>
      </c>
      <c r="I5" s="55">
        <f>SUM(于洪:武汉!I5)</f>
        <v>38688</v>
      </c>
      <c r="J5" s="53">
        <f t="shared" ref="J5:J10" si="0">IF(I5=0,"",H5/I5-1)</f>
        <v>8.0128205128215946E-4</v>
      </c>
      <c r="K5" s="551">
        <f>SUM(于洪:武汉!K5)</f>
        <v>40145</v>
      </c>
      <c r="L5" s="54">
        <f t="shared" ref="L5:L10" si="1">IF(K5=0,"",H5/K5-1)</f>
        <v>-3.5521235521235539E-2</v>
      </c>
      <c r="M5" s="51">
        <f>SUM(于洪:武汉!M5)</f>
        <v>38719</v>
      </c>
      <c r="N5" s="602">
        <f>SUM(于洪:武汉!N5)</f>
        <v>38688</v>
      </c>
      <c r="O5" s="53">
        <f t="shared" ref="O5:O10" si="2">IF(N5=0,"",M5/N5-1)</f>
        <v>8.0128205128215946E-4</v>
      </c>
      <c r="P5" s="551">
        <f>SUM(于洪:武汉!P5)</f>
        <v>40145</v>
      </c>
      <c r="Q5" s="56">
        <f t="shared" ref="Q5:Q10" si="3">IF(P5=0,"",M5/P5-1)</f>
        <v>-3.5521235521235539E-2</v>
      </c>
      <c r="R5" s="57">
        <f>SUM(于洪:武汉!R5)</f>
        <v>455520</v>
      </c>
      <c r="S5" s="603">
        <f t="shared" ref="S5:S10" si="4">IF(R5=0,"",M5/R5-1)</f>
        <v>-0.91500043905865824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spans="1:45" ht="16.5" customHeight="1">
      <c r="A6" s="673"/>
      <c r="B6" s="673"/>
      <c r="C6" s="674"/>
      <c r="D6" s="674"/>
      <c r="E6" s="675"/>
      <c r="F6" s="36"/>
      <c r="G6" s="50" t="s">
        <v>334</v>
      </c>
      <c r="H6" s="51">
        <f>SUM(于洪:武汉!H6)</f>
        <v>38566</v>
      </c>
      <c r="I6" s="55">
        <f>SUM(于洪:武汉!I6)</f>
        <v>38688</v>
      </c>
      <c r="J6" s="53">
        <f t="shared" si="0"/>
        <v>-3.1534325889164272E-3</v>
      </c>
      <c r="K6" s="551">
        <f>SUM(于洪:武汉!K6)</f>
        <v>37956</v>
      </c>
      <c r="L6" s="54">
        <f t="shared" si="1"/>
        <v>1.6071240383602081E-2</v>
      </c>
      <c r="M6" s="51">
        <f>SUM(于洪:武汉!M6)</f>
        <v>38566</v>
      </c>
      <c r="N6" s="602">
        <f>SUM(于洪:武汉!N6)</f>
        <v>38688</v>
      </c>
      <c r="O6" s="53">
        <f t="shared" si="2"/>
        <v>-3.1534325889164272E-3</v>
      </c>
      <c r="P6" s="551">
        <f>SUM(于洪:武汉!P6)</f>
        <v>37956</v>
      </c>
      <c r="Q6" s="56">
        <f t="shared" si="3"/>
        <v>1.6071240383602081E-2</v>
      </c>
      <c r="R6" s="57">
        <f>SUM(于洪:武汉!R6)</f>
        <v>455520</v>
      </c>
      <c r="S6" s="603">
        <f t="shared" si="4"/>
        <v>-0.91533631893220935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spans="1:45" ht="16.5" customHeight="1">
      <c r="A7" s="673"/>
      <c r="B7" s="673"/>
      <c r="C7" s="674"/>
      <c r="D7" s="674"/>
      <c r="E7" s="675"/>
      <c r="F7" s="36"/>
      <c r="G7" s="59" t="s">
        <v>335</v>
      </c>
      <c r="H7" s="60">
        <f>SUM(于洪:武汉!H7)</f>
        <v>8312</v>
      </c>
      <c r="I7" s="55">
        <f>SUM(于洪:武汉!I7)</f>
        <v>8745</v>
      </c>
      <c r="J7" s="62">
        <f t="shared" si="0"/>
        <v>-4.9514008004574062E-2</v>
      </c>
      <c r="K7" s="552">
        <f>SUM(于洪:武汉!K7)</f>
        <v>8110.5</v>
      </c>
      <c r="L7" s="63">
        <f t="shared" si="1"/>
        <v>2.484433758707838E-2</v>
      </c>
      <c r="M7" s="60">
        <f>SUM(于洪:武汉!M7)</f>
        <v>8312</v>
      </c>
      <c r="N7" s="676">
        <f>SUM(于洪:武汉!N7)</f>
        <v>8745</v>
      </c>
      <c r="O7" s="62">
        <f t="shared" si="2"/>
        <v>-4.9514008004574062E-2</v>
      </c>
      <c r="P7" s="552">
        <f>SUM(于洪:武汉!P7)</f>
        <v>8110.5</v>
      </c>
      <c r="Q7" s="65">
        <f t="shared" si="3"/>
        <v>2.484433758707838E-2</v>
      </c>
      <c r="R7" s="57">
        <f>SUM(于洪:武汉!R7)</f>
        <v>148467.5</v>
      </c>
      <c r="S7" s="603">
        <f t="shared" si="4"/>
        <v>-0.94401468334820748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5" ht="16.5" customHeight="1">
      <c r="A8" s="673"/>
      <c r="B8" s="673"/>
      <c r="C8" s="674"/>
      <c r="D8" s="674"/>
      <c r="E8" s="675"/>
      <c r="F8" s="36"/>
      <c r="G8" s="50" t="s">
        <v>336</v>
      </c>
      <c r="H8" s="51">
        <f>SUM(于洪:武汉!H8)</f>
        <v>8089.5</v>
      </c>
      <c r="I8" s="55">
        <f>SUM(于洪:武汉!I8)</f>
        <v>8745</v>
      </c>
      <c r="J8" s="53">
        <f t="shared" si="0"/>
        <v>-7.4957118353344732E-2</v>
      </c>
      <c r="K8" s="551">
        <f>SUM(于洪:武汉!K8)</f>
        <v>7841.5</v>
      </c>
      <c r="L8" s="54">
        <f t="shared" si="1"/>
        <v>3.1626602053178576E-2</v>
      </c>
      <c r="M8" s="51">
        <f>SUM(于洪:武汉!M8)</f>
        <v>8089.5</v>
      </c>
      <c r="N8" s="602">
        <f>SUM(于洪:武汉!N8)</f>
        <v>8745</v>
      </c>
      <c r="O8" s="53">
        <f t="shared" si="2"/>
        <v>-7.4957118353344732E-2</v>
      </c>
      <c r="P8" s="551">
        <f>SUM(于洪:武汉!P8)</f>
        <v>7841.5</v>
      </c>
      <c r="Q8" s="56">
        <f t="shared" si="3"/>
        <v>3.1626602053178576E-2</v>
      </c>
      <c r="R8" s="57">
        <f>SUM(于洪:武汉!R8)</f>
        <v>148467.5</v>
      </c>
      <c r="S8" s="603">
        <f t="shared" si="4"/>
        <v>-0.9455133278326906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5" ht="16.5" customHeight="1">
      <c r="A9" s="673" t="s">
        <v>337</v>
      </c>
      <c r="B9" s="673"/>
      <c r="C9" s="674"/>
      <c r="D9" s="674"/>
      <c r="E9" s="675"/>
      <c r="F9" s="36"/>
      <c r="G9" s="66" t="s">
        <v>338</v>
      </c>
      <c r="H9" s="111">
        <f>H7/H5</f>
        <v>0.21467496577907488</v>
      </c>
      <c r="I9" s="70">
        <f>I7/I5</f>
        <v>0.22603908188585609</v>
      </c>
      <c r="J9" s="111">
        <f t="shared" si="0"/>
        <v>-5.0275005596243649E-2</v>
      </c>
      <c r="K9" s="113">
        <f>K7/K5</f>
        <v>0.20203014073981815</v>
      </c>
      <c r="L9" s="112">
        <f t="shared" si="1"/>
        <v>6.2588804784040608E-2</v>
      </c>
      <c r="M9" s="111">
        <f>M7/M5</f>
        <v>0.21467496577907488</v>
      </c>
      <c r="N9" s="677">
        <f>N7/N5</f>
        <v>0.22603908188585609</v>
      </c>
      <c r="O9" s="111">
        <f t="shared" si="2"/>
        <v>-5.0275005596243649E-2</v>
      </c>
      <c r="P9" s="113">
        <f>P7/P5</f>
        <v>0.20203014073981815</v>
      </c>
      <c r="Q9" s="113">
        <f t="shared" si="3"/>
        <v>6.2588804784040608E-2</v>
      </c>
      <c r="R9" s="678">
        <f>R7/R5</f>
        <v>0.32592970670881632</v>
      </c>
      <c r="S9" s="603">
        <f t="shared" si="4"/>
        <v>-0.34134581365157912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5" ht="16.5" customHeight="1">
      <c r="A10" s="673" t="s">
        <v>337</v>
      </c>
      <c r="B10" s="673"/>
      <c r="C10" s="674"/>
      <c r="D10" s="674"/>
      <c r="E10" s="675"/>
      <c r="F10" s="36"/>
      <c r="G10" s="50" t="s">
        <v>339</v>
      </c>
      <c r="H10" s="111">
        <f>H8/H5</f>
        <v>0.20892843306903588</v>
      </c>
      <c r="I10" s="70">
        <f>I8/I5</f>
        <v>0.22603908188585609</v>
      </c>
      <c r="J10" s="111">
        <f t="shared" si="0"/>
        <v>-7.5697745160107521E-2</v>
      </c>
      <c r="K10" s="113">
        <f>K8/K5</f>
        <v>0.19532943081330179</v>
      </c>
      <c r="L10" s="112">
        <f t="shared" si="1"/>
        <v>6.9620856412222931E-2</v>
      </c>
      <c r="M10" s="111">
        <f>M8/M5</f>
        <v>0.20892843306903588</v>
      </c>
      <c r="N10" s="677">
        <f>N8/N5</f>
        <v>0.22603908188585609</v>
      </c>
      <c r="O10" s="111">
        <f t="shared" si="2"/>
        <v>-7.5697745160107521E-2</v>
      </c>
      <c r="P10" s="113">
        <f>P8/P5</f>
        <v>0.19532943081330179</v>
      </c>
      <c r="Q10" s="113">
        <f t="shared" si="3"/>
        <v>6.9620856412222931E-2</v>
      </c>
      <c r="R10" s="678">
        <f>R8/R5</f>
        <v>0.32592970670881632</v>
      </c>
      <c r="S10" s="603">
        <f t="shared" si="4"/>
        <v>-0.35897701630587697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5" ht="16.5" customHeight="1">
      <c r="A11" s="673"/>
      <c r="B11" s="673"/>
      <c r="C11" s="674"/>
      <c r="D11" s="674"/>
      <c r="E11" s="675"/>
      <c r="F11" s="36"/>
      <c r="G11" s="66" t="s">
        <v>340</v>
      </c>
      <c r="H11" s="51"/>
      <c r="I11" s="55"/>
      <c r="J11" s="53" t="str">
        <f>IF(H11=0,"",G11/H11-1)</f>
        <v/>
      </c>
      <c r="K11" s="551"/>
      <c r="L11" s="54"/>
      <c r="M11" s="51"/>
      <c r="N11" s="602"/>
      <c r="O11" s="53"/>
      <c r="P11" s="551"/>
      <c r="Q11" s="56"/>
      <c r="R11" s="57"/>
      <c r="S11" s="60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5" ht="16.5" customHeight="1">
      <c r="A12" s="673"/>
      <c r="B12" s="673"/>
      <c r="C12" s="674"/>
      <c r="D12" s="674"/>
      <c r="E12" s="675"/>
      <c r="F12" s="36"/>
      <c r="G12" s="50" t="s">
        <v>341</v>
      </c>
      <c r="H12" s="51"/>
      <c r="I12" s="55"/>
      <c r="J12" s="53" t="str">
        <f>IF(H12=0,"",G12/H12-1)</f>
        <v/>
      </c>
      <c r="K12" s="551"/>
      <c r="L12" s="54"/>
      <c r="M12" s="51"/>
      <c r="N12" s="602"/>
      <c r="O12" s="53"/>
      <c r="P12" s="551"/>
      <c r="Q12" s="56"/>
      <c r="R12" s="57"/>
      <c r="S12" s="60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5" ht="16.5" customHeight="1">
      <c r="A13" s="73"/>
      <c r="B13" s="73"/>
      <c r="C13" s="73"/>
      <c r="D13" s="73"/>
      <c r="E13" s="73"/>
      <c r="F13" s="36"/>
      <c r="G13" s="74" t="s">
        <v>342</v>
      </c>
      <c r="H13" s="75"/>
      <c r="I13" s="553"/>
      <c r="J13" s="77"/>
      <c r="K13" s="553"/>
      <c r="L13" s="78"/>
      <c r="M13" s="75"/>
      <c r="N13" s="679"/>
      <c r="O13" s="77"/>
      <c r="P13" s="553"/>
      <c r="Q13" s="80"/>
      <c r="R13" s="81"/>
      <c r="S13" s="680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spans="1:45" ht="16.5" customHeight="1">
      <c r="A14" s="73"/>
      <c r="B14" s="73"/>
      <c r="C14" s="73"/>
      <c r="D14" s="73"/>
      <c r="E14" s="73"/>
      <c r="F14" s="36"/>
      <c r="G14" s="83"/>
      <c r="H14" s="84"/>
      <c r="I14" s="84"/>
      <c r="J14" s="85"/>
      <c r="K14" s="84"/>
      <c r="L14" s="85"/>
      <c r="M14" s="84"/>
      <c r="N14" s="84"/>
      <c r="O14" s="85"/>
      <c r="P14" s="84"/>
      <c r="Q14" s="85"/>
      <c r="R14" s="84"/>
      <c r="S14" s="562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5" s="3" customFormat="1" ht="16.5" customHeight="1">
      <c r="A15" s="73"/>
      <c r="B15" s="73"/>
      <c r="C15" s="73"/>
      <c r="D15" s="73"/>
      <c r="E15" s="73"/>
      <c r="F15" s="36"/>
      <c r="G15" s="87" t="s">
        <v>343</v>
      </c>
      <c r="H15" s="88" t="s">
        <v>331</v>
      </c>
      <c r="I15" s="89" t="s">
        <v>249</v>
      </c>
      <c r="J15" s="90" t="s">
        <v>332</v>
      </c>
      <c r="K15" s="91" t="s">
        <v>270</v>
      </c>
      <c r="L15" s="90" t="s">
        <v>332</v>
      </c>
      <c r="M15" s="92" t="s">
        <v>331</v>
      </c>
      <c r="N15" s="93" t="s">
        <v>249</v>
      </c>
      <c r="O15" s="94" t="s">
        <v>332</v>
      </c>
      <c r="P15" s="93" t="s">
        <v>270</v>
      </c>
      <c r="Q15" s="95" t="s">
        <v>332</v>
      </c>
      <c r="R15" s="96" t="s">
        <v>245</v>
      </c>
      <c r="S15" s="563" t="s">
        <v>11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5" s="4" customFormat="1" ht="16.5" customHeight="1">
      <c r="A16" s="99"/>
      <c r="B16" s="99"/>
      <c r="C16" s="73"/>
      <c r="D16" s="73"/>
      <c r="E16" s="100"/>
      <c r="F16" s="36"/>
      <c r="G16" s="351" t="s">
        <v>344</v>
      </c>
      <c r="H16" s="352">
        <f>SUM(于洪:武汉!H16)</f>
        <v>4097415.6100000003</v>
      </c>
      <c r="I16" s="353">
        <f>SUM(于洪:武汉!I16)</f>
        <v>4483405.87</v>
      </c>
      <c r="J16" s="354">
        <f t="shared" ref="J16:J39" si="5">IF(I16=0,"",H16/I16-1)</f>
        <v>-8.6093088868619327E-2</v>
      </c>
      <c r="K16" s="353">
        <f>SUM(于洪:武汉!K16)</f>
        <v>5001951.29</v>
      </c>
      <c r="L16" s="355">
        <f t="shared" ref="L16:L39" si="6">IF(K16=0,"",H16/K16-1)</f>
        <v>-0.18083656308456364</v>
      </c>
      <c r="M16" s="352">
        <f>SUM(于洪:武汉!M16)</f>
        <v>4097415.6100000003</v>
      </c>
      <c r="N16" s="353">
        <f>SUM(于洪:武汉!N16)</f>
        <v>4483405.87</v>
      </c>
      <c r="O16" s="354">
        <f t="shared" ref="O16:O39" si="7">IF(N16=0,"",M16/N16-1)</f>
        <v>-8.6093088868619327E-2</v>
      </c>
      <c r="P16" s="353">
        <f>SUM(于洪:武汉!P16)</f>
        <v>5001951.29</v>
      </c>
      <c r="Q16" s="356">
        <f t="shared" ref="Q16:Q39" si="8">IF(P16=0,"",M16/P16-1)</f>
        <v>-0.18083656308456364</v>
      </c>
      <c r="R16" s="357">
        <f>SUM(于洪:武汉!R16)</f>
        <v>65708705.730000004</v>
      </c>
      <c r="S16" s="604">
        <f t="shared" ref="S16:S39" si="9">IF(R16=0,"",M16/R16-1)</f>
        <v>-0.93764272839528351</v>
      </c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</row>
    <row r="17" spans="1:41" ht="16.5" customHeight="1">
      <c r="B17" s="673"/>
      <c r="C17" s="674"/>
      <c r="D17" s="674"/>
      <c r="E17" s="674" t="s">
        <v>345</v>
      </c>
      <c r="F17" s="36"/>
      <c r="G17" s="102" t="s">
        <v>346</v>
      </c>
      <c r="H17" s="103">
        <f>SUM(于洪:武汉!H17)</f>
        <v>1071025.9200000002</v>
      </c>
      <c r="I17" s="104">
        <f>SUM(于洪:武汉!I17)</f>
        <v>1131793.07</v>
      </c>
      <c r="J17" s="105">
        <f t="shared" si="5"/>
        <v>-5.3691042656764054E-2</v>
      </c>
      <c r="K17" s="104">
        <f>SUM(于洪:武汉!K17)</f>
        <v>1493908.36</v>
      </c>
      <c r="L17" s="106">
        <f t="shared" si="6"/>
        <v>-0.2830712052511708</v>
      </c>
      <c r="M17" s="103">
        <f>SUM(于洪:武汉!M17)</f>
        <v>1071025.9200000002</v>
      </c>
      <c r="N17" s="104">
        <f>SUM(于洪:武汉!N17)</f>
        <v>1131793.07</v>
      </c>
      <c r="O17" s="105">
        <f t="shared" si="7"/>
        <v>-5.3691042656764054E-2</v>
      </c>
      <c r="P17" s="104">
        <f>SUM(于洪:武汉!P17)</f>
        <v>1493908.36</v>
      </c>
      <c r="Q17" s="107">
        <f t="shared" si="8"/>
        <v>-0.2830712052511708</v>
      </c>
      <c r="R17" s="108">
        <f>SUM(于洪:武汉!R17)</f>
        <v>13555234.059999999</v>
      </c>
      <c r="S17" s="605">
        <f t="shared" si="9"/>
        <v>-0.92098801722941248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spans="1:41" ht="16.5" customHeight="1">
      <c r="A18" s="673"/>
      <c r="B18" s="673"/>
      <c r="C18" s="674"/>
      <c r="D18" s="674"/>
      <c r="E18" s="675"/>
      <c r="F18" s="36"/>
      <c r="G18" s="110" t="s">
        <v>347</v>
      </c>
      <c r="H18" s="51">
        <f>SUM(于洪:武汉!H18)</f>
        <v>1355372.25</v>
      </c>
      <c r="I18" s="55">
        <f>SUM(于洪:武汉!I18)</f>
        <v>1518115.93</v>
      </c>
      <c r="J18" s="111">
        <f t="shared" si="5"/>
        <v>-0.10720108839118758</v>
      </c>
      <c r="K18" s="55">
        <f>SUM(于洪:武汉!K18)</f>
        <v>1682706.4</v>
      </c>
      <c r="L18" s="112">
        <f t="shared" si="6"/>
        <v>-0.19452837999546435</v>
      </c>
      <c r="M18" s="51">
        <f>SUM(于洪:武汉!M18)</f>
        <v>1355372.25</v>
      </c>
      <c r="N18" s="55">
        <f>SUM(于洪:武汉!N18)</f>
        <v>1518115.93</v>
      </c>
      <c r="O18" s="111">
        <f t="shared" si="7"/>
        <v>-0.10720108839118758</v>
      </c>
      <c r="P18" s="55">
        <f>SUM(于洪:武汉!P18)</f>
        <v>1682706.4</v>
      </c>
      <c r="Q18" s="113">
        <f t="shared" si="8"/>
        <v>-0.19452837999546435</v>
      </c>
      <c r="R18" s="108">
        <f>SUM(于洪:武汉!R18)</f>
        <v>21031831.490000002</v>
      </c>
      <c r="S18" s="605">
        <f t="shared" si="9"/>
        <v>-0.93555614732628312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1:41" ht="16.5" customHeight="1">
      <c r="A19" s="673"/>
      <c r="B19" s="673"/>
      <c r="C19" s="674"/>
      <c r="D19" s="674"/>
      <c r="E19" s="675"/>
      <c r="F19" s="36"/>
      <c r="G19" s="114" t="s">
        <v>348</v>
      </c>
      <c r="H19" s="51">
        <f>SUM(于洪:武汉!H19)</f>
        <v>2317998.35</v>
      </c>
      <c r="I19" s="55">
        <f>SUM(于洪:武汉!I19)</f>
        <v>2301927.7999999998</v>
      </c>
      <c r="J19" s="111">
        <f t="shared" si="5"/>
        <v>6.9813440716952613E-3</v>
      </c>
      <c r="K19" s="55">
        <f>SUM(于洪:武汉!K19)</f>
        <v>2537463.86</v>
      </c>
      <c r="L19" s="112">
        <f t="shared" si="6"/>
        <v>-8.6490102759532395E-2</v>
      </c>
      <c r="M19" s="51">
        <f>SUM(于洪:武汉!M19)</f>
        <v>2317998.35</v>
      </c>
      <c r="N19" s="55">
        <f>SUM(于洪:武汉!N19)</f>
        <v>2301927.7999999998</v>
      </c>
      <c r="O19" s="111">
        <f t="shared" si="7"/>
        <v>6.9813440716952613E-3</v>
      </c>
      <c r="P19" s="55">
        <f>SUM(于洪:武汉!P19)</f>
        <v>2537463.86</v>
      </c>
      <c r="Q19" s="113">
        <f t="shared" si="8"/>
        <v>-8.6490102759532395E-2</v>
      </c>
      <c r="R19" s="108">
        <f>SUM(于洪:武汉!R19)</f>
        <v>25094389.5</v>
      </c>
      <c r="S19" s="605">
        <f t="shared" si="9"/>
        <v>-0.90762882077685136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 s="5" customFormat="1" ht="16.5" customHeight="1">
      <c r="A20" s="673"/>
      <c r="B20" s="673"/>
      <c r="C20" s="674"/>
      <c r="D20" s="674"/>
      <c r="E20" s="675"/>
      <c r="F20" s="115"/>
      <c r="G20" s="116" t="s">
        <v>349</v>
      </c>
      <c r="H20" s="117">
        <f>H16-SUM(H17:H19)</f>
        <v>-646980.90999999922</v>
      </c>
      <c r="I20" s="118">
        <f>I16-SUM(I17:I19)</f>
        <v>-468430.9299999997</v>
      </c>
      <c r="J20" s="119">
        <f t="shared" si="5"/>
        <v>0.38116607714183104</v>
      </c>
      <c r="K20" s="118">
        <f>K16-SUM(K17:K19)</f>
        <v>-712127.32999999914</v>
      </c>
      <c r="L20" s="120">
        <f t="shared" si="6"/>
        <v>-9.1481420885784592E-2</v>
      </c>
      <c r="M20" s="117">
        <f>M16-SUM(M17:M19)</f>
        <v>-646980.90999999922</v>
      </c>
      <c r="N20" s="118">
        <f>N16-SUM(N17:N19)</f>
        <v>-468430.9299999997</v>
      </c>
      <c r="O20" s="119">
        <f t="shared" si="7"/>
        <v>0.38116607714183104</v>
      </c>
      <c r="P20" s="118">
        <f>P16-SUM(P17:P19)</f>
        <v>-712127.32999999914</v>
      </c>
      <c r="Q20" s="121">
        <f t="shared" si="8"/>
        <v>-9.1481420885784592E-2</v>
      </c>
      <c r="R20" s="122">
        <f>R16-SUM(R17:R19)</f>
        <v>6027250.6800000072</v>
      </c>
      <c r="S20" s="606">
        <f t="shared" si="9"/>
        <v>-1.1073426250789353</v>
      </c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</row>
    <row r="21" spans="1:41" s="554" customFormat="1" ht="16.5" customHeight="1">
      <c r="A21" s="564"/>
      <c r="B21" s="564"/>
      <c r="C21" s="565"/>
      <c r="D21" s="565"/>
      <c r="E21" s="566"/>
      <c r="F21" s="567"/>
      <c r="G21" s="568" t="s">
        <v>350</v>
      </c>
      <c r="H21" s="607">
        <f>IFERROR(H20/H16,0)</f>
        <v>-0.15789975232705261</v>
      </c>
      <c r="I21" s="608">
        <f>IFERROR(I20/I16,0)</f>
        <v>-0.10448104489812779</v>
      </c>
      <c r="J21" s="607">
        <f t="shared" si="5"/>
        <v>0.51127654285052082</v>
      </c>
      <c r="K21" s="608">
        <f>IFERROR(K20/K16,0)</f>
        <v>-0.14236990500561214</v>
      </c>
      <c r="L21" s="609">
        <f t="shared" si="6"/>
        <v>0.10908096989197458</v>
      </c>
      <c r="M21" s="607">
        <f>IFERROR(M20/M16,0)</f>
        <v>-0.15789975232705261</v>
      </c>
      <c r="N21" s="608">
        <f>IFERROR(N20/N16,0)</f>
        <v>-0.10448104489812779</v>
      </c>
      <c r="O21" s="607">
        <f t="shared" si="7"/>
        <v>0.51127654285052082</v>
      </c>
      <c r="P21" s="608">
        <f>IFERROR(P20/P16,0)</f>
        <v>-0.14236990500561214</v>
      </c>
      <c r="Q21" s="610">
        <f t="shared" si="8"/>
        <v>0.10908096989197458</v>
      </c>
      <c r="R21" s="569">
        <f>IFERROR(R20/R16,0)</f>
        <v>9.1726820868550482E-2</v>
      </c>
      <c r="S21" s="611">
        <f t="shared" si="9"/>
        <v>-2.7214131137645285</v>
      </c>
      <c r="T21" s="570"/>
      <c r="U21" s="570"/>
      <c r="V21" s="570"/>
      <c r="W21" s="570"/>
      <c r="X21" s="570"/>
      <c r="Y21" s="571"/>
      <c r="Z21" s="571"/>
      <c r="AA21" s="571"/>
      <c r="AB21" s="571"/>
      <c r="AC21" s="571"/>
      <c r="AD21" s="571"/>
      <c r="AE21" s="571"/>
      <c r="AF21" s="571"/>
      <c r="AG21" s="571"/>
      <c r="AH21" s="571"/>
      <c r="AI21" s="571"/>
      <c r="AJ21" s="571"/>
      <c r="AK21" s="571"/>
      <c r="AL21" s="571"/>
      <c r="AM21" s="571"/>
      <c r="AN21" s="571"/>
      <c r="AO21" s="571"/>
    </row>
    <row r="22" spans="1:41" ht="16.5" customHeight="1">
      <c r="A22" s="673"/>
      <c r="B22" s="673"/>
      <c r="C22" s="674"/>
      <c r="D22" s="674"/>
      <c r="E22" s="675"/>
      <c r="G22" s="138" t="s">
        <v>351</v>
      </c>
      <c r="H22" s="51">
        <f>SUM(于洪:武汉!H22)</f>
        <v>101736.94</v>
      </c>
      <c r="I22" s="55">
        <f>SUM(于洪:武汉!I22)</f>
        <v>99329.600000000006</v>
      </c>
      <c r="J22" s="111">
        <f t="shared" si="5"/>
        <v>2.4235877321563626E-2</v>
      </c>
      <c r="K22" s="55">
        <f>SUM(于洪:武汉!K22)</f>
        <v>119426.34000000001</v>
      </c>
      <c r="L22" s="112">
        <f t="shared" si="6"/>
        <v>-0.14811975314658399</v>
      </c>
      <c r="M22" s="51">
        <f>SUM(于洪:武汉!M22)</f>
        <v>101736.94</v>
      </c>
      <c r="N22" s="55">
        <f>SUM(于洪:武汉!N22)</f>
        <v>99329.600000000006</v>
      </c>
      <c r="O22" s="111">
        <f t="shared" si="7"/>
        <v>2.4235877321563626E-2</v>
      </c>
      <c r="P22" s="55">
        <f>SUM(于洪:武汉!P22)</f>
        <v>119426.34000000001</v>
      </c>
      <c r="Q22" s="113">
        <f t="shared" si="8"/>
        <v>-0.14811975314658399</v>
      </c>
      <c r="R22" s="108">
        <f>SUM(于洪:武汉!R22)</f>
        <v>1423895.52</v>
      </c>
      <c r="S22" s="605">
        <f t="shared" si="9"/>
        <v>-0.92855027734057338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 spans="1:41" ht="16.5" customHeight="1">
      <c r="A23" s="673"/>
      <c r="B23" s="673"/>
      <c r="C23" s="674"/>
      <c r="D23" s="674"/>
      <c r="E23" s="675"/>
      <c r="G23" s="138" t="s">
        <v>352</v>
      </c>
      <c r="H23" s="51">
        <f>SUM(于洪:武汉!H23)</f>
        <v>-702404.5</v>
      </c>
      <c r="I23" s="55">
        <f>SUM(于洪:武汉!I23)</f>
        <v>-695073.65</v>
      </c>
      <c r="J23" s="111">
        <f t="shared" si="5"/>
        <v>1.0546867947015315E-2</v>
      </c>
      <c r="K23" s="55">
        <f>SUM(于洪:武汉!K23)</f>
        <v>-1032045.61</v>
      </c>
      <c r="L23" s="112">
        <f t="shared" si="6"/>
        <v>-0.31940556386844177</v>
      </c>
      <c r="M23" s="51">
        <f>SUM(于洪:武汉!M23)</f>
        <v>-702404.5</v>
      </c>
      <c r="N23" s="55">
        <f>SUM(于洪:武汉!N23)</f>
        <v>-695073.65</v>
      </c>
      <c r="O23" s="111">
        <f t="shared" si="7"/>
        <v>1.0546867947015315E-2</v>
      </c>
      <c r="P23" s="55">
        <f>SUM(于洪:武汉!P23)</f>
        <v>-1032045.61</v>
      </c>
      <c r="Q23" s="113">
        <f t="shared" si="8"/>
        <v>-0.31940556386844177</v>
      </c>
      <c r="R23" s="108">
        <f>SUM(于洪:武汉!R23)</f>
        <v>-9075785.9800000004</v>
      </c>
      <c r="S23" s="605">
        <f t="shared" si="9"/>
        <v>-0.92260675807606474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spans="1:41" s="5" customFormat="1" ht="16.5" customHeight="1">
      <c r="A24" s="673"/>
      <c r="B24" s="673"/>
      <c r="C24" s="674"/>
      <c r="D24" s="674"/>
      <c r="E24" s="675"/>
      <c r="F24" s="16"/>
      <c r="G24" s="139" t="s">
        <v>353</v>
      </c>
      <c r="H24" s="140">
        <f>H20-H22+H23</f>
        <v>-1451122.3499999992</v>
      </c>
      <c r="I24" s="141">
        <f>I20-I22+I23</f>
        <v>-1262834.1799999997</v>
      </c>
      <c r="J24" s="142">
        <f t="shared" si="5"/>
        <v>0.14909967831247606</v>
      </c>
      <c r="K24" s="141">
        <f>K20-K22+K23</f>
        <v>-1863599.2799999991</v>
      </c>
      <c r="L24" s="143">
        <f t="shared" si="6"/>
        <v>-0.22133348860276447</v>
      </c>
      <c r="M24" s="140">
        <f>M20-M22+M23</f>
        <v>-1451122.3499999992</v>
      </c>
      <c r="N24" s="141">
        <f>N20-N22+N23</f>
        <v>-1262834.1799999997</v>
      </c>
      <c r="O24" s="142">
        <f t="shared" si="7"/>
        <v>0.14909967831247606</v>
      </c>
      <c r="P24" s="141">
        <f>P20-P22+P23</f>
        <v>-1863599.2799999991</v>
      </c>
      <c r="Q24" s="144">
        <f t="shared" si="8"/>
        <v>-0.22133348860276447</v>
      </c>
      <c r="R24" s="122">
        <f>R20-R22+R23</f>
        <v>-4472430.8199999928</v>
      </c>
      <c r="S24" s="606">
        <f t="shared" si="9"/>
        <v>-0.67554057102218046</v>
      </c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</row>
    <row r="25" spans="1:41" ht="16.5" customHeight="1">
      <c r="A25" s="673"/>
      <c r="B25" s="673"/>
      <c r="C25" s="674"/>
      <c r="D25" s="674"/>
      <c r="E25" s="675"/>
      <c r="G25" s="138" t="s">
        <v>354</v>
      </c>
      <c r="H25" s="51">
        <f>SUM(于洪:武汉!H25)</f>
        <v>103771.03694999999</v>
      </c>
      <c r="I25" s="55">
        <f>SUM(于洪:武汉!I25)</f>
        <v>99829.550449999995</v>
      </c>
      <c r="J25" s="111">
        <f t="shared" si="5"/>
        <v>3.9482162167745249E-2</v>
      </c>
      <c r="K25" s="55">
        <f>SUM(于洪:武汉!K25)</f>
        <v>183468.17404999997</v>
      </c>
      <c r="L25" s="112">
        <f t="shared" si="6"/>
        <v>-0.43439216372361333</v>
      </c>
      <c r="M25" s="51">
        <f>SUM(于洪:武汉!M25)</f>
        <v>103771.03694999999</v>
      </c>
      <c r="N25" s="55">
        <f>SUM(于洪:武汉!N25)</f>
        <v>99829.550449999995</v>
      </c>
      <c r="O25" s="111">
        <f t="shared" si="7"/>
        <v>3.9482162167745249E-2</v>
      </c>
      <c r="P25" s="55">
        <f>SUM(于洪:武汉!P25)</f>
        <v>183468.17404999997</v>
      </c>
      <c r="Q25" s="113">
        <f t="shared" si="8"/>
        <v>-0.43439216372361333</v>
      </c>
      <c r="R25" s="108">
        <f>SUM(于洪:武汉!R25)</f>
        <v>1361952.4604</v>
      </c>
      <c r="S25" s="605">
        <f t="shared" si="9"/>
        <v>-0.92380715188875029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spans="1:41" s="5" customFormat="1" ht="16.5" customHeight="1">
      <c r="A26" s="673"/>
      <c r="B26" s="673"/>
      <c r="C26" s="674"/>
      <c r="D26" s="674"/>
      <c r="E26" s="675"/>
      <c r="F26" s="16"/>
      <c r="G26" s="145" t="s">
        <v>355</v>
      </c>
      <c r="H26" s="117">
        <f>H24-H25</f>
        <v>-1554893.3869499993</v>
      </c>
      <c r="I26" s="118">
        <f>I24-I25</f>
        <v>-1362663.7304499997</v>
      </c>
      <c r="J26" s="146">
        <f t="shared" si="5"/>
        <v>0.14106903427782469</v>
      </c>
      <c r="K26" s="118">
        <f>K24-K25</f>
        <v>-2047067.4540499991</v>
      </c>
      <c r="L26" s="147">
        <f t="shared" si="6"/>
        <v>-0.24042884670276166</v>
      </c>
      <c r="M26" s="117">
        <f>M24-M25</f>
        <v>-1554893.3869499993</v>
      </c>
      <c r="N26" s="118">
        <f>N24-N25</f>
        <v>-1362663.7304499997</v>
      </c>
      <c r="O26" s="146">
        <f t="shared" si="7"/>
        <v>0.14106903427782469</v>
      </c>
      <c r="P26" s="118">
        <f>P24-P25</f>
        <v>-2047067.4540499991</v>
      </c>
      <c r="Q26" s="148">
        <f t="shared" si="8"/>
        <v>-0.24042884670276166</v>
      </c>
      <c r="R26" s="122">
        <f>R24-R25</f>
        <v>-5834383.2803999931</v>
      </c>
      <c r="S26" s="606">
        <f t="shared" si="9"/>
        <v>-0.73349481646612036</v>
      </c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</row>
    <row r="27" spans="1:41" ht="16.5" customHeight="1">
      <c r="A27" s="673"/>
      <c r="B27" s="673"/>
      <c r="C27" s="674"/>
      <c r="D27" s="674"/>
      <c r="E27" s="675"/>
      <c r="G27" s="138" t="s">
        <v>356</v>
      </c>
      <c r="H27" s="51">
        <f>SUM(于洪:武汉!H27)</f>
        <v>879985.23</v>
      </c>
      <c r="I27" s="55">
        <f>SUM(于洪:武汉!I27)</f>
        <v>886972.78</v>
      </c>
      <c r="J27" s="111">
        <f t="shared" si="5"/>
        <v>-7.8779756916554922E-3</v>
      </c>
      <c r="K27" s="55">
        <f>SUM(于洪:武汉!K27)</f>
        <v>903987.09000000008</v>
      </c>
      <c r="L27" s="112">
        <f t="shared" si="6"/>
        <v>-2.6551109264182138E-2</v>
      </c>
      <c r="M27" s="51">
        <f>SUM(于洪:武汉!M27)</f>
        <v>879985.23</v>
      </c>
      <c r="N27" s="55">
        <f>SUM(于洪:武汉!N27)</f>
        <v>886972.78</v>
      </c>
      <c r="O27" s="111">
        <f t="shared" si="7"/>
        <v>-7.8779756916554922E-3</v>
      </c>
      <c r="P27" s="55">
        <f>SUM(于洪:武汉!P27)</f>
        <v>903987.09000000008</v>
      </c>
      <c r="Q27" s="113">
        <f t="shared" si="8"/>
        <v>-2.6551109264182138E-2</v>
      </c>
      <c r="R27" s="108">
        <f>SUM(于洪:武汉!R27)</f>
        <v>10429631.720000001</v>
      </c>
      <c r="S27" s="605">
        <f t="shared" si="9"/>
        <v>-0.91562643306833846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spans="1:41" ht="16.5" customHeight="1">
      <c r="A28" s="673"/>
      <c r="B28" s="673"/>
      <c r="C28" s="674"/>
      <c r="D28" s="674"/>
      <c r="E28" s="675"/>
      <c r="G28" s="138" t="s">
        <v>357</v>
      </c>
      <c r="H28" s="51">
        <f>SUM(于洪:武汉!H28)</f>
        <v>0</v>
      </c>
      <c r="I28" s="55">
        <f>SUM(于洪:武汉!I28)</f>
        <v>0</v>
      </c>
      <c r="J28" s="111" t="str">
        <f t="shared" si="5"/>
        <v/>
      </c>
      <c r="K28" s="55">
        <f>SUM(于洪:武汉!K28)</f>
        <v>0</v>
      </c>
      <c r="L28" s="112" t="str">
        <f t="shared" si="6"/>
        <v/>
      </c>
      <c r="M28" s="51">
        <f>SUM(于洪:武汉!M28)</f>
        <v>0</v>
      </c>
      <c r="N28" s="55">
        <f>SUM(于洪:武汉!N28)</f>
        <v>0</v>
      </c>
      <c r="O28" s="111" t="str">
        <f t="shared" si="7"/>
        <v/>
      </c>
      <c r="P28" s="55">
        <f>SUM(于洪:武汉!P28)</f>
        <v>0</v>
      </c>
      <c r="Q28" s="113" t="str">
        <f t="shared" si="8"/>
        <v/>
      </c>
      <c r="R28" s="108">
        <f>SUM(于洪:武汉!R28)</f>
        <v>0</v>
      </c>
      <c r="S28" s="605" t="str">
        <f t="shared" si="9"/>
        <v/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 spans="1:41" s="5" customFormat="1" ht="16.5" customHeight="1">
      <c r="A29" s="673"/>
      <c r="B29" s="673"/>
      <c r="C29" s="674"/>
      <c r="D29" s="674"/>
      <c r="E29" s="675"/>
      <c r="F29" s="16"/>
      <c r="G29" s="149" t="s">
        <v>358</v>
      </c>
      <c r="H29" s="150">
        <f>H26-H27-H28</f>
        <v>-2434878.6169499992</v>
      </c>
      <c r="I29" s="151">
        <f>I26-I27-I28</f>
        <v>-2249636.5104499999</v>
      </c>
      <c r="J29" s="152">
        <f t="shared" si="5"/>
        <v>8.2343127718417453E-2</v>
      </c>
      <c r="K29" s="151">
        <f>K26-K27-K28</f>
        <v>-2951054.5440499992</v>
      </c>
      <c r="L29" s="153">
        <f t="shared" si="6"/>
        <v>-0.17491236417189537</v>
      </c>
      <c r="M29" s="150">
        <f>M26-M27-M28</f>
        <v>-2434878.6169499992</v>
      </c>
      <c r="N29" s="151">
        <f>N26-N27-N28</f>
        <v>-2249636.5104499999</v>
      </c>
      <c r="O29" s="152">
        <f t="shared" si="7"/>
        <v>8.2343127718417453E-2</v>
      </c>
      <c r="P29" s="151">
        <f>P26-P27-P28</f>
        <v>-2951054.5440499992</v>
      </c>
      <c r="Q29" s="154">
        <f t="shared" si="8"/>
        <v>-0.17491236417189537</v>
      </c>
      <c r="R29" s="155">
        <f>R26-R27-R28</f>
        <v>-16264015.000399994</v>
      </c>
      <c r="S29" s="156">
        <f t="shared" si="9"/>
        <v>-0.85029043462576026</v>
      </c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</row>
    <row r="30" spans="1:41" ht="16.5" customHeight="1">
      <c r="A30" s="673"/>
      <c r="B30" s="673"/>
      <c r="C30" s="674"/>
      <c r="D30" s="674"/>
      <c r="E30" s="675"/>
      <c r="G30" s="359" t="s">
        <v>359</v>
      </c>
      <c r="H30" s="157"/>
      <c r="I30" s="157"/>
      <c r="J30" s="158"/>
      <c r="K30" s="157"/>
      <c r="L30" s="159"/>
      <c r="M30" s="157"/>
      <c r="N30" s="157"/>
      <c r="O30" s="158"/>
      <c r="P30" s="157"/>
      <c r="Q30" s="158"/>
      <c r="R30" s="160"/>
      <c r="S30" s="605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1:41" ht="16.5" customHeight="1">
      <c r="A31" s="673"/>
      <c r="B31" s="673"/>
      <c r="C31" s="674"/>
      <c r="D31" s="674"/>
      <c r="E31" s="675"/>
      <c r="G31" s="161" t="s">
        <v>360</v>
      </c>
      <c r="H31" s="51">
        <f>SUM(于洪:武汉!H31)</f>
        <v>1900138.2</v>
      </c>
      <c r="I31" s="55">
        <f>SUM(于洪:武汉!I31)</f>
        <v>2112633.06</v>
      </c>
      <c r="J31" s="53">
        <f t="shared" si="5"/>
        <v>-0.10058294742391283</v>
      </c>
      <c r="K31" s="55">
        <f>SUM(于洪:武汉!K31)</f>
        <v>2300556.6100000003</v>
      </c>
      <c r="L31" s="54">
        <f t="shared" si="6"/>
        <v>-0.17405283932569704</v>
      </c>
      <c r="M31" s="51">
        <f>SUM(于洪:武汉!M31)</f>
        <v>1900138.2</v>
      </c>
      <c r="N31" s="55">
        <f>SUM(于洪:武汉!N31)</f>
        <v>2112633.06</v>
      </c>
      <c r="O31" s="53">
        <f t="shared" si="7"/>
        <v>-0.10058294742391283</v>
      </c>
      <c r="P31" s="55">
        <f>SUM(于洪:武汉!P31)</f>
        <v>2300556.6100000003</v>
      </c>
      <c r="Q31" s="56">
        <f t="shared" si="8"/>
        <v>-0.17405283932569704</v>
      </c>
      <c r="R31" s="108">
        <f>SUM(于洪:武汉!R31)</f>
        <v>26252812.630000003</v>
      </c>
      <c r="S31" s="605">
        <f t="shared" si="9"/>
        <v>-0.92762153805079739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spans="1:41" ht="16.5" customHeight="1">
      <c r="A32" s="673"/>
      <c r="B32" s="673"/>
      <c r="C32" s="674"/>
      <c r="D32" s="674"/>
      <c r="E32" s="675"/>
      <c r="G32" s="161" t="s">
        <v>361</v>
      </c>
      <c r="H32" s="51">
        <f>SUM(于洪:武汉!H32)</f>
        <v>118993.67</v>
      </c>
      <c r="I32" s="55">
        <f>SUM(于洪:武汉!I32)</f>
        <v>118993.66</v>
      </c>
      <c r="J32" s="53">
        <f t="shared" si="5"/>
        <v>8.4038090708560276E-8</v>
      </c>
      <c r="K32" s="55">
        <f>SUM(于洪:武汉!K32)</f>
        <v>173137.41999999998</v>
      </c>
      <c r="L32" s="54">
        <f t="shared" si="6"/>
        <v>-0.31272124766558262</v>
      </c>
      <c r="M32" s="51">
        <f>SUM(于洪:武汉!M32)</f>
        <v>118993.67</v>
      </c>
      <c r="N32" s="55">
        <f>SUM(于洪:武汉!N32)</f>
        <v>118993.66</v>
      </c>
      <c r="O32" s="53">
        <f t="shared" si="7"/>
        <v>8.4038090708560276E-8</v>
      </c>
      <c r="P32" s="55">
        <f>SUM(于洪:武汉!P32)</f>
        <v>173137.41999999998</v>
      </c>
      <c r="Q32" s="56">
        <f t="shared" si="8"/>
        <v>-0.31272124766558262</v>
      </c>
      <c r="R32" s="108">
        <f>SUM(于洪:武汉!R32)</f>
        <v>1427924</v>
      </c>
      <c r="S32" s="605">
        <f t="shared" si="9"/>
        <v>-0.91666666433227539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 spans="1:41" s="555" customFormat="1" ht="16.5" customHeight="1">
      <c r="A33" s="564"/>
      <c r="B33" s="564"/>
      <c r="C33" s="565"/>
      <c r="D33" s="565"/>
      <c r="E33" s="566"/>
      <c r="F33" s="567"/>
      <c r="G33" s="572" t="s">
        <v>362</v>
      </c>
      <c r="H33" s="228">
        <f>IFERROR(H31/H16,0)</f>
        <v>0.46374065529564373</v>
      </c>
      <c r="I33" s="612">
        <f>IFERROR(I31/I16,0)</f>
        <v>0.47121164606942001</v>
      </c>
      <c r="J33" s="228">
        <f t="shared" si="5"/>
        <v>-1.5854851712802653E-2</v>
      </c>
      <c r="K33" s="612">
        <f>IFERROR(K31/K16,0)</f>
        <v>0.45993182992391762</v>
      </c>
      <c r="L33" s="229">
        <f t="shared" si="6"/>
        <v>8.2812824073432711E-3</v>
      </c>
      <c r="M33" s="228">
        <f>IFERROR(M31/M16,0)</f>
        <v>0.46374065529564373</v>
      </c>
      <c r="N33" s="612">
        <f>IFERROR(N31/N16,0)</f>
        <v>0.47121164606942001</v>
      </c>
      <c r="O33" s="228">
        <f t="shared" si="7"/>
        <v>-1.5854851712802653E-2</v>
      </c>
      <c r="P33" s="612">
        <f>IFERROR(P31/P16,0)</f>
        <v>0.45993182992391762</v>
      </c>
      <c r="Q33" s="231">
        <f t="shared" si="8"/>
        <v>8.2812824073432711E-3</v>
      </c>
      <c r="R33" s="573">
        <f>IFERROR(R31/R16,0)</f>
        <v>0.39953324811896279</v>
      </c>
      <c r="S33" s="613">
        <f t="shared" si="9"/>
        <v>0.16070604256085064</v>
      </c>
      <c r="T33" s="570"/>
      <c r="U33" s="570"/>
      <c r="V33" s="570"/>
      <c r="W33" s="570"/>
      <c r="X33" s="570"/>
      <c r="Y33" s="574"/>
      <c r="Z33" s="574"/>
      <c r="AA33" s="574"/>
      <c r="AB33" s="574"/>
      <c r="AC33" s="574"/>
      <c r="AD33" s="574"/>
      <c r="AE33" s="574"/>
      <c r="AF33" s="574"/>
      <c r="AG33" s="574"/>
      <c r="AH33" s="574"/>
      <c r="AI33" s="574"/>
      <c r="AJ33" s="574"/>
      <c r="AK33" s="574"/>
      <c r="AL33" s="574"/>
      <c r="AM33" s="574"/>
      <c r="AN33" s="574"/>
      <c r="AO33" s="574"/>
    </row>
    <row r="34" spans="1:41" ht="16.5" customHeight="1">
      <c r="A34" s="673"/>
      <c r="B34" s="673"/>
      <c r="C34" s="674"/>
      <c r="D34" s="674"/>
      <c r="E34" s="675"/>
      <c r="G34" s="161" t="s">
        <v>363</v>
      </c>
      <c r="H34" s="51">
        <f>SUM(于洪:武汉!H34)</f>
        <v>1210174.25</v>
      </c>
      <c r="I34" s="55">
        <f>SUM(于洪:武汉!I34)</f>
        <v>1038883.94</v>
      </c>
      <c r="J34" s="111">
        <f t="shared" si="5"/>
        <v>0.16487915868638803</v>
      </c>
      <c r="K34" s="55">
        <f>SUM(于洪:武汉!K34)</f>
        <v>1207855.5499999998</v>
      </c>
      <c r="L34" s="112">
        <f t="shared" si="6"/>
        <v>1.9196831939052306E-3</v>
      </c>
      <c r="M34" s="51">
        <f>SUM(于洪:武汉!M34)</f>
        <v>1210174.25</v>
      </c>
      <c r="N34" s="55">
        <f>SUM(于洪:武汉!N34)</f>
        <v>1038883.94</v>
      </c>
      <c r="O34" s="111">
        <f t="shared" si="7"/>
        <v>0.16487915868638803</v>
      </c>
      <c r="P34" s="55">
        <f>SUM(于洪:武汉!P34)</f>
        <v>1207855.5499999998</v>
      </c>
      <c r="Q34" s="113">
        <f t="shared" si="8"/>
        <v>1.9196831939052306E-3</v>
      </c>
      <c r="R34" s="108">
        <f>SUM(于洪:武汉!R34)</f>
        <v>8857093.7400000002</v>
      </c>
      <c r="S34" s="605">
        <f t="shared" si="9"/>
        <v>-0.86336666568914511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 spans="1:41" s="555" customFormat="1" ht="16.5" customHeight="1">
      <c r="A35" s="564"/>
      <c r="B35" s="564"/>
      <c r="C35" s="565"/>
      <c r="D35" s="565"/>
      <c r="E35" s="566"/>
      <c r="F35" s="567"/>
      <c r="G35" s="575" t="s">
        <v>364</v>
      </c>
      <c r="H35" s="614">
        <f>IFERROR(H34/H16,0)</f>
        <v>0.29535062224258962</v>
      </c>
      <c r="I35" s="615">
        <f>IFERROR(I34/I16,0)</f>
        <v>0.23171757590619382</v>
      </c>
      <c r="J35" s="614">
        <f t="shared" si="5"/>
        <v>0.27461467300243281</v>
      </c>
      <c r="K35" s="615">
        <f>IFERROR(K34/K16,0)</f>
        <v>0.24147687171899665</v>
      </c>
      <c r="L35" s="616">
        <f t="shared" si="6"/>
        <v>0.22310107854256578</v>
      </c>
      <c r="M35" s="614">
        <f>IFERROR(M34/M16,0)</f>
        <v>0.29535062224258962</v>
      </c>
      <c r="N35" s="615">
        <f>IFERROR(N34/N16,0)</f>
        <v>0.23171757590619382</v>
      </c>
      <c r="O35" s="614">
        <f t="shared" si="7"/>
        <v>0.27461467300243281</v>
      </c>
      <c r="P35" s="615">
        <f>IFERROR(P34/P16,0)</f>
        <v>0.24147687171899665</v>
      </c>
      <c r="Q35" s="617">
        <f t="shared" si="8"/>
        <v>0.22310107854256578</v>
      </c>
      <c r="R35" s="573">
        <f>IFERROR(R34/R16,0)</f>
        <v>0.13479330693856903</v>
      </c>
      <c r="S35" s="613">
        <f t="shared" si="9"/>
        <v>1.1911371487991858</v>
      </c>
      <c r="T35" s="570"/>
      <c r="U35" s="570"/>
      <c r="V35" s="570"/>
      <c r="W35" s="570"/>
      <c r="X35" s="570"/>
      <c r="Y35" s="574"/>
      <c r="Z35" s="574"/>
      <c r="AA35" s="574"/>
      <c r="AB35" s="574"/>
      <c r="AC35" s="574"/>
      <c r="AD35" s="574"/>
      <c r="AE35" s="574"/>
      <c r="AF35" s="574"/>
      <c r="AG35" s="574"/>
      <c r="AH35" s="574"/>
      <c r="AI35" s="574"/>
      <c r="AJ35" s="574"/>
      <c r="AK35" s="574"/>
      <c r="AL35" s="574"/>
      <c r="AM35" s="574"/>
      <c r="AN35" s="574"/>
      <c r="AO35" s="574"/>
    </row>
    <row r="36" spans="1:41" ht="16.5" customHeight="1">
      <c r="A36" s="673"/>
      <c r="B36" s="673"/>
      <c r="C36" s="674"/>
      <c r="D36" s="674"/>
      <c r="E36" s="675"/>
      <c r="G36" s="161" t="s">
        <v>365</v>
      </c>
      <c r="H36" s="51">
        <f>SUM(于洪:武汉!H36)</f>
        <v>81700.800000000003</v>
      </c>
      <c r="I36" s="55">
        <f>SUM(于洪:武汉!I36)</f>
        <v>90167</v>
      </c>
      <c r="J36" s="111">
        <f t="shared" si="5"/>
        <v>-9.3894662126942197E-2</v>
      </c>
      <c r="K36" s="55">
        <f>SUM(于洪:武汉!K36)</f>
        <v>80427.399999999994</v>
      </c>
      <c r="L36" s="112">
        <f t="shared" si="6"/>
        <v>1.5832912664092147E-2</v>
      </c>
      <c r="M36" s="51">
        <f>SUM(于洪:武汉!M36)</f>
        <v>81700.800000000003</v>
      </c>
      <c r="N36" s="55">
        <f>SUM(于洪:武汉!N36)</f>
        <v>90167</v>
      </c>
      <c r="O36" s="111">
        <f t="shared" si="7"/>
        <v>-9.3894662126942197E-2</v>
      </c>
      <c r="P36" s="55">
        <f>SUM(于洪:武汉!P36)</f>
        <v>80427.399999999994</v>
      </c>
      <c r="Q36" s="113">
        <f t="shared" si="8"/>
        <v>1.5832912664092147E-2</v>
      </c>
      <c r="R36" s="108">
        <f>SUM(于洪:武汉!R36)</f>
        <v>1551338</v>
      </c>
      <c r="S36" s="605">
        <f t="shared" si="9"/>
        <v>-0.94733526800735879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41" s="555" customFormat="1" ht="16.5" customHeight="1">
      <c r="A37" s="564"/>
      <c r="B37" s="564"/>
      <c r="C37" s="565"/>
      <c r="D37" s="565"/>
      <c r="E37" s="566"/>
      <c r="F37" s="567"/>
      <c r="G37" s="572" t="s">
        <v>366</v>
      </c>
      <c r="H37" s="228">
        <f>IFERROR(H36/H16,0)</f>
        <v>1.9939593093901451E-2</v>
      </c>
      <c r="I37" s="612">
        <f>IFERROR(I36/I16,0)</f>
        <v>2.0111273129059803E-2</v>
      </c>
      <c r="J37" s="228">
        <f t="shared" si="5"/>
        <v>-8.5365075625313258E-3</v>
      </c>
      <c r="K37" s="612">
        <f>IFERROR(K36/K16,0)</f>
        <v>1.6079204961630084E-2</v>
      </c>
      <c r="L37" s="229">
        <f t="shared" si="6"/>
        <v>0.24008575930734377</v>
      </c>
      <c r="M37" s="228">
        <f>IFERROR(M36/M16,0)</f>
        <v>1.9939593093901451E-2</v>
      </c>
      <c r="N37" s="612">
        <f>IFERROR(N36/N16,0)</f>
        <v>2.0111273129059803E-2</v>
      </c>
      <c r="O37" s="228">
        <f t="shared" si="7"/>
        <v>-8.5365075625313258E-3</v>
      </c>
      <c r="P37" s="612">
        <f>IFERROR(P36/P16,0)</f>
        <v>1.6079204961630084E-2</v>
      </c>
      <c r="Q37" s="231">
        <f t="shared" si="8"/>
        <v>0.24008575930734377</v>
      </c>
      <c r="R37" s="573">
        <f>IFERROR(R36/R16,0)</f>
        <v>2.3609322125054736E-2</v>
      </c>
      <c r="S37" s="613">
        <f t="shared" si="9"/>
        <v>-0.15543559496182602</v>
      </c>
      <c r="T37" s="570"/>
      <c r="U37" s="570"/>
      <c r="V37" s="570"/>
      <c r="W37" s="570"/>
      <c r="X37" s="570"/>
      <c r="Y37" s="574"/>
      <c r="Z37" s="574"/>
      <c r="AA37" s="574"/>
      <c r="AB37" s="574"/>
      <c r="AC37" s="574"/>
      <c r="AD37" s="574"/>
      <c r="AE37" s="574"/>
      <c r="AF37" s="574"/>
      <c r="AG37" s="574"/>
      <c r="AH37" s="574"/>
      <c r="AI37" s="574"/>
      <c r="AJ37" s="574"/>
      <c r="AK37" s="574"/>
      <c r="AL37" s="574"/>
      <c r="AM37" s="574"/>
      <c r="AN37" s="574"/>
      <c r="AO37" s="574"/>
    </row>
    <row r="38" spans="1:41" ht="16.5" customHeight="1">
      <c r="A38" s="673"/>
      <c r="B38" s="673"/>
      <c r="C38" s="674"/>
      <c r="D38" s="674"/>
      <c r="E38" s="675"/>
      <c r="G38" s="161" t="s">
        <v>367</v>
      </c>
      <c r="H38" s="51">
        <f>SUM(于洪:武汉!H38)</f>
        <v>82978.889999999985</v>
      </c>
      <c r="I38" s="55">
        <f>SUM(于洪:武汉!I38)</f>
        <v>82944.820000000007</v>
      </c>
      <c r="J38" s="111">
        <f t="shared" si="5"/>
        <v>4.107550055565401E-4</v>
      </c>
      <c r="K38" s="55">
        <f>SUM(于洪:武汉!K38)</f>
        <v>119251.93</v>
      </c>
      <c r="L38" s="112">
        <f t="shared" si="6"/>
        <v>-0.30417151319898983</v>
      </c>
      <c r="M38" s="51">
        <f>SUM(于洪:武汉!M38)</f>
        <v>82978.889999999985</v>
      </c>
      <c r="N38" s="55">
        <f>SUM(于洪:武汉!N38)</f>
        <v>82944.820000000007</v>
      </c>
      <c r="O38" s="111">
        <f t="shared" si="7"/>
        <v>4.107550055565401E-4</v>
      </c>
      <c r="P38" s="55">
        <f>SUM(于洪:武汉!P38)</f>
        <v>119251.93</v>
      </c>
      <c r="Q38" s="113">
        <f t="shared" si="8"/>
        <v>-0.30417151319898983</v>
      </c>
      <c r="R38" s="108">
        <f>SUM(于洪:武汉!R38)</f>
        <v>1327526.53</v>
      </c>
      <c r="S38" s="605">
        <f t="shared" si="9"/>
        <v>-0.93749361076798976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s="555" customFormat="1" ht="16.5" customHeight="1">
      <c r="A39" s="564"/>
      <c r="B39" s="564"/>
      <c r="C39" s="565"/>
      <c r="D39" s="565"/>
      <c r="E39" s="566"/>
      <c r="F39" s="567"/>
      <c r="G39" s="576" t="s">
        <v>368</v>
      </c>
      <c r="H39" s="618">
        <f>IFERROR(H38/H16,0)</f>
        <v>2.0251518981253644E-2</v>
      </c>
      <c r="I39" s="619">
        <f>IFERROR(I38/I16,0)</f>
        <v>1.8500404024318236E-2</v>
      </c>
      <c r="J39" s="618">
        <f t="shared" si="5"/>
        <v>9.4652795400231193E-2</v>
      </c>
      <c r="K39" s="619">
        <f>IFERROR(K38/K16,0)</f>
        <v>2.3841081827088322E-2</v>
      </c>
      <c r="L39" s="577">
        <f t="shared" si="6"/>
        <v>-0.15056207901422514</v>
      </c>
      <c r="M39" s="618">
        <f>IFERROR(M38/M16,0)</f>
        <v>2.0251518981253644E-2</v>
      </c>
      <c r="N39" s="619">
        <f>IFERROR(N38/N16,0)</f>
        <v>1.8500404024318236E-2</v>
      </c>
      <c r="O39" s="618">
        <f t="shared" si="7"/>
        <v>9.4652795400231193E-2</v>
      </c>
      <c r="P39" s="619">
        <f>IFERROR(P38/P16,0)</f>
        <v>2.3841081827088322E-2</v>
      </c>
      <c r="Q39" s="620">
        <f t="shared" si="8"/>
        <v>-0.15056207901422514</v>
      </c>
      <c r="R39" s="578">
        <f>IFERROR(R38/R16,0)</f>
        <v>2.0203206184807011E-2</v>
      </c>
      <c r="S39" s="621">
        <f t="shared" si="9"/>
        <v>2.3913430375701594E-3</v>
      </c>
      <c r="T39" s="570"/>
      <c r="U39" s="570"/>
      <c r="V39" s="570"/>
      <c r="W39" s="570"/>
      <c r="X39" s="570"/>
      <c r="Y39" s="574"/>
      <c r="Z39" s="574"/>
      <c r="AA39" s="574"/>
      <c r="AB39" s="574"/>
      <c r="AC39" s="574"/>
      <c r="AD39" s="574"/>
      <c r="AE39" s="574"/>
      <c r="AF39" s="574"/>
      <c r="AG39" s="574"/>
      <c r="AH39" s="574"/>
      <c r="AI39" s="574"/>
      <c r="AJ39" s="574"/>
      <c r="AK39" s="574"/>
      <c r="AL39" s="574"/>
      <c r="AM39" s="574"/>
      <c r="AN39" s="574"/>
      <c r="AO39" s="574"/>
    </row>
    <row r="40" spans="1:41" ht="16.5" customHeight="1">
      <c r="A40" s="673"/>
      <c r="B40" s="673"/>
      <c r="C40" s="674"/>
      <c r="D40" s="674"/>
      <c r="E40" s="675"/>
      <c r="G40" s="182"/>
      <c r="H40" s="84"/>
      <c r="I40" s="84"/>
      <c r="J40" s="183"/>
      <c r="K40" s="84"/>
      <c r="L40" s="183"/>
      <c r="M40" s="84"/>
      <c r="N40" s="84"/>
      <c r="O40" s="183"/>
      <c r="P40" s="84"/>
      <c r="Q40" s="183"/>
      <c r="R40" s="84"/>
      <c r="S40" s="562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spans="1:41" s="3" customFormat="1" ht="16.5" customHeight="1">
      <c r="A41" s="673"/>
      <c r="B41" s="673"/>
      <c r="C41" s="674"/>
      <c r="D41" s="674"/>
      <c r="E41" s="675"/>
      <c r="F41" s="184"/>
      <c r="G41" s="185" t="s">
        <v>369</v>
      </c>
      <c r="H41" s="186" t="s">
        <v>331</v>
      </c>
      <c r="I41" s="187" t="s">
        <v>249</v>
      </c>
      <c r="J41" s="188" t="s">
        <v>332</v>
      </c>
      <c r="K41" s="187" t="s">
        <v>270</v>
      </c>
      <c r="L41" s="188" t="s">
        <v>332</v>
      </c>
      <c r="M41" s="189" t="s">
        <v>331</v>
      </c>
      <c r="N41" s="190" t="s">
        <v>249</v>
      </c>
      <c r="O41" s="191" t="s">
        <v>332</v>
      </c>
      <c r="P41" s="190" t="s">
        <v>270</v>
      </c>
      <c r="Q41" s="191" t="s">
        <v>332</v>
      </c>
      <c r="R41" s="192" t="s">
        <v>245</v>
      </c>
      <c r="S41" s="579" t="s">
        <v>11</v>
      </c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</row>
    <row r="42" spans="1:41" ht="16.5" customHeight="1">
      <c r="A42" s="673"/>
      <c r="B42" s="673"/>
      <c r="C42" s="674"/>
      <c r="D42" s="674"/>
      <c r="E42" s="675"/>
      <c r="F42" s="184"/>
      <c r="G42" s="360" t="s">
        <v>370</v>
      </c>
      <c r="H42" s="194"/>
      <c r="I42" s="194"/>
      <c r="J42" s="195"/>
      <c r="K42" s="194"/>
      <c r="L42" s="196"/>
      <c r="M42" s="194"/>
      <c r="N42" s="194"/>
      <c r="O42" s="195"/>
      <c r="P42" s="194"/>
      <c r="Q42" s="195"/>
      <c r="R42" s="197"/>
      <c r="S42" s="580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 spans="1:41" s="5" customFormat="1" ht="16.5" customHeight="1">
      <c r="A43" s="673"/>
      <c r="B43" s="673"/>
      <c r="C43" s="199"/>
      <c r="D43" s="200"/>
      <c r="E43" s="675"/>
      <c r="F43" s="184"/>
      <c r="G43" s="361" t="s">
        <v>371</v>
      </c>
      <c r="H43" s="352">
        <f>SUM(于洪:武汉!H43)</f>
        <v>1706401.99</v>
      </c>
      <c r="I43" s="353">
        <f>SUM(于洪:武汉!I43)</f>
        <v>1873318.6</v>
      </c>
      <c r="J43" s="362">
        <f t="shared" ref="J43:J49" si="10">IF(I43=0,"",H43/I43-1)</f>
        <v>-8.910209400579272E-2</v>
      </c>
      <c r="K43" s="353">
        <f>SUM(于洪:武汉!K43)</f>
        <v>1726539.05</v>
      </c>
      <c r="L43" s="363">
        <f t="shared" ref="L43:L49" si="11">IF(K43=0,"",H43/K43-1)</f>
        <v>-1.1663251983788037E-2</v>
      </c>
      <c r="M43" s="352">
        <f>SUM(于洪:武汉!M43)</f>
        <v>1706401.99</v>
      </c>
      <c r="N43" s="353">
        <f>SUM(于洪:武汉!N43)</f>
        <v>1873318.6</v>
      </c>
      <c r="O43" s="362">
        <f t="shared" ref="O43:O49" si="12">IF(N43=0,"",M43/N43-1)</f>
        <v>-8.910209400579272E-2</v>
      </c>
      <c r="P43" s="353">
        <f>SUM(于洪:武汉!P43)</f>
        <v>1726539.05</v>
      </c>
      <c r="Q43" s="364">
        <f t="shared" ref="Q43:Q49" si="13">IF(P43=0,"",M43/P43-1)</f>
        <v>-1.1663251983788037E-2</v>
      </c>
      <c r="R43" s="365">
        <f>SUM(于洪:武汉!R43)</f>
        <v>32820783.540000003</v>
      </c>
      <c r="S43" s="622">
        <f t="shared" ref="S43:S49" si="14">IF(R43=0,"",M43/R43-1)</f>
        <v>-0.94800849321831882</v>
      </c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</row>
    <row r="44" spans="1:41" ht="16.5" customHeight="1">
      <c r="A44" s="673"/>
      <c r="B44" s="673"/>
      <c r="C44" s="199"/>
      <c r="D44" s="200"/>
      <c r="E44" s="675"/>
      <c r="F44" s="184"/>
      <c r="G44" s="201" t="s">
        <v>372</v>
      </c>
      <c r="H44" s="103">
        <f>SUM(于洪:武汉!H44)</f>
        <v>307762.44</v>
      </c>
      <c r="I44" s="104">
        <f>SUM(于洪:武汉!I44)</f>
        <v>428947.60000000003</v>
      </c>
      <c r="J44" s="105">
        <f t="shared" si="10"/>
        <v>-0.28251739839551504</v>
      </c>
      <c r="K44" s="104">
        <f>SUM(于洪:武汉!K44)</f>
        <v>297215.56</v>
      </c>
      <c r="L44" s="106">
        <f t="shared" si="11"/>
        <v>3.5485625315175406E-2</v>
      </c>
      <c r="M44" s="103">
        <f>SUM(于洪:武汉!M44)</f>
        <v>307762.44</v>
      </c>
      <c r="N44" s="104">
        <f>SUM(于洪:武汉!N44)</f>
        <v>428947.60000000003</v>
      </c>
      <c r="O44" s="105">
        <f t="shared" si="12"/>
        <v>-0.28251739839551504</v>
      </c>
      <c r="P44" s="104">
        <f>SUM(于洪:武汉!P44)</f>
        <v>297215.56</v>
      </c>
      <c r="Q44" s="107">
        <f t="shared" si="13"/>
        <v>3.5485625315175406E-2</v>
      </c>
      <c r="R44" s="57">
        <f>SUM(于洪:武汉!R44)</f>
        <v>5315635.1999999993</v>
      </c>
      <c r="S44" s="603">
        <f t="shared" si="14"/>
        <v>-0.94210241515444848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 spans="1:41" ht="16.5" customHeight="1">
      <c r="A45" s="673"/>
      <c r="B45" s="673"/>
      <c r="C45" s="199"/>
      <c r="D45" s="200"/>
      <c r="E45" s="675"/>
      <c r="F45" s="184"/>
      <c r="G45" s="202" t="s">
        <v>373</v>
      </c>
      <c r="H45" s="51">
        <f>SUM(于洪:武汉!H45)</f>
        <v>154091.4</v>
      </c>
      <c r="I45" s="55">
        <f>SUM(于洪:武汉!I45)</f>
        <v>182571.65</v>
      </c>
      <c r="J45" s="111">
        <f t="shared" si="10"/>
        <v>-0.15599492035044871</v>
      </c>
      <c r="K45" s="55">
        <f>SUM(于洪:武汉!K45)</f>
        <v>196403.52</v>
      </c>
      <c r="L45" s="112">
        <f t="shared" si="11"/>
        <v>-0.21543463172146815</v>
      </c>
      <c r="M45" s="51">
        <f>SUM(于洪:武汉!M45)</f>
        <v>154091.4</v>
      </c>
      <c r="N45" s="55">
        <f>SUM(于洪:武汉!N45)</f>
        <v>182571.65</v>
      </c>
      <c r="O45" s="111">
        <f t="shared" si="12"/>
        <v>-0.15599492035044871</v>
      </c>
      <c r="P45" s="55">
        <f>SUM(于洪:武汉!P45)</f>
        <v>196403.52</v>
      </c>
      <c r="Q45" s="113">
        <f t="shared" si="13"/>
        <v>-0.21543463172146815</v>
      </c>
      <c r="R45" s="57">
        <f>SUM(于洪:武汉!R45)</f>
        <v>2258758.42</v>
      </c>
      <c r="S45" s="603">
        <f t="shared" si="14"/>
        <v>-0.93178048673306102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 spans="1:41" ht="33" customHeight="1">
      <c r="A46" s="673"/>
      <c r="B46" s="673"/>
      <c r="C46" s="199"/>
      <c r="D46" s="200"/>
      <c r="E46" s="675"/>
      <c r="F46" s="184"/>
      <c r="G46" s="203" t="s">
        <v>374</v>
      </c>
      <c r="H46" s="51">
        <f>SUM(于洪:武汉!H46)</f>
        <v>316862.74</v>
      </c>
      <c r="I46" s="55">
        <f>SUM(于洪:武汉!I46)</f>
        <v>331752.95</v>
      </c>
      <c r="J46" s="111">
        <f t="shared" si="10"/>
        <v>-4.4883429069734082E-2</v>
      </c>
      <c r="K46" s="55">
        <f>SUM(于洪:武汉!K46)</f>
        <v>299174.8</v>
      </c>
      <c r="L46" s="112">
        <f t="shared" si="11"/>
        <v>5.9122426086689162E-2</v>
      </c>
      <c r="M46" s="51">
        <f>SUM(于洪:武汉!M46)</f>
        <v>316862.74</v>
      </c>
      <c r="N46" s="55">
        <f>SUM(于洪:武汉!N46)</f>
        <v>331752.95</v>
      </c>
      <c r="O46" s="111">
        <f t="shared" si="12"/>
        <v>-4.4883429069734082E-2</v>
      </c>
      <c r="P46" s="55">
        <f>SUM(于洪:武汉!P46)</f>
        <v>299174.8</v>
      </c>
      <c r="Q46" s="113">
        <f t="shared" si="13"/>
        <v>5.9122426086689162E-2</v>
      </c>
      <c r="R46" s="57">
        <f>SUM(于洪:武汉!R46)</f>
        <v>6011937.0599999996</v>
      </c>
      <c r="S46" s="603">
        <f t="shared" si="14"/>
        <v>-0.94729440164831002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spans="1:41" s="5" customFormat="1" ht="16.5" customHeight="1">
      <c r="A47" s="673"/>
      <c r="B47" s="673"/>
      <c r="C47" s="199"/>
      <c r="D47" s="200"/>
      <c r="E47" s="675"/>
      <c r="F47" s="184"/>
      <c r="G47" s="367" t="s">
        <v>375</v>
      </c>
      <c r="H47" s="368">
        <f>SUM(H44:H46)</f>
        <v>778716.58</v>
      </c>
      <c r="I47" s="369">
        <f>SUM(I44:I46)</f>
        <v>943272.2</v>
      </c>
      <c r="J47" s="370">
        <f t="shared" si="10"/>
        <v>-0.17445189204134293</v>
      </c>
      <c r="K47" s="369">
        <f>SUM(K44:K46)</f>
        <v>792793.87999999989</v>
      </c>
      <c r="L47" s="371">
        <f t="shared" si="11"/>
        <v>-1.7756569967467328E-2</v>
      </c>
      <c r="M47" s="368">
        <f>SUM(M44:M46)</f>
        <v>778716.58</v>
      </c>
      <c r="N47" s="369">
        <f>SUM(N44:N46)</f>
        <v>943272.2</v>
      </c>
      <c r="O47" s="370">
        <f t="shared" si="12"/>
        <v>-0.17445189204134293</v>
      </c>
      <c r="P47" s="369">
        <f>SUM(P44:P46)</f>
        <v>792793.87999999989</v>
      </c>
      <c r="Q47" s="372">
        <f t="shared" si="13"/>
        <v>-1.7756569967467328E-2</v>
      </c>
      <c r="R47" s="373">
        <f>SUM(R44:R46)</f>
        <v>13586330.68</v>
      </c>
      <c r="S47" s="623">
        <f t="shared" si="14"/>
        <v>-0.94268381961685033</v>
      </c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</row>
    <row r="48" spans="1:41" s="5" customFormat="1" ht="16.5" customHeight="1">
      <c r="A48" s="673"/>
      <c r="B48" s="673"/>
      <c r="C48" s="204"/>
      <c r="D48" s="200"/>
      <c r="E48" s="675"/>
      <c r="F48" s="184"/>
      <c r="G48" s="375" t="s">
        <v>376</v>
      </c>
      <c r="H48" s="376">
        <f>H43-H47</f>
        <v>927685.41</v>
      </c>
      <c r="I48" s="377">
        <f>I43-I47</f>
        <v>930046.40000000014</v>
      </c>
      <c r="J48" s="378">
        <f t="shared" si="10"/>
        <v>-2.5385722690826062E-3</v>
      </c>
      <c r="K48" s="377">
        <f>K43-K47</f>
        <v>933745.17000000016</v>
      </c>
      <c r="L48" s="379">
        <f t="shared" si="11"/>
        <v>-6.4897363806445396E-3</v>
      </c>
      <c r="M48" s="376">
        <f>M43-M47</f>
        <v>927685.41</v>
      </c>
      <c r="N48" s="377">
        <f>N43-N47</f>
        <v>930046.40000000014</v>
      </c>
      <c r="O48" s="378">
        <f t="shared" si="12"/>
        <v>-2.5385722690826062E-3</v>
      </c>
      <c r="P48" s="377">
        <f>P43-P47</f>
        <v>933745.17000000016</v>
      </c>
      <c r="Q48" s="380">
        <f t="shared" si="13"/>
        <v>-6.4897363806445396E-3</v>
      </c>
      <c r="R48" s="381">
        <f>R43-R47</f>
        <v>19234452.860000003</v>
      </c>
      <c r="S48" s="624">
        <f t="shared" si="14"/>
        <v>-0.95176959715193066</v>
      </c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</row>
    <row r="49" spans="1:41" s="8" customFormat="1" ht="16.5" customHeight="1">
      <c r="A49" s="681"/>
      <c r="B49" s="681"/>
      <c r="C49" s="206"/>
      <c r="D49" s="682"/>
      <c r="E49" s="683"/>
      <c r="F49" s="209"/>
      <c r="G49" s="383" t="s">
        <v>377</v>
      </c>
      <c r="H49" s="625">
        <f>IFERROR(H48/H43,0)</f>
        <v>0.54364998132708464</v>
      </c>
      <c r="I49" s="626">
        <f>IFERROR(I48/I43,0)</f>
        <v>0.49646995444341402</v>
      </c>
      <c r="J49" s="627">
        <f t="shared" si="10"/>
        <v>9.5030981152854466E-2</v>
      </c>
      <c r="K49" s="628">
        <f>IFERROR(K48/K43,0)</f>
        <v>0.54081902752214039</v>
      </c>
      <c r="L49" s="629">
        <f t="shared" si="11"/>
        <v>5.2345676850809042E-3</v>
      </c>
      <c r="M49" s="627">
        <f>IFERROR(M48/M43,0)</f>
        <v>0.54364998132708464</v>
      </c>
      <c r="N49" s="628">
        <f>IFERROR(N48/N43,0)</f>
        <v>0.49646995444341402</v>
      </c>
      <c r="O49" s="627">
        <f t="shared" si="12"/>
        <v>9.5030981152854466E-2</v>
      </c>
      <c r="P49" s="628">
        <f>IFERROR(P48/P43,0)</f>
        <v>0.54081902752214039</v>
      </c>
      <c r="Q49" s="630">
        <f t="shared" si="13"/>
        <v>5.2345676850809042E-3</v>
      </c>
      <c r="R49" s="631">
        <f>IFERROR(R48/R43,0)</f>
        <v>0.58604490159591116</v>
      </c>
      <c r="S49" s="632">
        <f t="shared" si="14"/>
        <v>-7.2340737293980606E-2</v>
      </c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</row>
    <row r="50" spans="1:41" ht="16.5" customHeight="1">
      <c r="A50" s="673"/>
      <c r="B50" s="673"/>
      <c r="C50" s="674"/>
      <c r="D50" s="674"/>
      <c r="E50" s="675"/>
      <c r="G50" s="211"/>
      <c r="H50" s="212"/>
      <c r="I50" s="212"/>
      <c r="J50" s="213"/>
      <c r="K50" s="212"/>
      <c r="L50" s="63"/>
      <c r="M50" s="212"/>
      <c r="N50" s="212"/>
      <c r="O50" s="213"/>
      <c r="P50" s="212"/>
      <c r="Q50" s="65"/>
      <c r="R50" s="214"/>
      <c r="S50" s="215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 spans="1:41" ht="16.5" customHeight="1">
      <c r="A51" s="673"/>
      <c r="B51" s="673"/>
      <c r="C51" s="674"/>
      <c r="D51" s="674"/>
      <c r="E51" s="675"/>
      <c r="F51" s="184"/>
      <c r="G51" s="392" t="s">
        <v>378</v>
      </c>
      <c r="H51" s="216"/>
      <c r="I51" s="216"/>
      <c r="J51" s="217"/>
      <c r="K51" s="216"/>
      <c r="L51" s="218"/>
      <c r="M51" s="216"/>
      <c r="N51" s="216"/>
      <c r="O51" s="217"/>
      <c r="P51" s="216"/>
      <c r="Q51" s="217"/>
      <c r="R51" s="219"/>
      <c r="S51" s="220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spans="1:41" ht="16.5" customHeight="1">
      <c r="A52" s="673"/>
      <c r="B52" s="673"/>
      <c r="C52" s="204"/>
      <c r="D52" s="221"/>
      <c r="E52" s="675"/>
      <c r="F52" s="184"/>
      <c r="G52" s="222" t="s">
        <v>379</v>
      </c>
      <c r="H52" s="51">
        <f>SUM(于洪:武汉!H52)</f>
        <v>1822787.8399999999</v>
      </c>
      <c r="I52" s="55">
        <f>SUM(于洪:武汉!I52)</f>
        <v>2194891.5099999998</v>
      </c>
      <c r="J52" s="111">
        <f t="shared" ref="J52:J66" si="15">IF(I52=0,"",H52/I52-1)</f>
        <v>-0.16953169134086266</v>
      </c>
      <c r="K52" s="55">
        <f>SUM(于洪:武汉!K52)</f>
        <v>1633950.63</v>
      </c>
      <c r="L52" s="112">
        <f t="shared" ref="L52:L66" si="16">IF(K52=0,"",H52/K52-1)</f>
        <v>0.11557093986370925</v>
      </c>
      <c r="M52" s="51">
        <f>SUM(于洪:武汉!M52)</f>
        <v>1822787.8399999999</v>
      </c>
      <c r="N52" s="55">
        <f>SUM(于洪:武汉!N52)</f>
        <v>2194891.5099999998</v>
      </c>
      <c r="O52" s="111">
        <f t="shared" ref="O52:O66" si="17">IF(N52=0,"",M52/N52-1)</f>
        <v>-0.16953169134086266</v>
      </c>
      <c r="P52" s="55">
        <f>SUM(于洪:武汉!P52)</f>
        <v>1633950.63</v>
      </c>
      <c r="Q52" s="113">
        <f t="shared" ref="Q52:Q66" si="18">IF(P52=0,"",M52/P52-1)</f>
        <v>0.11557093986370925</v>
      </c>
      <c r="R52" s="57">
        <f>SUM(于洪:武汉!R52)</f>
        <v>24886299.239999998</v>
      </c>
      <c r="S52" s="603">
        <f t="shared" ref="S52:S66" si="19">IF(R52=0,"",M52/R52-1)</f>
        <v>-0.92675536758514043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spans="1:41" ht="16.5" customHeight="1">
      <c r="A53" s="673" t="s">
        <v>380</v>
      </c>
      <c r="B53" s="673"/>
      <c r="C53" s="204"/>
      <c r="D53" s="221"/>
      <c r="E53" s="675"/>
      <c r="F53" s="184"/>
      <c r="G53" s="223" t="s">
        <v>381</v>
      </c>
      <c r="H53" s="51">
        <f>SUM(于洪:武汉!H53)</f>
        <v>36270.750000000007</v>
      </c>
      <c r="I53" s="55">
        <f>SUM(于洪:武汉!I53)</f>
        <v>0</v>
      </c>
      <c r="J53" s="111" t="str">
        <f t="shared" si="15"/>
        <v/>
      </c>
      <c r="K53" s="55">
        <f>SUM(于洪:武汉!K53)</f>
        <v>110139.47</v>
      </c>
      <c r="L53" s="112">
        <f t="shared" si="16"/>
        <v>-0.67068345253522643</v>
      </c>
      <c r="M53" s="51">
        <f>SUM(于洪:武汉!M53)</f>
        <v>36270.750000000007</v>
      </c>
      <c r="N53" s="55">
        <f>SUM(于洪:武汉!N53)</f>
        <v>0</v>
      </c>
      <c r="O53" s="111" t="str">
        <f t="shared" si="17"/>
        <v/>
      </c>
      <c r="P53" s="55">
        <f>SUM(于洪:武汉!P53)</f>
        <v>110139.47</v>
      </c>
      <c r="Q53" s="113">
        <f t="shared" si="18"/>
        <v>-0.67068345253522643</v>
      </c>
      <c r="R53" s="57">
        <f>SUM(于洪:武汉!R53)</f>
        <v>0</v>
      </c>
      <c r="S53" s="603" t="str">
        <f t="shared" si="19"/>
        <v/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spans="1:41" ht="16.5" customHeight="1">
      <c r="A54" s="673"/>
      <c r="B54" s="673"/>
      <c r="C54" s="204"/>
      <c r="D54" s="221"/>
      <c r="E54" s="675"/>
      <c r="F54" s="184"/>
      <c r="G54" s="223" t="s">
        <v>382</v>
      </c>
      <c r="H54" s="51">
        <f>SUM(于洪:武汉!H54)</f>
        <v>21521.84</v>
      </c>
      <c r="I54" s="55">
        <f>SUM(于洪:武汉!I54)</f>
        <v>26548.68</v>
      </c>
      <c r="J54" s="111">
        <f t="shared" si="15"/>
        <v>-0.18934425365027563</v>
      </c>
      <c r="K54" s="55">
        <f>SUM(于洪:武汉!K54)</f>
        <v>56151.380000000005</v>
      </c>
      <c r="L54" s="112">
        <f t="shared" si="16"/>
        <v>-0.61671752323807538</v>
      </c>
      <c r="M54" s="51">
        <f>SUM(于洪:武汉!M54)</f>
        <v>21521.84</v>
      </c>
      <c r="N54" s="55">
        <f>SUM(于洪:武汉!N54)</f>
        <v>26548.68</v>
      </c>
      <c r="O54" s="111">
        <f t="shared" si="17"/>
        <v>-0.18934425365027563</v>
      </c>
      <c r="P54" s="55">
        <f>SUM(于洪:武汉!P54)</f>
        <v>56151.380000000005</v>
      </c>
      <c r="Q54" s="113">
        <f t="shared" si="18"/>
        <v>-0.61671752323807538</v>
      </c>
      <c r="R54" s="57">
        <f>SUM(于洪:武汉!R54)</f>
        <v>991150.49</v>
      </c>
      <c r="S54" s="603">
        <f t="shared" si="19"/>
        <v>-0.97828600175539437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spans="1:41" ht="16.5" customHeight="1">
      <c r="A55" s="673"/>
      <c r="B55" s="673"/>
      <c r="C55" s="204"/>
      <c r="D55" s="221"/>
      <c r="E55" s="675"/>
      <c r="F55" s="184"/>
      <c r="G55" s="223" t="s">
        <v>383</v>
      </c>
      <c r="H55" s="51">
        <f>SUM(于洪:武汉!H55)</f>
        <v>330944.72000000003</v>
      </c>
      <c r="I55" s="55">
        <f>SUM(于洪:武汉!I55)</f>
        <v>292452.84000000003</v>
      </c>
      <c r="J55" s="111">
        <f t="shared" si="15"/>
        <v>0.13161739171348108</v>
      </c>
      <c r="K55" s="55">
        <f>SUM(于洪:武汉!K55)</f>
        <v>1297950.0299999998</v>
      </c>
      <c r="L55" s="112">
        <f t="shared" si="16"/>
        <v>-0.74502506849204342</v>
      </c>
      <c r="M55" s="51">
        <f>SUM(于洪:武汉!M55)</f>
        <v>330944.72000000003</v>
      </c>
      <c r="N55" s="55">
        <f>SUM(于洪:武汉!N55)</f>
        <v>292452.84000000003</v>
      </c>
      <c r="O55" s="111">
        <f t="shared" si="17"/>
        <v>0.13161739171348108</v>
      </c>
      <c r="P55" s="55">
        <f>SUM(于洪:武汉!P55)</f>
        <v>1297950.0299999998</v>
      </c>
      <c r="Q55" s="113">
        <f t="shared" si="18"/>
        <v>-0.74502506849204342</v>
      </c>
      <c r="R55" s="57">
        <f>SUM(于洪:武汉!R55)</f>
        <v>5811320.7599999998</v>
      </c>
      <c r="S55" s="603">
        <f t="shared" si="19"/>
        <v>-0.94305172031151141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spans="1:41" s="5" customFormat="1" ht="16.5" customHeight="1">
      <c r="A56" s="673"/>
      <c r="B56" s="673"/>
      <c r="C56" s="204"/>
      <c r="D56" s="200"/>
      <c r="E56" s="675"/>
      <c r="F56" s="184"/>
      <c r="G56" s="393" t="s">
        <v>384</v>
      </c>
      <c r="H56" s="394">
        <f>SUM(H52:H55)</f>
        <v>2211525.15</v>
      </c>
      <c r="I56" s="395">
        <f>SUM(I52:I55)</f>
        <v>2513893.0299999998</v>
      </c>
      <c r="J56" s="396">
        <f t="shared" si="15"/>
        <v>-0.12027873755630725</v>
      </c>
      <c r="K56" s="395">
        <f>SUM(K52:K55)</f>
        <v>3098191.51</v>
      </c>
      <c r="L56" s="397">
        <f t="shared" si="16"/>
        <v>-0.28618836412730342</v>
      </c>
      <c r="M56" s="394">
        <f>SUM(M52:M55)</f>
        <v>2211525.15</v>
      </c>
      <c r="N56" s="395">
        <f>SUM(N52:N55)</f>
        <v>2513893.0299999998</v>
      </c>
      <c r="O56" s="396">
        <f t="shared" si="17"/>
        <v>-0.12027873755630725</v>
      </c>
      <c r="P56" s="395">
        <f>SUM(P52:P55)</f>
        <v>3098191.51</v>
      </c>
      <c r="Q56" s="398">
        <f t="shared" si="18"/>
        <v>-0.28618836412730342</v>
      </c>
      <c r="R56" s="365">
        <f>SUM(R52:R55)</f>
        <v>31688770.489999995</v>
      </c>
      <c r="S56" s="622">
        <f t="shared" si="19"/>
        <v>-0.93021107743205467</v>
      </c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</row>
    <row r="57" spans="1:41" ht="16.5" customHeight="1">
      <c r="A57" s="673"/>
      <c r="B57" s="673"/>
      <c r="C57" s="204"/>
      <c r="D57" s="221"/>
      <c r="E57" s="675"/>
      <c r="F57" s="184"/>
      <c r="G57" s="222" t="s">
        <v>385</v>
      </c>
      <c r="H57" s="51">
        <f>SUM(于洪:武汉!H57)</f>
        <v>953640</v>
      </c>
      <c r="I57" s="55">
        <f>SUM(于洪:武汉!I57)</f>
        <v>1028296.3300000001</v>
      </c>
      <c r="J57" s="111">
        <f t="shared" si="15"/>
        <v>-7.2601960954193134E-2</v>
      </c>
      <c r="K57" s="55">
        <f>SUM(于洪:武汉!K57)</f>
        <v>1289501.82</v>
      </c>
      <c r="L57" s="112">
        <f t="shared" si="16"/>
        <v>-0.26045858547140321</v>
      </c>
      <c r="M57" s="51">
        <f>SUM(于洪:武汉!M57)</f>
        <v>953640</v>
      </c>
      <c r="N57" s="55">
        <f>SUM(于洪:武汉!N57)</f>
        <v>1028296.3300000001</v>
      </c>
      <c r="O57" s="111">
        <f t="shared" si="17"/>
        <v>-7.2601960954193134E-2</v>
      </c>
      <c r="P57" s="55">
        <f>SUM(于洪:武汉!P57)</f>
        <v>1289501.82</v>
      </c>
      <c r="Q57" s="113">
        <f t="shared" si="18"/>
        <v>-0.26045858547140321</v>
      </c>
      <c r="R57" s="57">
        <f>SUM(于洪:武汉!R57)</f>
        <v>11635014.710000001</v>
      </c>
      <c r="S57" s="603">
        <f t="shared" si="19"/>
        <v>-0.91803706108077621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spans="1:41" ht="16.5" customHeight="1">
      <c r="A58" s="673"/>
      <c r="B58" s="673"/>
      <c r="C58" s="204"/>
      <c r="D58" s="221"/>
      <c r="E58" s="675"/>
      <c r="F58" s="184"/>
      <c r="G58" s="222" t="s">
        <v>386</v>
      </c>
      <c r="H58" s="51">
        <f>SUM(于洪:武汉!H58)</f>
        <v>22458.959999999999</v>
      </c>
      <c r="I58" s="55">
        <f>SUM(于洪:武汉!I58)</f>
        <v>0</v>
      </c>
      <c r="J58" s="111" t="str">
        <f t="shared" si="15"/>
        <v/>
      </c>
      <c r="K58" s="55">
        <f>SUM(于洪:武汉!K58)</f>
        <v>67098.959999999992</v>
      </c>
      <c r="L58" s="112">
        <f t="shared" si="16"/>
        <v>-0.66528601933621623</v>
      </c>
      <c r="M58" s="51">
        <f>SUM(于洪:武汉!M58)</f>
        <v>22458.959999999999</v>
      </c>
      <c r="N58" s="55">
        <f>SUM(于洪:武汉!N58)</f>
        <v>0</v>
      </c>
      <c r="O58" s="111" t="str">
        <f t="shared" si="17"/>
        <v/>
      </c>
      <c r="P58" s="55">
        <f>SUM(于洪:武汉!P58)</f>
        <v>67098.959999999992</v>
      </c>
      <c r="Q58" s="113">
        <f t="shared" si="18"/>
        <v>-0.66528601933621623</v>
      </c>
      <c r="R58" s="57">
        <f>SUM(于洪:武汉!R58)</f>
        <v>105309.7</v>
      </c>
      <c r="S58" s="603">
        <f t="shared" si="19"/>
        <v>-0.78673417548430957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1:41" ht="16.5" customHeight="1">
      <c r="A59" s="673"/>
      <c r="B59" s="673"/>
      <c r="C59" s="224"/>
      <c r="D59" s="221"/>
      <c r="E59" s="675"/>
      <c r="F59" s="184"/>
      <c r="G59" s="222" t="s">
        <v>387</v>
      </c>
      <c r="H59" s="51">
        <f>SUM(于洪:武汉!H59)</f>
        <v>14446.220000000001</v>
      </c>
      <c r="I59" s="55">
        <f>SUM(于洪:武汉!I59)</f>
        <v>15929.2</v>
      </c>
      <c r="J59" s="111">
        <f t="shared" si="15"/>
        <v>-9.3098209577379909E-2</v>
      </c>
      <c r="K59" s="55">
        <f>SUM(于洪:武汉!K59)</f>
        <v>58271.520000000004</v>
      </c>
      <c r="L59" s="112">
        <f t="shared" si="16"/>
        <v>-0.75208781236528588</v>
      </c>
      <c r="M59" s="51">
        <f>SUM(于洪:武汉!M59)</f>
        <v>14446.220000000001</v>
      </c>
      <c r="N59" s="55">
        <f>SUM(于洪:武汉!N59)</f>
        <v>15929.2</v>
      </c>
      <c r="O59" s="111">
        <f t="shared" si="17"/>
        <v>-9.3098209577379909E-2</v>
      </c>
      <c r="P59" s="55">
        <f>SUM(于洪:武汉!P59)</f>
        <v>58271.520000000004</v>
      </c>
      <c r="Q59" s="113">
        <f t="shared" si="18"/>
        <v>-0.75208781236528588</v>
      </c>
      <c r="R59" s="57">
        <f>SUM(于洪:武汉!R59)</f>
        <v>520086.05000000005</v>
      </c>
      <c r="S59" s="603">
        <f t="shared" si="19"/>
        <v>-0.97222340418474984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spans="1:41" s="5" customFormat="1" ht="16.5" customHeight="1">
      <c r="A60" s="673"/>
      <c r="B60" s="673"/>
      <c r="C60" s="204"/>
      <c r="D60" s="200"/>
      <c r="E60" s="675"/>
      <c r="F60" s="184"/>
      <c r="G60" s="225" t="s">
        <v>388</v>
      </c>
      <c r="H60" s="226">
        <f>SUM(H57:H59)</f>
        <v>990545.17999999993</v>
      </c>
      <c r="I60" s="227">
        <f>SUM(I57:I59)</f>
        <v>1044225.53</v>
      </c>
      <c r="J60" s="228">
        <f t="shared" si="15"/>
        <v>-5.1406854609272079E-2</v>
      </c>
      <c r="K60" s="227">
        <f>SUM(K57:K59)</f>
        <v>1414872.3</v>
      </c>
      <c r="L60" s="229">
        <f t="shared" si="16"/>
        <v>-0.29990488894298095</v>
      </c>
      <c r="M60" s="230">
        <f>SUM(M57:M59)</f>
        <v>990545.17999999993</v>
      </c>
      <c r="N60" s="227">
        <f>SUM(N57:N59)</f>
        <v>1044225.53</v>
      </c>
      <c r="O60" s="228">
        <f t="shared" si="17"/>
        <v>-5.1406854609272079E-2</v>
      </c>
      <c r="P60" s="227">
        <f>SUM(P57:P59)</f>
        <v>1414872.3</v>
      </c>
      <c r="Q60" s="231">
        <f t="shared" si="18"/>
        <v>-0.29990488894298095</v>
      </c>
      <c r="R60" s="232">
        <f>SUM(R57:R59)</f>
        <v>12260410.460000001</v>
      </c>
      <c r="S60" s="633">
        <f t="shared" si="19"/>
        <v>-0.91920782887068209</v>
      </c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</row>
    <row r="61" spans="1:41" ht="16.5" customHeight="1">
      <c r="A61" s="673"/>
      <c r="B61" s="673"/>
      <c r="C61" s="204"/>
      <c r="D61" s="221"/>
      <c r="E61" s="675"/>
      <c r="F61" s="184"/>
      <c r="G61" s="234" t="s">
        <v>389</v>
      </c>
      <c r="H61" s="51">
        <f>SUM(于洪:武汉!H61)</f>
        <v>405517.06999999995</v>
      </c>
      <c r="I61" s="55">
        <f>SUM(于洪:武汉!I61)</f>
        <v>425743.7</v>
      </c>
      <c r="J61" s="111">
        <f t="shared" si="15"/>
        <v>-4.7508935540326425E-2</v>
      </c>
      <c r="K61" s="55">
        <f>SUM(于洪:武汉!K61)</f>
        <v>556718.68999999994</v>
      </c>
      <c r="L61" s="112">
        <f t="shared" si="16"/>
        <v>-0.27159429477749353</v>
      </c>
      <c r="M61" s="51">
        <f>SUM(于洪:武汉!M61)</f>
        <v>405517.06999999995</v>
      </c>
      <c r="N61" s="55">
        <f>SUM(于洪:武汉!N61)</f>
        <v>425743.7</v>
      </c>
      <c r="O61" s="111">
        <f t="shared" si="17"/>
        <v>-4.7508935540326425E-2</v>
      </c>
      <c r="P61" s="55">
        <f>SUM(于洪:武汉!P61)</f>
        <v>556718.68999999994</v>
      </c>
      <c r="Q61" s="113">
        <f t="shared" si="18"/>
        <v>-0.27159429477749353</v>
      </c>
      <c r="R61" s="57">
        <f>SUM(于洪:武汉!R61)</f>
        <v>5416195.8200000003</v>
      </c>
      <c r="S61" s="603">
        <f t="shared" si="19"/>
        <v>-0.92512880193463909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spans="1:41" ht="16.5" customHeight="1">
      <c r="A62" s="673"/>
      <c r="B62" s="673"/>
      <c r="C62" s="204"/>
      <c r="D62" s="221"/>
      <c r="E62" s="675"/>
      <c r="F62" s="184"/>
      <c r="G62" s="222" t="s">
        <v>390</v>
      </c>
      <c r="H62" s="51">
        <f>SUM(于洪:武汉!H62)</f>
        <v>161057.85</v>
      </c>
      <c r="I62" s="55">
        <f>SUM(于洪:武汉!I62)</f>
        <v>169194.68</v>
      </c>
      <c r="J62" s="111">
        <f t="shared" si="15"/>
        <v>-4.8091523917891399E-2</v>
      </c>
      <c r="K62" s="55">
        <f>SUM(于洪:武汉!K62)</f>
        <v>241743.45</v>
      </c>
      <c r="L62" s="112">
        <f t="shared" si="16"/>
        <v>-0.33376540295093826</v>
      </c>
      <c r="M62" s="51">
        <f>SUM(于洪:武汉!M62)</f>
        <v>161057.85</v>
      </c>
      <c r="N62" s="55">
        <f>SUM(于洪:武汉!N62)</f>
        <v>169194.68</v>
      </c>
      <c r="O62" s="111">
        <f t="shared" si="17"/>
        <v>-4.8091523917891399E-2</v>
      </c>
      <c r="P62" s="55">
        <f>SUM(于洪:武汉!P62)</f>
        <v>241743.45</v>
      </c>
      <c r="Q62" s="113">
        <f t="shared" si="18"/>
        <v>-0.33376540295093826</v>
      </c>
      <c r="R62" s="57">
        <f>SUM(于洪:武汉!R62)</f>
        <v>2131197.9500000002</v>
      </c>
      <c r="S62" s="603">
        <f t="shared" si="19"/>
        <v>-0.92442848868168248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spans="1:41" ht="16.5" customHeight="1">
      <c r="A63" s="673"/>
      <c r="B63" s="673"/>
      <c r="C63" s="204"/>
      <c r="D63" s="221"/>
      <c r="E63" s="675"/>
      <c r="F63" s="184"/>
      <c r="G63" s="222" t="s">
        <v>391</v>
      </c>
      <c r="H63" s="51">
        <f>SUM(于洪:武汉!H63)</f>
        <v>61543.740000000005</v>
      </c>
      <c r="I63" s="55">
        <f>SUM(于洪:武汉!I63)</f>
        <v>67472.89</v>
      </c>
      <c r="J63" s="111">
        <f t="shared" si="15"/>
        <v>-8.7874552283146556E-2</v>
      </c>
      <c r="K63" s="55">
        <f>SUM(于洪:武汉!K63)</f>
        <v>136454.18</v>
      </c>
      <c r="L63" s="112">
        <f t="shared" si="16"/>
        <v>-0.54897871212153404</v>
      </c>
      <c r="M63" s="51">
        <f>SUM(于洪:武汉!M63)</f>
        <v>61543.740000000005</v>
      </c>
      <c r="N63" s="55">
        <f>SUM(于洪:武汉!N63)</f>
        <v>67472.89</v>
      </c>
      <c r="O63" s="111">
        <f t="shared" si="17"/>
        <v>-8.7874552283146556E-2</v>
      </c>
      <c r="P63" s="55">
        <f>SUM(于洪:武汉!P63)</f>
        <v>136454.18</v>
      </c>
      <c r="Q63" s="113">
        <f t="shared" si="18"/>
        <v>-0.54897871212153404</v>
      </c>
      <c r="R63" s="57">
        <f>SUM(于洪:武汉!R63)</f>
        <v>1192930.6399999999</v>
      </c>
      <c r="S63" s="603">
        <f t="shared" si="19"/>
        <v>-0.94840962421754882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spans="1:41" s="5" customFormat="1" ht="16.5" customHeight="1">
      <c r="A64" s="673"/>
      <c r="B64" s="673"/>
      <c r="C64" s="204"/>
      <c r="D64" s="200"/>
      <c r="E64" s="675"/>
      <c r="F64" s="184"/>
      <c r="G64" s="399" t="s">
        <v>392</v>
      </c>
      <c r="H64" s="368">
        <f>SUM(H60:H63)</f>
        <v>1618663.84</v>
      </c>
      <c r="I64" s="369">
        <f>SUM(I60:I63)</f>
        <v>1706636.7999999998</v>
      </c>
      <c r="J64" s="370">
        <f t="shared" si="15"/>
        <v>-5.1547558332270649E-2</v>
      </c>
      <c r="K64" s="369">
        <f>SUM(K60:K63)</f>
        <v>2349788.62</v>
      </c>
      <c r="L64" s="371">
        <f t="shared" si="16"/>
        <v>-0.31114491481365669</v>
      </c>
      <c r="M64" s="368">
        <f>SUM(M60:M63)</f>
        <v>1618663.84</v>
      </c>
      <c r="N64" s="369">
        <f>SUM(N60:N63)</f>
        <v>1706636.7999999998</v>
      </c>
      <c r="O64" s="370">
        <f t="shared" si="17"/>
        <v>-5.1547558332270649E-2</v>
      </c>
      <c r="P64" s="369">
        <f>SUM(P60:P63)</f>
        <v>2349788.62</v>
      </c>
      <c r="Q64" s="372">
        <f t="shared" si="18"/>
        <v>-0.31114491481365669</v>
      </c>
      <c r="R64" s="373">
        <f>SUM(R60:R63)</f>
        <v>21000734.870000001</v>
      </c>
      <c r="S64" s="623">
        <f t="shared" si="19"/>
        <v>-0.92292346672533365</v>
      </c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</row>
    <row r="65" spans="1:41" s="5" customFormat="1" ht="16.5" customHeight="1">
      <c r="A65" s="673"/>
      <c r="B65" s="673"/>
      <c r="C65" s="204"/>
      <c r="D65" s="200"/>
      <c r="E65" s="675"/>
      <c r="F65" s="184"/>
      <c r="G65" s="400" t="s">
        <v>393</v>
      </c>
      <c r="H65" s="401">
        <f>H56-H64</f>
        <v>592861.30999999982</v>
      </c>
      <c r="I65" s="402">
        <f>I56-I64</f>
        <v>807256.23</v>
      </c>
      <c r="J65" s="403">
        <f t="shared" si="15"/>
        <v>-0.26558472023188995</v>
      </c>
      <c r="K65" s="402">
        <f>K56-K64</f>
        <v>748402.88999999966</v>
      </c>
      <c r="L65" s="404">
        <f t="shared" si="16"/>
        <v>-0.20783134602807307</v>
      </c>
      <c r="M65" s="401">
        <f>M56-M64</f>
        <v>592861.30999999982</v>
      </c>
      <c r="N65" s="402">
        <f>N56-N64</f>
        <v>807256.23</v>
      </c>
      <c r="O65" s="403">
        <f t="shared" si="17"/>
        <v>-0.26558472023188995</v>
      </c>
      <c r="P65" s="402">
        <f>P56-P64</f>
        <v>748402.88999999966</v>
      </c>
      <c r="Q65" s="405">
        <f t="shared" si="18"/>
        <v>-0.20783134602807307</v>
      </c>
      <c r="R65" s="381">
        <f>R56-R64</f>
        <v>10688035.619999994</v>
      </c>
      <c r="S65" s="624">
        <f t="shared" si="19"/>
        <v>-0.9445303766680373</v>
      </c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</row>
    <row r="66" spans="1:41" s="556" customFormat="1" ht="16.5" customHeight="1">
      <c r="A66" s="564"/>
      <c r="B66" s="564"/>
      <c r="C66" s="581"/>
      <c r="D66" s="565"/>
      <c r="E66" s="566"/>
      <c r="F66" s="582"/>
      <c r="G66" s="634" t="s">
        <v>394</v>
      </c>
      <c r="H66" s="625">
        <f>IFERROR(H65/H56,0)</f>
        <v>0.26807803203142405</v>
      </c>
      <c r="I66" s="625">
        <f>IFERROR(I65/I56,0)</f>
        <v>0.32111797135616388</v>
      </c>
      <c r="J66" s="627">
        <f t="shared" si="15"/>
        <v>-0.16517275286941591</v>
      </c>
      <c r="K66" s="625">
        <f>IFERROR(K65/K56,0)</f>
        <v>0.2415612100105457</v>
      </c>
      <c r="L66" s="629">
        <f t="shared" si="16"/>
        <v>0.10977268254170736</v>
      </c>
      <c r="M66" s="625">
        <f>IFERROR(M65/M56,0)</f>
        <v>0.26807803203142405</v>
      </c>
      <c r="N66" s="625">
        <f>IFERROR(N65/N56,0)</f>
        <v>0.32111797135616388</v>
      </c>
      <c r="O66" s="627">
        <f t="shared" si="17"/>
        <v>-0.16517275286941591</v>
      </c>
      <c r="P66" s="625">
        <f>IFERROR(P65/P56,0)</f>
        <v>0.2415612100105457</v>
      </c>
      <c r="Q66" s="630">
        <f t="shared" si="18"/>
        <v>0.10977268254170736</v>
      </c>
      <c r="R66" s="625">
        <f>IFERROR(R65/R56,0)</f>
        <v>0.33728148661914198</v>
      </c>
      <c r="S66" s="635">
        <f t="shared" si="19"/>
        <v>-0.20518011611429599</v>
      </c>
      <c r="T66" s="570"/>
      <c r="U66" s="570"/>
      <c r="V66" s="570"/>
      <c r="W66" s="570"/>
      <c r="X66" s="570"/>
      <c r="Y66" s="583"/>
      <c r="Z66" s="583"/>
      <c r="AA66" s="583"/>
      <c r="AB66" s="583"/>
      <c r="AC66" s="583"/>
      <c r="AD66" s="583"/>
      <c r="AE66" s="583"/>
      <c r="AF66" s="583"/>
      <c r="AG66" s="583"/>
      <c r="AH66" s="583"/>
      <c r="AI66" s="583"/>
      <c r="AJ66" s="583"/>
      <c r="AK66" s="583"/>
      <c r="AL66" s="583"/>
      <c r="AM66" s="583"/>
      <c r="AN66" s="583"/>
      <c r="AO66" s="583"/>
    </row>
    <row r="67" spans="1:41" ht="16.5" customHeight="1">
      <c r="A67" s="673"/>
      <c r="B67" s="673"/>
      <c r="C67" s="674"/>
      <c r="D67" s="674"/>
      <c r="E67" s="675"/>
      <c r="F67" s="184"/>
      <c r="G67" s="238"/>
      <c r="H67" s="239"/>
      <c r="I67" s="212"/>
      <c r="J67" s="65"/>
      <c r="K67" s="212"/>
      <c r="L67" s="63"/>
      <c r="M67" s="239"/>
      <c r="N67" s="212"/>
      <c r="O67" s="65"/>
      <c r="P67" s="212"/>
      <c r="Q67" s="65"/>
      <c r="R67" s="240"/>
      <c r="S67" s="636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spans="1:41" ht="16.5" customHeight="1">
      <c r="A68" s="673"/>
      <c r="B68" s="673"/>
      <c r="C68" s="674"/>
      <c r="D68" s="674"/>
      <c r="E68" s="675"/>
      <c r="F68" s="184"/>
      <c r="G68" s="392" t="s">
        <v>395</v>
      </c>
      <c r="H68" s="216"/>
      <c r="I68" s="216"/>
      <c r="J68" s="217"/>
      <c r="K68" s="216"/>
      <c r="L68" s="218"/>
      <c r="M68" s="216"/>
      <c r="N68" s="216"/>
      <c r="O68" s="217"/>
      <c r="P68" s="216"/>
      <c r="Q68" s="217"/>
      <c r="R68" s="242"/>
      <c r="S68" s="637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spans="1:41" s="10" customFormat="1" ht="16.5" customHeight="1">
      <c r="A69" s="673"/>
      <c r="B69" s="673"/>
      <c r="C69" s="244"/>
      <c r="D69" s="14"/>
      <c r="E69" s="675"/>
      <c r="F69" s="184"/>
      <c r="G69" s="245" t="s">
        <v>396</v>
      </c>
      <c r="H69" s="51">
        <f>SUM(于洪:武汉!H69)</f>
        <v>0</v>
      </c>
      <c r="I69" s="55">
        <f>SUM(于洪:武汉!I69)</f>
        <v>0</v>
      </c>
      <c r="J69" s="246" t="str">
        <f t="shared" ref="J69:J83" si="20">IF(I69=0,"",H69/I69-1)</f>
        <v/>
      </c>
      <c r="K69" s="55">
        <f>SUM(于洪:武汉!K69)</f>
        <v>0</v>
      </c>
      <c r="L69" s="112" t="str">
        <f t="shared" ref="L69:L87" si="21">IF(K69=0,"",H69/K69-1)</f>
        <v/>
      </c>
      <c r="M69" s="51">
        <f>SUM(于洪:武汉!M69)</f>
        <v>0</v>
      </c>
      <c r="N69" s="55">
        <f>SUM(于洪:武汉!N69)</f>
        <v>0</v>
      </c>
      <c r="O69" s="111" t="str">
        <f t="shared" ref="O69:O83" si="22">IF(N69=0,"",M69/N69-1)</f>
        <v/>
      </c>
      <c r="P69" s="55">
        <f>SUM(于洪:武汉!P69)</f>
        <v>0</v>
      </c>
      <c r="Q69" s="113" t="str">
        <f t="shared" ref="Q69:Q87" si="23">IF(P69=0,"",M69/P69-1)</f>
        <v/>
      </c>
      <c r="R69" s="57">
        <f>SUM(于洪:武汉!R69)</f>
        <v>0</v>
      </c>
      <c r="S69" s="603" t="str">
        <f t="shared" ref="S69:S87" si="24">IF(R69=0,"",M69/R69-1)</f>
        <v/>
      </c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  <c r="AM69" s="247"/>
      <c r="AN69" s="247"/>
      <c r="AO69" s="247"/>
    </row>
    <row r="70" spans="1:41" s="10" customFormat="1" ht="16.5" customHeight="1">
      <c r="A70" s="673"/>
      <c r="B70" s="673"/>
      <c r="C70" s="244"/>
      <c r="D70" s="14"/>
      <c r="E70" s="675"/>
      <c r="F70" s="184"/>
      <c r="G70" s="245" t="s">
        <v>397</v>
      </c>
      <c r="H70" s="51">
        <f>SUM(于洪:武汉!H70)</f>
        <v>0</v>
      </c>
      <c r="I70" s="55">
        <f>SUM(于洪:武汉!I70)</f>
        <v>0</v>
      </c>
      <c r="J70" s="246" t="str">
        <f t="shared" si="20"/>
        <v/>
      </c>
      <c r="K70" s="55">
        <f>SUM(于洪:武汉!K70)</f>
        <v>0</v>
      </c>
      <c r="L70" s="112" t="str">
        <f t="shared" si="21"/>
        <v/>
      </c>
      <c r="M70" s="51">
        <f>SUM(于洪:武汉!M70)</f>
        <v>0</v>
      </c>
      <c r="N70" s="55">
        <f>SUM(于洪:武汉!N70)</f>
        <v>0</v>
      </c>
      <c r="O70" s="111" t="str">
        <f t="shared" si="22"/>
        <v/>
      </c>
      <c r="P70" s="55">
        <f>SUM(于洪:武汉!P70)</f>
        <v>0</v>
      </c>
      <c r="Q70" s="113" t="str">
        <f t="shared" si="23"/>
        <v/>
      </c>
      <c r="R70" s="57">
        <f>SUM(于洪:武汉!R70)</f>
        <v>0</v>
      </c>
      <c r="S70" s="603" t="str">
        <f t="shared" si="24"/>
        <v/>
      </c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7"/>
      <c r="AK70" s="247"/>
      <c r="AL70" s="247"/>
      <c r="AM70" s="247"/>
      <c r="AN70" s="247"/>
      <c r="AO70" s="247"/>
    </row>
    <row r="71" spans="1:41" s="10" customFormat="1" ht="16.5" customHeight="1">
      <c r="A71" s="673"/>
      <c r="B71" s="673"/>
      <c r="C71" s="244"/>
      <c r="D71" s="14"/>
      <c r="E71" s="675"/>
      <c r="F71" s="184"/>
      <c r="G71" s="248" t="s">
        <v>398</v>
      </c>
      <c r="H71" s="60">
        <f>SUM(于洪:武汉!H71)</f>
        <v>0</v>
      </c>
      <c r="I71" s="64">
        <f>SUM(于洪:武汉!I71)</f>
        <v>0</v>
      </c>
      <c r="J71" s="249" t="str">
        <f t="shared" si="20"/>
        <v/>
      </c>
      <c r="K71" s="64">
        <f>SUM(于洪:武汉!K71)</f>
        <v>0</v>
      </c>
      <c r="L71" s="250" t="str">
        <f t="shared" si="21"/>
        <v/>
      </c>
      <c r="M71" s="60">
        <f>SUM(于洪:武汉!M71)</f>
        <v>0</v>
      </c>
      <c r="N71" s="64">
        <f>SUM(于洪:武汉!N71)</f>
        <v>0</v>
      </c>
      <c r="O71" s="251" t="str">
        <f t="shared" si="22"/>
        <v/>
      </c>
      <c r="P71" s="64">
        <f>SUM(于洪:武汉!P71)</f>
        <v>0</v>
      </c>
      <c r="Q71" s="252" t="str">
        <f t="shared" si="23"/>
        <v/>
      </c>
      <c r="R71" s="57">
        <f>SUM(于洪:武汉!R71)</f>
        <v>0</v>
      </c>
      <c r="S71" s="603" t="str">
        <f t="shared" si="24"/>
        <v/>
      </c>
      <c r="T71" s="247"/>
      <c r="U71" s="247"/>
      <c r="V71" s="247"/>
      <c r="W71" s="247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7"/>
      <c r="AM71" s="247"/>
      <c r="AN71" s="247"/>
      <c r="AO71" s="247"/>
    </row>
    <row r="72" spans="1:41" s="10" customFormat="1" ht="16.5" customHeight="1">
      <c r="A72" s="673"/>
      <c r="B72" s="673"/>
      <c r="C72" s="244"/>
      <c r="D72" s="14"/>
      <c r="E72" s="675"/>
      <c r="F72" s="184"/>
      <c r="G72" s="245" t="s">
        <v>399</v>
      </c>
      <c r="H72" s="51">
        <f>SUM(于洪:武汉!H72)</f>
        <v>0</v>
      </c>
      <c r="I72" s="55">
        <f>SUM(于洪:武汉!I72)</f>
        <v>0</v>
      </c>
      <c r="J72" s="246" t="str">
        <f t="shared" si="20"/>
        <v/>
      </c>
      <c r="K72" s="55">
        <f>SUM(于洪:武汉!K72)</f>
        <v>0</v>
      </c>
      <c r="L72" s="112" t="str">
        <f t="shared" si="21"/>
        <v/>
      </c>
      <c r="M72" s="51">
        <f>SUM(于洪:武汉!M72)</f>
        <v>0</v>
      </c>
      <c r="N72" s="55">
        <f>SUM(于洪:武汉!N72)</f>
        <v>0</v>
      </c>
      <c r="O72" s="111" t="str">
        <f t="shared" si="22"/>
        <v/>
      </c>
      <c r="P72" s="55">
        <f>SUM(于洪:武汉!P72)</f>
        <v>0</v>
      </c>
      <c r="Q72" s="113" t="str">
        <f t="shared" si="23"/>
        <v/>
      </c>
      <c r="R72" s="57">
        <f>SUM(于洪:武汉!R72)</f>
        <v>0</v>
      </c>
      <c r="S72" s="603" t="str">
        <f t="shared" si="24"/>
        <v/>
      </c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</row>
    <row r="73" spans="1:41" s="10" customFormat="1" ht="16.5" customHeight="1">
      <c r="A73" s="673"/>
      <c r="B73" s="673"/>
      <c r="C73" s="244"/>
      <c r="D73" s="14"/>
      <c r="E73" s="675"/>
      <c r="F73" s="184"/>
      <c r="G73" s="245" t="s">
        <v>400</v>
      </c>
      <c r="H73" s="51">
        <f>SUM(于洪:武汉!H73)</f>
        <v>0</v>
      </c>
      <c r="I73" s="55">
        <f>SUM(于洪:武汉!I73)</f>
        <v>0</v>
      </c>
      <c r="J73" s="246" t="str">
        <f t="shared" si="20"/>
        <v/>
      </c>
      <c r="K73" s="55">
        <f>SUM(于洪:武汉!K73)</f>
        <v>0</v>
      </c>
      <c r="L73" s="112" t="str">
        <f t="shared" si="21"/>
        <v/>
      </c>
      <c r="M73" s="51">
        <f>SUM(于洪:武汉!M73)</f>
        <v>0</v>
      </c>
      <c r="N73" s="55">
        <f>SUM(于洪:武汉!N73)</f>
        <v>0</v>
      </c>
      <c r="O73" s="111" t="str">
        <f t="shared" si="22"/>
        <v/>
      </c>
      <c r="P73" s="55">
        <f>SUM(于洪:武汉!P73)</f>
        <v>0</v>
      </c>
      <c r="Q73" s="113" t="str">
        <f t="shared" si="23"/>
        <v/>
      </c>
      <c r="R73" s="57">
        <f>SUM(于洪:武汉!R73)</f>
        <v>0</v>
      </c>
      <c r="S73" s="603" t="str">
        <f t="shared" si="24"/>
        <v/>
      </c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7"/>
      <c r="AM73" s="247"/>
      <c r="AN73" s="247"/>
      <c r="AO73" s="247"/>
    </row>
    <row r="74" spans="1:41" s="10" customFormat="1" ht="16.5" customHeight="1">
      <c r="A74" s="673"/>
      <c r="B74" s="673"/>
      <c r="C74" s="244"/>
      <c r="D74" s="14"/>
      <c r="E74" s="675"/>
      <c r="F74" s="184"/>
      <c r="G74" s="245" t="s">
        <v>401</v>
      </c>
      <c r="H74" s="51">
        <f>SUM(于洪:武汉!H74)</f>
        <v>0</v>
      </c>
      <c r="I74" s="55">
        <f>SUM(于洪:武汉!I74)</f>
        <v>0</v>
      </c>
      <c r="J74" s="246" t="str">
        <f t="shared" si="20"/>
        <v/>
      </c>
      <c r="K74" s="55">
        <f>SUM(于洪:武汉!K74)</f>
        <v>58.49</v>
      </c>
      <c r="L74" s="112">
        <f t="shared" si="21"/>
        <v>-1</v>
      </c>
      <c r="M74" s="51">
        <f>SUM(于洪:武汉!M74)</f>
        <v>0</v>
      </c>
      <c r="N74" s="55">
        <f>SUM(于洪:武汉!N74)</f>
        <v>0</v>
      </c>
      <c r="O74" s="111" t="str">
        <f t="shared" si="22"/>
        <v/>
      </c>
      <c r="P74" s="55">
        <f>SUM(于洪:武汉!P74)</f>
        <v>58.49</v>
      </c>
      <c r="Q74" s="113">
        <f t="shared" si="23"/>
        <v>-1</v>
      </c>
      <c r="R74" s="57">
        <f>SUM(于洪:武汉!R74)</f>
        <v>0</v>
      </c>
      <c r="S74" s="603" t="str">
        <f t="shared" si="24"/>
        <v/>
      </c>
      <c r="T74" s="247"/>
      <c r="U74" s="247"/>
      <c r="V74" s="247"/>
      <c r="W74" s="247"/>
      <c r="X74" s="247"/>
      <c r="Y74" s="247"/>
      <c r="Z74" s="247"/>
      <c r="AA74" s="247"/>
      <c r="AB74" s="247"/>
      <c r="AC74" s="247"/>
      <c r="AD74" s="247"/>
      <c r="AE74" s="247"/>
      <c r="AF74" s="247"/>
      <c r="AG74" s="247"/>
      <c r="AH74" s="247"/>
      <c r="AI74" s="247"/>
      <c r="AJ74" s="247"/>
      <c r="AK74" s="247"/>
      <c r="AL74" s="247"/>
      <c r="AM74" s="247"/>
      <c r="AN74" s="247"/>
      <c r="AO74" s="247"/>
    </row>
    <row r="75" spans="1:41" s="10" customFormat="1" ht="16.5" customHeight="1">
      <c r="A75" s="673"/>
      <c r="B75" s="673"/>
      <c r="C75" s="244"/>
      <c r="D75" s="14"/>
      <c r="E75" s="675"/>
      <c r="F75" s="184"/>
      <c r="G75" s="245" t="s">
        <v>402</v>
      </c>
      <c r="H75" s="51">
        <f>SUM(于洪:武汉!H75)</f>
        <v>107780.19999999998</v>
      </c>
      <c r="I75" s="55">
        <f>SUM(于洪:武汉!I75)</f>
        <v>72610.28</v>
      </c>
      <c r="J75" s="246">
        <f t="shared" si="20"/>
        <v>0.48436557468171149</v>
      </c>
      <c r="K75" s="55">
        <f>SUM(于洪:武汉!K75)</f>
        <v>73412.75</v>
      </c>
      <c r="L75" s="112">
        <f t="shared" si="21"/>
        <v>0.46814007103670652</v>
      </c>
      <c r="M75" s="51">
        <f>SUM(于洪:武汉!M75)</f>
        <v>107780.19999999998</v>
      </c>
      <c r="N75" s="55">
        <f>SUM(于洪:武汉!N75)</f>
        <v>72610.28</v>
      </c>
      <c r="O75" s="111">
        <f t="shared" si="22"/>
        <v>0.48436557468171149</v>
      </c>
      <c r="P75" s="55">
        <f>SUM(于洪:武汉!P75)</f>
        <v>73412.75</v>
      </c>
      <c r="Q75" s="113">
        <f t="shared" si="23"/>
        <v>0.46814007103670652</v>
      </c>
      <c r="R75" s="57">
        <f>SUM(于洪:武汉!R75)</f>
        <v>916144.17999999993</v>
      </c>
      <c r="S75" s="603">
        <f t="shared" si="24"/>
        <v>-0.88235454380117329</v>
      </c>
      <c r="T75" s="247"/>
      <c r="U75" s="247"/>
      <c r="V75" s="247"/>
      <c r="W75" s="247"/>
      <c r="X75" s="247"/>
      <c r="Y75" s="247"/>
      <c r="Z75" s="247"/>
      <c r="AA75" s="247"/>
      <c r="AB75" s="247"/>
      <c r="AC75" s="247"/>
      <c r="AD75" s="247"/>
      <c r="AE75" s="247"/>
      <c r="AF75" s="247"/>
      <c r="AG75" s="247"/>
      <c r="AH75" s="247"/>
      <c r="AI75" s="247"/>
      <c r="AJ75" s="247"/>
      <c r="AK75" s="247"/>
      <c r="AL75" s="247"/>
      <c r="AM75" s="247"/>
      <c r="AN75" s="247"/>
      <c r="AO75" s="247"/>
    </row>
    <row r="76" spans="1:41" s="10" customFormat="1" ht="16.5" customHeight="1">
      <c r="A76" s="673"/>
      <c r="B76" s="673"/>
      <c r="C76" s="244"/>
      <c r="D76" s="14"/>
      <c r="E76" s="675"/>
      <c r="F76" s="184"/>
      <c r="G76" s="245" t="s">
        <v>403</v>
      </c>
      <c r="H76" s="51">
        <f>SUM(于洪:武汉!H76)</f>
        <v>71708.27</v>
      </c>
      <c r="I76" s="55">
        <f>SUM(于洪:武汉!I76)</f>
        <v>23583.96</v>
      </c>
      <c r="J76" s="246">
        <f t="shared" si="20"/>
        <v>2.040552561995526</v>
      </c>
      <c r="K76" s="55">
        <f>SUM(于洪:武汉!K76)</f>
        <v>103749.48999999999</v>
      </c>
      <c r="L76" s="112">
        <f t="shared" si="21"/>
        <v>-0.30883255426123046</v>
      </c>
      <c r="M76" s="51">
        <f>SUM(于洪:武汉!M76)</f>
        <v>71708.27</v>
      </c>
      <c r="N76" s="55">
        <f>SUM(于洪:武汉!N76)</f>
        <v>23583.96</v>
      </c>
      <c r="O76" s="111">
        <f t="shared" si="22"/>
        <v>2.040552561995526</v>
      </c>
      <c r="P76" s="55">
        <f>SUM(于洪:武汉!P76)</f>
        <v>103749.48999999999</v>
      </c>
      <c r="Q76" s="113">
        <f t="shared" si="23"/>
        <v>-0.30883255426123046</v>
      </c>
      <c r="R76" s="57">
        <f>SUM(于洪:武汉!R76)</f>
        <v>283007.52</v>
      </c>
      <c r="S76" s="603">
        <f t="shared" si="24"/>
        <v>-0.7466206198337062</v>
      </c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</row>
    <row r="77" spans="1:41" s="5" customFormat="1" ht="16.5" customHeight="1">
      <c r="A77" s="684"/>
      <c r="B77" s="684"/>
      <c r="C77" s="204"/>
      <c r="D77" s="200"/>
      <c r="E77" s="685"/>
      <c r="F77" s="184"/>
      <c r="G77" s="409" t="s">
        <v>404</v>
      </c>
      <c r="H77" s="394">
        <f>SUM(H69:H76)</f>
        <v>179488.46999999997</v>
      </c>
      <c r="I77" s="395">
        <f>SUM(I69:I76)</f>
        <v>96194.239999999991</v>
      </c>
      <c r="J77" s="410">
        <f t="shared" si="20"/>
        <v>0.86589623245632996</v>
      </c>
      <c r="K77" s="395">
        <f>SUM(K69:K76)</f>
        <v>177220.72999999998</v>
      </c>
      <c r="L77" s="397">
        <f t="shared" si="21"/>
        <v>1.2796132822610495E-2</v>
      </c>
      <c r="M77" s="394">
        <f>SUM(M69:M76)</f>
        <v>179488.46999999997</v>
      </c>
      <c r="N77" s="395">
        <f>SUM(N69:N76)</f>
        <v>96194.239999999991</v>
      </c>
      <c r="O77" s="396">
        <f t="shared" si="22"/>
        <v>0.86589623245632996</v>
      </c>
      <c r="P77" s="395">
        <f>SUM(P69:P76)</f>
        <v>177220.72999999998</v>
      </c>
      <c r="Q77" s="398">
        <f t="shared" si="23"/>
        <v>1.2796132822610495E-2</v>
      </c>
      <c r="R77" s="365">
        <f>SUM(R69:R76)</f>
        <v>1199151.7</v>
      </c>
      <c r="S77" s="622">
        <f t="shared" si="24"/>
        <v>-0.85032046404137196</v>
      </c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</row>
    <row r="78" spans="1:41" s="10" customFormat="1" ht="16.5" customHeight="1">
      <c r="A78" s="673"/>
      <c r="B78" s="673"/>
      <c r="C78" s="244"/>
      <c r="D78" s="14"/>
      <c r="E78" s="675"/>
      <c r="F78" s="184"/>
      <c r="G78" s="255" t="s">
        <v>405</v>
      </c>
      <c r="H78" s="230">
        <f>SUM(于洪:武汉!H78)</f>
        <v>0</v>
      </c>
      <c r="I78" s="227">
        <f>SUM(于洪:武汉!I78)</f>
        <v>0</v>
      </c>
      <c r="J78" s="256" t="str">
        <f t="shared" si="20"/>
        <v/>
      </c>
      <c r="K78" s="227">
        <f>SUM(于洪:武汉!K78)</f>
        <v>0</v>
      </c>
      <c r="L78" s="229" t="str">
        <f t="shared" si="21"/>
        <v/>
      </c>
      <c r="M78" s="230">
        <f>SUM(于洪:武汉!M78)</f>
        <v>0</v>
      </c>
      <c r="N78" s="227">
        <f>SUM(于洪:武汉!N78)</f>
        <v>0</v>
      </c>
      <c r="O78" s="228" t="str">
        <f t="shared" si="22"/>
        <v/>
      </c>
      <c r="P78" s="227">
        <f>SUM(于洪:武汉!P78)</f>
        <v>0</v>
      </c>
      <c r="Q78" s="231" t="str">
        <f t="shared" si="23"/>
        <v/>
      </c>
      <c r="R78" s="232">
        <f>SUM(于洪:武汉!R78)</f>
        <v>0</v>
      </c>
      <c r="S78" s="633" t="str">
        <f t="shared" si="24"/>
        <v/>
      </c>
      <c r="T78" s="247"/>
      <c r="U78" s="247"/>
      <c r="V78" s="247"/>
      <c r="W78" s="247"/>
      <c r="X78" s="247"/>
      <c r="Y78" s="247"/>
      <c r="Z78" s="247"/>
      <c r="AA78" s="247"/>
      <c r="AB78" s="247"/>
      <c r="AC78" s="247"/>
      <c r="AD78" s="247"/>
      <c r="AE78" s="247"/>
      <c r="AF78" s="247"/>
      <c r="AG78" s="247"/>
      <c r="AH78" s="247"/>
      <c r="AI78" s="247"/>
      <c r="AJ78" s="247"/>
      <c r="AK78" s="247"/>
      <c r="AL78" s="247"/>
      <c r="AM78" s="247"/>
      <c r="AN78" s="247"/>
      <c r="AO78" s="247"/>
    </row>
    <row r="79" spans="1:41" s="10" customFormat="1" ht="16.5" customHeight="1">
      <c r="A79" s="673"/>
      <c r="B79" s="673"/>
      <c r="C79" s="244"/>
      <c r="D79" s="14"/>
      <c r="E79" s="675"/>
      <c r="F79" s="184"/>
      <c r="G79" s="234" t="s">
        <v>372</v>
      </c>
      <c r="H79" s="51">
        <f>SUM(于洪:武汉!H79)</f>
        <v>0</v>
      </c>
      <c r="I79" s="55">
        <f>SUM(于洪:武汉!I79)</f>
        <v>0</v>
      </c>
      <c r="J79" s="246" t="str">
        <f t="shared" si="20"/>
        <v/>
      </c>
      <c r="K79" s="55">
        <f>SUM(于洪:武汉!K79)</f>
        <v>0</v>
      </c>
      <c r="L79" s="112" t="str">
        <f t="shared" si="21"/>
        <v/>
      </c>
      <c r="M79" s="51">
        <f>SUM(于洪:武汉!M79)</f>
        <v>0</v>
      </c>
      <c r="N79" s="55">
        <f>SUM(于洪:武汉!N79)</f>
        <v>0</v>
      </c>
      <c r="O79" s="111" t="str">
        <f t="shared" si="22"/>
        <v/>
      </c>
      <c r="P79" s="55">
        <f>SUM(于洪:武汉!P79)</f>
        <v>0</v>
      </c>
      <c r="Q79" s="113" t="str">
        <f t="shared" si="23"/>
        <v/>
      </c>
      <c r="R79" s="57">
        <f>SUM(于洪:武汉!R79)</f>
        <v>0</v>
      </c>
      <c r="S79" s="603" t="str">
        <f t="shared" si="24"/>
        <v/>
      </c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7"/>
      <c r="AL79" s="247"/>
      <c r="AM79" s="247"/>
      <c r="AN79" s="247"/>
      <c r="AO79" s="247"/>
    </row>
    <row r="80" spans="1:41" s="10" customFormat="1" ht="16.5" customHeight="1">
      <c r="A80" s="673"/>
      <c r="B80" s="673"/>
      <c r="C80" s="244"/>
      <c r="D80" s="14"/>
      <c r="E80" s="675"/>
      <c r="F80" s="184"/>
      <c r="G80" s="222" t="s">
        <v>373</v>
      </c>
      <c r="H80" s="51">
        <f>SUM(于洪:武汉!H80)</f>
        <v>0</v>
      </c>
      <c r="I80" s="55">
        <f>SUM(于洪:武汉!I80)</f>
        <v>0</v>
      </c>
      <c r="J80" s="246" t="str">
        <f t="shared" si="20"/>
        <v/>
      </c>
      <c r="K80" s="55">
        <f>SUM(于洪:武汉!K80)</f>
        <v>0</v>
      </c>
      <c r="L80" s="112" t="str">
        <f t="shared" si="21"/>
        <v/>
      </c>
      <c r="M80" s="51">
        <f>SUM(于洪:武汉!M80)</f>
        <v>0</v>
      </c>
      <c r="N80" s="55">
        <f>SUM(于洪:武汉!N80)</f>
        <v>0</v>
      </c>
      <c r="O80" s="111" t="str">
        <f t="shared" si="22"/>
        <v/>
      </c>
      <c r="P80" s="55">
        <f>SUM(于洪:武汉!P80)</f>
        <v>0</v>
      </c>
      <c r="Q80" s="113" t="str">
        <f t="shared" si="23"/>
        <v/>
      </c>
      <c r="R80" s="57">
        <f>SUM(于洪:武汉!R80)</f>
        <v>0</v>
      </c>
      <c r="S80" s="603" t="str">
        <f t="shared" si="24"/>
        <v/>
      </c>
      <c r="T80" s="247"/>
      <c r="U80" s="247"/>
      <c r="V80" s="247"/>
      <c r="W80" s="247"/>
      <c r="X80" s="247"/>
      <c r="Y80" s="247"/>
      <c r="Z80" s="247"/>
      <c r="AA80" s="247"/>
      <c r="AB80" s="247"/>
      <c r="AC80" s="247"/>
      <c r="AD80" s="247"/>
      <c r="AE80" s="247"/>
      <c r="AF80" s="247"/>
      <c r="AG80" s="247"/>
      <c r="AH80" s="247"/>
      <c r="AI80" s="247"/>
      <c r="AJ80" s="247"/>
      <c r="AK80" s="247"/>
      <c r="AL80" s="247"/>
      <c r="AM80" s="247"/>
      <c r="AN80" s="247"/>
      <c r="AO80" s="247"/>
    </row>
    <row r="81" spans="1:41" s="10" customFormat="1" ht="16.5" customHeight="1">
      <c r="A81" s="673"/>
      <c r="B81" s="673"/>
      <c r="C81" s="244"/>
      <c r="D81" s="14"/>
      <c r="E81" s="675"/>
      <c r="F81" s="184"/>
      <c r="G81" s="234" t="s">
        <v>406</v>
      </c>
      <c r="H81" s="51">
        <f>SUM(于洪:武汉!H81)</f>
        <v>29017.75</v>
      </c>
      <c r="I81" s="55">
        <f>SUM(于洪:武汉!I81)</f>
        <v>0</v>
      </c>
      <c r="J81" s="111" t="str">
        <f t="shared" si="20"/>
        <v/>
      </c>
      <c r="K81" s="55">
        <f>SUM(于洪:武汉!K81)</f>
        <v>34032.26</v>
      </c>
      <c r="L81" s="112">
        <f t="shared" si="21"/>
        <v>-0.14734578308933943</v>
      </c>
      <c r="M81" s="51">
        <f>SUM(于洪:武汉!M81)</f>
        <v>29017.75</v>
      </c>
      <c r="N81" s="55">
        <f>SUM(于洪:武汉!N81)</f>
        <v>0</v>
      </c>
      <c r="O81" s="111" t="str">
        <f t="shared" si="22"/>
        <v/>
      </c>
      <c r="P81" s="55">
        <f>SUM(于洪:武汉!P81)</f>
        <v>34032.26</v>
      </c>
      <c r="Q81" s="113">
        <f t="shared" si="23"/>
        <v>-0.14734578308933943</v>
      </c>
      <c r="R81" s="57">
        <f>SUM(于洪:武汉!R81)</f>
        <v>0</v>
      </c>
      <c r="S81" s="603" t="str">
        <f t="shared" si="24"/>
        <v/>
      </c>
      <c r="T81" s="247"/>
      <c r="U81" s="247"/>
      <c r="V81" s="247"/>
      <c r="W81" s="247"/>
      <c r="X81" s="247"/>
      <c r="Y81" s="247"/>
      <c r="Z81" s="247"/>
      <c r="AA81" s="247"/>
      <c r="AB81" s="247"/>
      <c r="AC81" s="247"/>
      <c r="AD81" s="247"/>
      <c r="AE81" s="247"/>
      <c r="AF81" s="247"/>
      <c r="AG81" s="247"/>
      <c r="AH81" s="247"/>
      <c r="AI81" s="247"/>
      <c r="AJ81" s="247"/>
      <c r="AK81" s="247"/>
      <c r="AL81" s="247"/>
      <c r="AM81" s="247"/>
      <c r="AN81" s="247"/>
      <c r="AO81" s="247"/>
    </row>
    <row r="82" spans="1:41" s="5" customFormat="1" ht="16.5" customHeight="1">
      <c r="A82" s="684"/>
      <c r="B82" s="684"/>
      <c r="C82" s="204"/>
      <c r="D82" s="200"/>
      <c r="E82" s="685"/>
      <c r="F82" s="184"/>
      <c r="G82" s="411" t="s">
        <v>407</v>
      </c>
      <c r="H82" s="368">
        <f>SUM(H78:H81)</f>
        <v>29017.75</v>
      </c>
      <c r="I82" s="369">
        <f>SUM(I78:I81)</f>
        <v>0</v>
      </c>
      <c r="J82" s="370" t="str">
        <f t="shared" si="20"/>
        <v/>
      </c>
      <c r="K82" s="369">
        <f>SUM(K78:K81)</f>
        <v>34032.26</v>
      </c>
      <c r="L82" s="371">
        <f t="shared" si="21"/>
        <v>-0.14734578308933943</v>
      </c>
      <c r="M82" s="368">
        <f>SUM(M78:M81)</f>
        <v>29017.75</v>
      </c>
      <c r="N82" s="369">
        <f>SUM(N78:N81)</f>
        <v>0</v>
      </c>
      <c r="O82" s="370" t="str">
        <f t="shared" si="22"/>
        <v/>
      </c>
      <c r="P82" s="369">
        <f>SUM(P78:P81)</f>
        <v>34032.26</v>
      </c>
      <c r="Q82" s="372">
        <f t="shared" si="23"/>
        <v>-0.14734578308933943</v>
      </c>
      <c r="R82" s="373">
        <f>SUM(R78:R81)</f>
        <v>0</v>
      </c>
      <c r="S82" s="623" t="str">
        <f t="shared" si="24"/>
        <v/>
      </c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</row>
    <row r="83" spans="1:41" s="5" customFormat="1" ht="16.5" customHeight="1">
      <c r="A83" s="684"/>
      <c r="B83" s="684"/>
      <c r="C83" s="204"/>
      <c r="D83" s="200"/>
      <c r="E83" s="685"/>
      <c r="F83" s="184"/>
      <c r="G83" s="412" t="s">
        <v>408</v>
      </c>
      <c r="H83" s="413">
        <f>H77-H82</f>
        <v>150470.71999999997</v>
      </c>
      <c r="I83" s="414">
        <f>I77-I82</f>
        <v>96194.239999999991</v>
      </c>
      <c r="J83" s="415">
        <f t="shared" si="20"/>
        <v>0.56423835772287401</v>
      </c>
      <c r="K83" s="414">
        <f>K77-K82</f>
        <v>143188.46999999997</v>
      </c>
      <c r="L83" s="416">
        <f t="shared" si="21"/>
        <v>5.0857796022263591E-2</v>
      </c>
      <c r="M83" s="413">
        <f>M77-M82</f>
        <v>150470.71999999997</v>
      </c>
      <c r="N83" s="414">
        <f>N77-N82</f>
        <v>96194.239999999991</v>
      </c>
      <c r="O83" s="415">
        <f t="shared" si="22"/>
        <v>0.56423835772287401</v>
      </c>
      <c r="P83" s="414">
        <f>P77-P82</f>
        <v>143188.46999999997</v>
      </c>
      <c r="Q83" s="417">
        <f t="shared" si="23"/>
        <v>5.0857796022263591E-2</v>
      </c>
      <c r="R83" s="418">
        <f>R77-R82</f>
        <v>1199151.7</v>
      </c>
      <c r="S83" s="638">
        <f t="shared" si="24"/>
        <v>-0.87451902874340259</v>
      </c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</row>
    <row r="84" spans="1:41" ht="16.5" customHeight="1">
      <c r="A84" s="673"/>
      <c r="B84" s="673"/>
      <c r="C84" s="674"/>
      <c r="D84" s="674"/>
      <c r="E84" s="675"/>
      <c r="F84" s="184"/>
      <c r="G84" s="257"/>
      <c r="H84" s="258"/>
      <c r="I84" s="258"/>
      <c r="J84" s="259"/>
      <c r="K84" s="258"/>
      <c r="L84" s="260"/>
      <c r="M84" s="258"/>
      <c r="N84" s="258"/>
      <c r="O84" s="259"/>
      <c r="P84" s="258"/>
      <c r="Q84" s="259"/>
      <c r="R84" s="261"/>
      <c r="S84" s="639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spans="1:41" ht="16.5" customHeight="1">
      <c r="A85" s="684"/>
      <c r="B85" s="684"/>
      <c r="C85" s="204"/>
      <c r="D85" s="200"/>
      <c r="E85" s="685"/>
      <c r="F85" s="184"/>
      <c r="G85" s="420" t="s">
        <v>409</v>
      </c>
      <c r="H85" s="421">
        <f>H43+H56+H77</f>
        <v>4097415.6099999994</v>
      </c>
      <c r="I85" s="422">
        <f>I43+I56+I77</f>
        <v>4483405.87</v>
      </c>
      <c r="J85" s="423">
        <f>IF(I85=0,"",H85/I85-1)</f>
        <v>-8.6093088868619549E-2</v>
      </c>
      <c r="K85" s="424">
        <f>K43+K56+K77</f>
        <v>5001951.2899999991</v>
      </c>
      <c r="L85" s="425">
        <f t="shared" si="21"/>
        <v>-0.18083656308456375</v>
      </c>
      <c r="M85" s="421">
        <f>M43+M56+M77</f>
        <v>4097415.6099999994</v>
      </c>
      <c r="N85" s="422">
        <f>N43+N56+N77</f>
        <v>4483405.87</v>
      </c>
      <c r="O85" s="423">
        <f>IF(N85=0,"",M85/N85-1)</f>
        <v>-8.6093088868619549E-2</v>
      </c>
      <c r="P85" s="424">
        <f>P43+P56+P77</f>
        <v>5001951.2899999991</v>
      </c>
      <c r="Q85" s="426">
        <f t="shared" si="23"/>
        <v>-0.18083656308456375</v>
      </c>
      <c r="R85" s="427">
        <f>R43+R56+R77</f>
        <v>65708705.730000004</v>
      </c>
      <c r="S85" s="640">
        <f t="shared" si="24"/>
        <v>-0.93764272839528351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spans="1:41" ht="16.5" customHeight="1">
      <c r="A86" s="684"/>
      <c r="B86" s="684"/>
      <c r="C86" s="204"/>
      <c r="D86" s="200"/>
      <c r="E86" s="685"/>
      <c r="F86" s="184"/>
      <c r="G86" s="429" t="s">
        <v>410</v>
      </c>
      <c r="H86" s="430">
        <f>H48+H65+H83</f>
        <v>1671017.4399999997</v>
      </c>
      <c r="I86" s="431">
        <f>I48+I65+I83</f>
        <v>1833496.87</v>
      </c>
      <c r="J86" s="432">
        <f>IF(I86=0,"",H86/I86-1)</f>
        <v>-8.8617238817539024E-2</v>
      </c>
      <c r="K86" s="433">
        <f>K48+K65+K83</f>
        <v>1825336.5299999998</v>
      </c>
      <c r="L86" s="434">
        <f t="shared" si="21"/>
        <v>-8.4542815784221514E-2</v>
      </c>
      <c r="M86" s="430">
        <f>M48+M65+M83</f>
        <v>1671017.4399999997</v>
      </c>
      <c r="N86" s="431">
        <f>N48+N65+N83</f>
        <v>1833496.87</v>
      </c>
      <c r="O86" s="432">
        <f>IF(N86=0,"",M86/N86-1)</f>
        <v>-8.8617238817539024E-2</v>
      </c>
      <c r="P86" s="433">
        <f>P48+P65+P83</f>
        <v>1825336.5299999998</v>
      </c>
      <c r="Q86" s="435">
        <f t="shared" si="23"/>
        <v>-8.4542815784221514E-2</v>
      </c>
      <c r="R86" s="436">
        <f>R48+R65+R83</f>
        <v>31121640.179999996</v>
      </c>
      <c r="S86" s="641">
        <f t="shared" si="24"/>
        <v>-0.94630689673374402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spans="1:41" s="555" customFormat="1" ht="16.5" customHeight="1">
      <c r="A87" s="584"/>
      <c r="B87" s="584"/>
      <c r="C87" s="581"/>
      <c r="D87" s="585"/>
      <c r="E87" s="586"/>
      <c r="F87" s="582"/>
      <c r="G87" s="642" t="s">
        <v>411</v>
      </c>
      <c r="H87" s="643">
        <f>IFERROR(H86/H85,0)</f>
        <v>0.40782229557621075</v>
      </c>
      <c r="I87" s="644">
        <f>IFERROR(I86/I85,0)</f>
        <v>0.4089517931598729</v>
      </c>
      <c r="J87" s="643">
        <f>IF(I87=0,"",H87/I87-1)</f>
        <v>-2.7619333196580165E-3</v>
      </c>
      <c r="K87" s="645">
        <f>IFERROR(K86/K85,0)</f>
        <v>0.3649248911418328</v>
      </c>
      <c r="L87" s="646">
        <f t="shared" si="21"/>
        <v>0.1175513248771658</v>
      </c>
      <c r="M87" s="643">
        <f>IFERROR(M86/M85,0)</f>
        <v>0.40782229557621075</v>
      </c>
      <c r="N87" s="644">
        <f>IFERROR(N86/N85,0)</f>
        <v>0.4089517931598729</v>
      </c>
      <c r="O87" s="643">
        <f>IF(N87=0,"",M87/N87-1)</f>
        <v>-2.7619333196580165E-3</v>
      </c>
      <c r="P87" s="645">
        <f>IFERROR(P86/P85,0)</f>
        <v>0.3649248911418328</v>
      </c>
      <c r="Q87" s="647">
        <f t="shared" si="23"/>
        <v>0.1175513248771658</v>
      </c>
      <c r="R87" s="648">
        <f>IFERROR(R86/R85,0)</f>
        <v>0.4736303939371474</v>
      </c>
      <c r="S87" s="649">
        <f t="shared" si="24"/>
        <v>-0.13894399346691766</v>
      </c>
      <c r="T87" s="570"/>
      <c r="U87" s="570"/>
      <c r="V87" s="570"/>
      <c r="W87" s="570"/>
      <c r="X87" s="570"/>
      <c r="Y87" s="574"/>
      <c r="Z87" s="574"/>
      <c r="AA87" s="574"/>
      <c r="AB87" s="574"/>
      <c r="AC87" s="574"/>
      <c r="AD87" s="574"/>
      <c r="AE87" s="574"/>
      <c r="AF87" s="574"/>
      <c r="AG87" s="574"/>
      <c r="AH87" s="574"/>
      <c r="AI87" s="574"/>
      <c r="AJ87" s="574"/>
      <c r="AK87" s="574"/>
      <c r="AL87" s="574"/>
      <c r="AM87" s="574"/>
      <c r="AN87" s="574"/>
      <c r="AO87" s="574"/>
    </row>
    <row r="88" spans="1:41" ht="16.5" customHeight="1">
      <c r="A88" s="673"/>
      <c r="B88" s="673"/>
      <c r="C88" s="674"/>
      <c r="D88" s="674"/>
      <c r="E88" s="675"/>
      <c r="F88" s="184"/>
      <c r="G88" s="266"/>
      <c r="H88" s="239"/>
      <c r="I88" s="239"/>
      <c r="J88" s="65"/>
      <c r="K88" s="239"/>
      <c r="L88" s="63"/>
      <c r="M88" s="239"/>
      <c r="N88" s="239"/>
      <c r="O88" s="65"/>
      <c r="P88" s="239"/>
      <c r="Q88" s="63"/>
      <c r="R88" s="239"/>
      <c r="S88" s="650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spans="1:41" ht="16.5" customHeight="1">
      <c r="A89" s="673"/>
      <c r="B89" s="673"/>
      <c r="C89" s="674"/>
      <c r="D89" s="674"/>
      <c r="E89" s="675"/>
      <c r="F89" s="184"/>
      <c r="G89" s="446" t="s">
        <v>412</v>
      </c>
      <c r="H89" s="268"/>
      <c r="I89" s="269"/>
      <c r="J89" s="270"/>
      <c r="K89" s="269"/>
      <c r="L89" s="271"/>
      <c r="M89" s="268"/>
      <c r="N89" s="269"/>
      <c r="O89" s="270"/>
      <c r="P89" s="269"/>
      <c r="Q89" s="270"/>
      <c r="R89" s="272"/>
      <c r="S89" s="651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spans="1:41" s="5" customFormat="1" ht="16.5" customHeight="1">
      <c r="A90" s="673"/>
      <c r="B90" s="673"/>
      <c r="C90" s="204"/>
      <c r="D90" s="221"/>
      <c r="E90" s="675"/>
      <c r="F90" s="184"/>
      <c r="G90" s="447" t="s">
        <v>413</v>
      </c>
      <c r="H90" s="448">
        <f>SUM(H91:H96)</f>
        <v>459211.1399999999</v>
      </c>
      <c r="I90" s="449">
        <f>SUM(I91:I96)</f>
        <v>533424.01</v>
      </c>
      <c r="J90" s="450">
        <f t="shared" ref="J90:J132" si="25">IF(I90=0,"",H90/I90-1)</f>
        <v>-0.13912547731025482</v>
      </c>
      <c r="K90" s="449">
        <f>SUM(K91:K96)</f>
        <v>573226.09</v>
      </c>
      <c r="L90" s="451">
        <f t="shared" ref="L90:L132" si="26">IF(K90=0,"",H90/K90-1)</f>
        <v>-0.19890048968287555</v>
      </c>
      <c r="M90" s="448">
        <f>SUM(M91:M96)</f>
        <v>459211.1399999999</v>
      </c>
      <c r="N90" s="449">
        <f>SUM(N91:N96)</f>
        <v>533424.01</v>
      </c>
      <c r="O90" s="450">
        <f t="shared" ref="O90:O132" si="27">IF(N90=0,"",M90/N90-1)</f>
        <v>-0.13912547731025482</v>
      </c>
      <c r="P90" s="452">
        <f>SUM(P91:P96)</f>
        <v>573226.09</v>
      </c>
      <c r="Q90" s="453">
        <f t="shared" ref="Q90:Q132" si="28">IF(P90=0,"",M90/P90-1)</f>
        <v>-0.19890048968287555</v>
      </c>
      <c r="R90" s="454">
        <f>SUM(R91:R96)</f>
        <v>6701091.8500000006</v>
      </c>
      <c r="S90" s="652">
        <f t="shared" ref="S90:S132" si="29">IF(R90=0,"",M90/R90-1)</f>
        <v>-0.93147219135639814</v>
      </c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</row>
    <row r="91" spans="1:41" ht="16.5" customHeight="1">
      <c r="A91" s="673"/>
      <c r="B91" s="673"/>
      <c r="C91" s="204"/>
      <c r="D91" s="221"/>
      <c r="E91" s="675"/>
      <c r="F91" s="184"/>
      <c r="G91" s="274" t="s">
        <v>372</v>
      </c>
      <c r="H91" s="60">
        <f>SUM(于洪:武汉!H91)</f>
        <v>233932.24</v>
      </c>
      <c r="I91" s="64">
        <f>SUM(于洪:武汉!I91)</f>
        <v>248386</v>
      </c>
      <c r="J91" s="251">
        <f t="shared" si="25"/>
        <v>-5.8190719283695569E-2</v>
      </c>
      <c r="K91" s="64">
        <f>SUM(于洪:武汉!K91)</f>
        <v>275133.71000000002</v>
      </c>
      <c r="L91" s="250">
        <f t="shared" si="26"/>
        <v>-0.14975071575198851</v>
      </c>
      <c r="M91" s="60">
        <f>SUM(于洪:武汉!M91)</f>
        <v>233932.24</v>
      </c>
      <c r="N91" s="64">
        <f>SUM(于洪:武汉!N91)</f>
        <v>248386</v>
      </c>
      <c r="O91" s="251">
        <f t="shared" si="27"/>
        <v>-5.8190719283695569E-2</v>
      </c>
      <c r="P91" s="61">
        <f>SUM(于洪:武汉!P91)</f>
        <v>275133.71000000002</v>
      </c>
      <c r="Q91" s="252">
        <f t="shared" si="28"/>
        <v>-0.14975071575198851</v>
      </c>
      <c r="R91" s="57">
        <f>SUM(于洪:武汉!R91)</f>
        <v>2980632</v>
      </c>
      <c r="S91" s="603">
        <f t="shared" si="29"/>
        <v>-0.92151589327364125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spans="1:41" ht="16.5" customHeight="1">
      <c r="A92" s="673"/>
      <c r="B92" s="673"/>
      <c r="C92" s="204"/>
      <c r="D92" s="221"/>
      <c r="E92" s="675"/>
      <c r="F92" s="184"/>
      <c r="G92" s="234" t="s">
        <v>373</v>
      </c>
      <c r="H92" s="51">
        <f>SUM(于洪:武汉!H92)</f>
        <v>141032.21</v>
      </c>
      <c r="I92" s="55">
        <f>SUM(于洪:武汉!I92)</f>
        <v>101259.26</v>
      </c>
      <c r="J92" s="111">
        <f t="shared" si="25"/>
        <v>0.39278333655608377</v>
      </c>
      <c r="K92" s="55">
        <f>SUM(于洪:武汉!K92)</f>
        <v>161138.31</v>
      </c>
      <c r="L92" s="112">
        <f t="shared" si="26"/>
        <v>-0.1247754180864874</v>
      </c>
      <c r="M92" s="51">
        <f>SUM(于洪:武汉!M92)</f>
        <v>141032.21</v>
      </c>
      <c r="N92" s="55">
        <f>SUM(于洪:武汉!N92)</f>
        <v>101259.26</v>
      </c>
      <c r="O92" s="111">
        <f t="shared" si="27"/>
        <v>0.39278333655608377</v>
      </c>
      <c r="P92" s="52">
        <f>SUM(于洪:武汉!P92)</f>
        <v>161138.31</v>
      </c>
      <c r="Q92" s="113">
        <f t="shared" si="28"/>
        <v>-0.1247754180864874</v>
      </c>
      <c r="R92" s="57">
        <f>SUM(于洪:武汉!R92)</f>
        <v>1436311.2000000002</v>
      </c>
      <c r="S92" s="603">
        <f t="shared" si="29"/>
        <v>-0.90180943377730394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spans="1:41" ht="16.5" customHeight="1">
      <c r="A93" s="673"/>
      <c r="B93" s="673"/>
      <c r="C93" s="204"/>
      <c r="D93" s="221"/>
      <c r="E93" s="675"/>
      <c r="F93" s="184"/>
      <c r="G93" s="274" t="s">
        <v>406</v>
      </c>
      <c r="H93" s="60">
        <f>SUM(于洪:武汉!H93)</f>
        <v>64006.94</v>
      </c>
      <c r="I93" s="64">
        <f>SUM(于洪:武汉!I93)</f>
        <v>159269.37</v>
      </c>
      <c r="J93" s="251">
        <f t="shared" si="25"/>
        <v>-0.59812147181846709</v>
      </c>
      <c r="K93" s="64">
        <f>SUM(于洪:武汉!K93)</f>
        <v>127248.68</v>
      </c>
      <c r="L93" s="250">
        <f t="shared" si="26"/>
        <v>-0.49699328904629891</v>
      </c>
      <c r="M93" s="60">
        <f>SUM(于洪:武汉!M93)</f>
        <v>64006.94</v>
      </c>
      <c r="N93" s="64">
        <f>SUM(于洪:武汉!N93)</f>
        <v>159269.37</v>
      </c>
      <c r="O93" s="251">
        <f t="shared" si="27"/>
        <v>-0.59812147181846709</v>
      </c>
      <c r="P93" s="61">
        <f>SUM(于洪:武汉!P93)</f>
        <v>127248.68</v>
      </c>
      <c r="Q93" s="252">
        <f t="shared" si="28"/>
        <v>-0.49699328904629891</v>
      </c>
      <c r="R93" s="57">
        <f>SUM(于洪:武汉!R93)</f>
        <v>1843723.93</v>
      </c>
      <c r="S93" s="603">
        <f t="shared" si="29"/>
        <v>-0.96528388065126436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spans="1:41" ht="16.5" customHeight="1">
      <c r="A94" s="673"/>
      <c r="B94" s="673"/>
      <c r="C94" s="204"/>
      <c r="D94" s="221"/>
      <c r="E94" s="675"/>
      <c r="F94" s="184"/>
      <c r="G94" s="234" t="s">
        <v>414</v>
      </c>
      <c r="H94" s="51">
        <f>SUM(于洪:武汉!H94)</f>
        <v>5868.62</v>
      </c>
      <c r="I94" s="55">
        <f>SUM(于洪:武汉!I94)</f>
        <v>7767.79</v>
      </c>
      <c r="J94" s="111">
        <f t="shared" si="25"/>
        <v>-0.24449296389320518</v>
      </c>
      <c r="K94" s="55">
        <f>SUM(于洪:武汉!K94)</f>
        <v>6672.75</v>
      </c>
      <c r="L94" s="112">
        <f t="shared" si="26"/>
        <v>-0.12050953504926754</v>
      </c>
      <c r="M94" s="51">
        <f>SUM(于洪:武汉!M94)</f>
        <v>5868.62</v>
      </c>
      <c r="N94" s="55">
        <f>SUM(于洪:武汉!N94)</f>
        <v>7767.79</v>
      </c>
      <c r="O94" s="111">
        <f t="shared" si="27"/>
        <v>-0.24449296389320518</v>
      </c>
      <c r="P94" s="52">
        <f>SUM(于洪:武汉!P94)</f>
        <v>6672.75</v>
      </c>
      <c r="Q94" s="113">
        <f t="shared" si="28"/>
        <v>-0.12050953504926754</v>
      </c>
      <c r="R94" s="57">
        <f>SUM(于洪:武汉!R94)</f>
        <v>101344.86</v>
      </c>
      <c r="S94" s="603">
        <f t="shared" si="29"/>
        <v>-0.9420925738118342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spans="1:41" ht="16.5" customHeight="1">
      <c r="A95" s="673"/>
      <c r="B95" s="673"/>
      <c r="C95" s="204"/>
      <c r="D95" s="221"/>
      <c r="E95" s="675"/>
      <c r="F95" s="184"/>
      <c r="G95" s="274" t="s">
        <v>415</v>
      </c>
      <c r="H95" s="60">
        <f>SUM(于洪:武汉!H95)</f>
        <v>9972.16</v>
      </c>
      <c r="I95" s="64">
        <f>SUM(于洪:武汉!I95)</f>
        <v>3500</v>
      </c>
      <c r="J95" s="251">
        <f t="shared" si="25"/>
        <v>1.8491885714285714</v>
      </c>
      <c r="K95" s="64">
        <f>SUM(于洪:武汉!K95)</f>
        <v>-1990.96</v>
      </c>
      <c r="L95" s="250">
        <f t="shared" si="26"/>
        <v>-6.0087194117410698</v>
      </c>
      <c r="M95" s="60">
        <f>SUM(于洪:武汉!M95)</f>
        <v>9972.16</v>
      </c>
      <c r="N95" s="64">
        <f>SUM(于洪:武汉!N95)</f>
        <v>3500</v>
      </c>
      <c r="O95" s="251">
        <f t="shared" si="27"/>
        <v>1.8491885714285714</v>
      </c>
      <c r="P95" s="61">
        <f>SUM(于洪:武汉!P95)</f>
        <v>-1990.96</v>
      </c>
      <c r="Q95" s="252">
        <f t="shared" si="28"/>
        <v>-6.0087194117410698</v>
      </c>
      <c r="R95" s="57">
        <f>SUM(于洪:武汉!R95)</f>
        <v>164000</v>
      </c>
      <c r="S95" s="603">
        <f t="shared" si="29"/>
        <v>-0.93919414634146337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spans="1:41" ht="16.5" customHeight="1">
      <c r="A96" s="673"/>
      <c r="B96" s="673"/>
      <c r="C96" s="204"/>
      <c r="D96" s="221"/>
      <c r="E96" s="675"/>
      <c r="F96" s="184"/>
      <c r="G96" s="234" t="s">
        <v>416</v>
      </c>
      <c r="H96" s="51">
        <f>SUM(于洪:武汉!H96)</f>
        <v>4398.9699999999993</v>
      </c>
      <c r="I96" s="55">
        <f>SUM(于洪:武汉!I96)</f>
        <v>13241.59</v>
      </c>
      <c r="J96" s="111">
        <f t="shared" si="25"/>
        <v>-0.66779140571487261</v>
      </c>
      <c r="K96" s="55">
        <f>SUM(于洪:武汉!K96)</f>
        <v>5023.5999999999995</v>
      </c>
      <c r="L96" s="112">
        <f t="shared" si="26"/>
        <v>-0.12433911935663666</v>
      </c>
      <c r="M96" s="51">
        <f>SUM(于洪:武汉!M96)</f>
        <v>4398.9699999999993</v>
      </c>
      <c r="N96" s="55">
        <f>SUM(于洪:武汉!N96)</f>
        <v>13241.59</v>
      </c>
      <c r="O96" s="111">
        <f t="shared" si="27"/>
        <v>-0.66779140571487261</v>
      </c>
      <c r="P96" s="52">
        <f>SUM(于洪:武汉!P96)</f>
        <v>5023.5999999999995</v>
      </c>
      <c r="Q96" s="113">
        <f t="shared" si="28"/>
        <v>-0.12433911935663666</v>
      </c>
      <c r="R96" s="57">
        <f>SUM(于洪:武汉!R96)</f>
        <v>175079.86000000002</v>
      </c>
      <c r="S96" s="603">
        <f t="shared" si="29"/>
        <v>-0.9748744944164337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spans="1:41" s="5" customFormat="1" ht="16.5" customHeight="1">
      <c r="A97" s="686"/>
      <c r="B97" s="686"/>
      <c r="C97" s="204"/>
      <c r="D97" s="221"/>
      <c r="E97" s="687"/>
      <c r="F97" s="184"/>
      <c r="G97" s="456" t="s">
        <v>417</v>
      </c>
      <c r="H97" s="457">
        <f>SUM(H98:H100)</f>
        <v>295644.75</v>
      </c>
      <c r="I97" s="458">
        <f>SUM(I98:I100)</f>
        <v>335564.33999999997</v>
      </c>
      <c r="J97" s="459">
        <f t="shared" si="25"/>
        <v>-0.11896255126513133</v>
      </c>
      <c r="K97" s="458">
        <f>SUM(K98:K100)</f>
        <v>350947.9</v>
      </c>
      <c r="L97" s="460">
        <f t="shared" si="26"/>
        <v>-0.15758222231846952</v>
      </c>
      <c r="M97" s="457">
        <f>SUM(M98:M100)</f>
        <v>295644.75</v>
      </c>
      <c r="N97" s="458">
        <f>SUM(N98:N100)</f>
        <v>335564.33999999997</v>
      </c>
      <c r="O97" s="459">
        <f t="shared" si="27"/>
        <v>-0.11896255126513133</v>
      </c>
      <c r="P97" s="461">
        <f>SUM(P98:P100)</f>
        <v>350947.9</v>
      </c>
      <c r="Q97" s="462">
        <f t="shared" si="28"/>
        <v>-0.15758222231846952</v>
      </c>
      <c r="R97" s="454">
        <f>SUM(R98:R100)</f>
        <v>4274544.87</v>
      </c>
      <c r="S97" s="652">
        <f t="shared" si="29"/>
        <v>-0.93083596991227746</v>
      </c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</row>
    <row r="98" spans="1:41" ht="16.5" customHeight="1">
      <c r="A98" s="673"/>
      <c r="B98" s="673"/>
      <c r="C98" s="204"/>
      <c r="D98" s="221"/>
      <c r="E98" s="675"/>
      <c r="F98" s="184"/>
      <c r="G98" s="234" t="s">
        <v>372</v>
      </c>
      <c r="H98" s="51">
        <f>SUM(于洪:武汉!H98)</f>
        <v>202537.56</v>
      </c>
      <c r="I98" s="55">
        <f>SUM(于洪:武汉!I98)</f>
        <v>226919</v>
      </c>
      <c r="J98" s="111">
        <f t="shared" si="25"/>
        <v>-0.10744556427623952</v>
      </c>
      <c r="K98" s="55">
        <f>SUM(于洪:武汉!K98)</f>
        <v>220682.95</v>
      </c>
      <c r="L98" s="112">
        <f t="shared" si="26"/>
        <v>-8.2223796627696077E-2</v>
      </c>
      <c r="M98" s="51">
        <f>SUM(于洪:武汉!M98)</f>
        <v>202537.56</v>
      </c>
      <c r="N98" s="55">
        <f>SUM(于洪:武汉!N98)</f>
        <v>226919</v>
      </c>
      <c r="O98" s="111">
        <f t="shared" si="27"/>
        <v>-0.10744556427623952</v>
      </c>
      <c r="P98" s="52">
        <f>SUM(于洪:武汉!P98)</f>
        <v>220682.95</v>
      </c>
      <c r="Q98" s="113">
        <f t="shared" si="28"/>
        <v>-8.2223796627696077E-2</v>
      </c>
      <c r="R98" s="57">
        <f>SUM(于洪:武汉!R98)</f>
        <v>2723028</v>
      </c>
      <c r="S98" s="603">
        <f t="shared" si="29"/>
        <v>-0.92562046368968665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spans="1:41" ht="16.5" customHeight="1">
      <c r="A99" s="673"/>
      <c r="B99" s="673"/>
      <c r="C99" s="204"/>
      <c r="D99" s="221"/>
      <c r="E99" s="675"/>
      <c r="F99" s="184"/>
      <c r="G99" s="274" t="s">
        <v>373</v>
      </c>
      <c r="H99" s="60">
        <f>SUM(于洪:武汉!H99)</f>
        <v>51921.29</v>
      </c>
      <c r="I99" s="64">
        <f>SUM(于洪:武汉!I99)</f>
        <v>50818.25</v>
      </c>
      <c r="J99" s="251">
        <f t="shared" si="25"/>
        <v>2.1705588051536662E-2</v>
      </c>
      <c r="K99" s="64">
        <f>SUM(于洪:武汉!K99)</f>
        <v>62557.540000000008</v>
      </c>
      <c r="L99" s="250">
        <f t="shared" si="26"/>
        <v>-0.170023469592954</v>
      </c>
      <c r="M99" s="60">
        <f>SUM(于洪:武汉!M99)</f>
        <v>51921.29</v>
      </c>
      <c r="N99" s="64">
        <f>SUM(于洪:武汉!N99)</f>
        <v>50818.25</v>
      </c>
      <c r="O99" s="251">
        <f t="shared" si="27"/>
        <v>2.1705588051536662E-2</v>
      </c>
      <c r="P99" s="61">
        <f>SUM(于洪:武汉!P99)</f>
        <v>62557.540000000008</v>
      </c>
      <c r="Q99" s="252">
        <f t="shared" si="28"/>
        <v>-0.170023469592954</v>
      </c>
      <c r="R99" s="57">
        <f>SUM(于洪:武汉!R99)</f>
        <v>609819</v>
      </c>
      <c r="S99" s="603">
        <f t="shared" si="29"/>
        <v>-0.91485786766237198</v>
      </c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spans="1:41" ht="16.5" customHeight="1">
      <c r="A100" s="673"/>
      <c r="B100" s="673"/>
      <c r="C100" s="204"/>
      <c r="D100" s="221"/>
      <c r="E100" s="675"/>
      <c r="F100" s="184"/>
      <c r="G100" s="234" t="s">
        <v>406</v>
      </c>
      <c r="H100" s="51">
        <f>SUM(于洪:武汉!H100)</f>
        <v>41185.9</v>
      </c>
      <c r="I100" s="55">
        <f>SUM(于洪:武汉!I100)</f>
        <v>57827.09</v>
      </c>
      <c r="J100" s="111">
        <f t="shared" si="25"/>
        <v>-0.28777498573765337</v>
      </c>
      <c r="K100" s="55">
        <f>SUM(于洪:武汉!K100)</f>
        <v>67707.41</v>
      </c>
      <c r="L100" s="112">
        <f t="shared" si="26"/>
        <v>-0.39170764322546081</v>
      </c>
      <c r="M100" s="51">
        <f>SUM(于洪:武汉!M100)</f>
        <v>41185.9</v>
      </c>
      <c r="N100" s="55">
        <f>SUM(于洪:武汉!N100)</f>
        <v>57827.09</v>
      </c>
      <c r="O100" s="111">
        <f t="shared" si="27"/>
        <v>-0.28777498573765337</v>
      </c>
      <c r="P100" s="52">
        <f>SUM(于洪:武汉!P100)</f>
        <v>67707.41</v>
      </c>
      <c r="Q100" s="113">
        <f t="shared" si="28"/>
        <v>-0.39170764322546081</v>
      </c>
      <c r="R100" s="57">
        <f>SUM(于洪:武汉!R100)</f>
        <v>941697.87</v>
      </c>
      <c r="S100" s="603">
        <f t="shared" si="29"/>
        <v>-0.95626421030345965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spans="1:41" s="5" customFormat="1" ht="16.5" customHeight="1">
      <c r="A101" s="686"/>
      <c r="B101" s="686"/>
      <c r="C101" s="204"/>
      <c r="D101" s="221"/>
      <c r="E101" s="687"/>
      <c r="F101" s="184"/>
      <c r="G101" s="463" t="s">
        <v>418</v>
      </c>
      <c r="H101" s="457">
        <f>SUM(于洪:武汉!H101)</f>
        <v>1210174.25</v>
      </c>
      <c r="I101" s="458">
        <f>SUM(于洪:武汉!I101)</f>
        <v>1038883.94</v>
      </c>
      <c r="J101" s="464">
        <f t="shared" si="25"/>
        <v>0.16487915868638803</v>
      </c>
      <c r="K101" s="458">
        <f>SUM(于洪:武汉!K101)</f>
        <v>1207855.5499999998</v>
      </c>
      <c r="L101" s="465">
        <f t="shared" si="26"/>
        <v>1.9196831939052306E-3</v>
      </c>
      <c r="M101" s="457">
        <f>SUM(于洪:武汉!M101)</f>
        <v>1210174.25</v>
      </c>
      <c r="N101" s="458">
        <f>SUM(于洪:武汉!N101)</f>
        <v>1038883.94</v>
      </c>
      <c r="O101" s="464">
        <f t="shared" si="27"/>
        <v>0.16487915868638803</v>
      </c>
      <c r="P101" s="461">
        <f>SUM(于洪:武汉!P101)</f>
        <v>1207855.5499999998</v>
      </c>
      <c r="Q101" s="466">
        <f t="shared" si="28"/>
        <v>1.9196831939052306E-3</v>
      </c>
      <c r="R101" s="454">
        <f>SUM(于洪:武汉!R101)</f>
        <v>8857093.7400000002</v>
      </c>
      <c r="S101" s="652">
        <f t="shared" si="29"/>
        <v>-0.86336666568914511</v>
      </c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</row>
    <row r="102" spans="1:41" s="5" customFormat="1" ht="16.5" customHeight="1">
      <c r="A102" s="686"/>
      <c r="B102" s="686"/>
      <c r="C102" s="204"/>
      <c r="D102" s="221"/>
      <c r="E102" s="687"/>
      <c r="F102" s="184"/>
      <c r="G102" s="456" t="s">
        <v>419</v>
      </c>
      <c r="H102" s="448">
        <f>SUM(于洪:武汉!H102)</f>
        <v>352968.21</v>
      </c>
      <c r="I102" s="449">
        <f>SUM(于洪:武汉!I102)</f>
        <v>394055.51</v>
      </c>
      <c r="J102" s="467">
        <f t="shared" si="25"/>
        <v>-0.10426779719435975</v>
      </c>
      <c r="K102" s="449">
        <f>SUM(于洪:武汉!K102)</f>
        <v>405434.32</v>
      </c>
      <c r="L102" s="468">
        <f t="shared" si="26"/>
        <v>-0.12940717500185972</v>
      </c>
      <c r="M102" s="448">
        <f>SUM(于洪:武汉!M102)</f>
        <v>352968.21</v>
      </c>
      <c r="N102" s="469">
        <f>SUM(于洪:武汉!N102)</f>
        <v>394055.51</v>
      </c>
      <c r="O102" s="467">
        <f t="shared" si="27"/>
        <v>-0.10426779719435975</v>
      </c>
      <c r="P102" s="469">
        <f>SUM(于洪:武汉!P102)</f>
        <v>405434.32</v>
      </c>
      <c r="Q102" s="470">
        <f t="shared" si="28"/>
        <v>-0.12940717500185972</v>
      </c>
      <c r="R102" s="454">
        <f>SUM(于洪:武汉!R102)</f>
        <v>5261659.04</v>
      </c>
      <c r="S102" s="652">
        <f t="shared" si="29"/>
        <v>-0.93291693602404158</v>
      </c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</row>
    <row r="103" spans="1:41" ht="16.5" customHeight="1">
      <c r="A103" s="673"/>
      <c r="B103" s="673"/>
      <c r="C103" s="204"/>
      <c r="D103" s="221"/>
      <c r="E103" s="675"/>
      <c r="F103" s="184"/>
      <c r="G103" s="277" t="s">
        <v>372</v>
      </c>
      <c r="H103" s="60">
        <f>SUM(于洪:武汉!H103)</f>
        <v>167237.12</v>
      </c>
      <c r="I103" s="64">
        <f>SUM(于洪:武汉!I103)</f>
        <v>184791.98</v>
      </c>
      <c r="J103" s="251">
        <f t="shared" si="25"/>
        <v>-9.4997953915532563E-2</v>
      </c>
      <c r="K103" s="64">
        <f>SUM(于洪:武汉!K103)</f>
        <v>199115.81</v>
      </c>
      <c r="L103" s="250">
        <f t="shared" si="26"/>
        <v>-0.16010124961950534</v>
      </c>
      <c r="M103" s="60">
        <f>SUM(于洪:武汉!M103)</f>
        <v>167237.12</v>
      </c>
      <c r="N103" s="64">
        <f>SUM(于洪:武汉!N103)</f>
        <v>184791.98</v>
      </c>
      <c r="O103" s="251">
        <f t="shared" si="27"/>
        <v>-9.4997953915532563E-2</v>
      </c>
      <c r="P103" s="61">
        <f>SUM(于洪:武汉!P103)</f>
        <v>199115.81</v>
      </c>
      <c r="Q103" s="252">
        <f t="shared" si="28"/>
        <v>-0.16010124961950534</v>
      </c>
      <c r="R103" s="57">
        <f>SUM(于洪:武汉!R103)</f>
        <v>2240303.7599999998</v>
      </c>
      <c r="S103" s="603">
        <f t="shared" si="29"/>
        <v>-0.92535069440761908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spans="1:41" ht="16.5" customHeight="1">
      <c r="A104" s="673"/>
      <c r="B104" s="673"/>
      <c r="C104" s="204"/>
      <c r="D104" s="221"/>
      <c r="E104" s="675"/>
      <c r="F104" s="184"/>
      <c r="G104" s="234" t="s">
        <v>373</v>
      </c>
      <c r="H104" s="51">
        <f>SUM(于洪:武汉!H104)</f>
        <v>75049.01999999999</v>
      </c>
      <c r="I104" s="55">
        <f>SUM(于洪:武汉!I104)</f>
        <v>94000.94</v>
      </c>
      <c r="J104" s="111">
        <f t="shared" si="25"/>
        <v>-0.2016141540712254</v>
      </c>
      <c r="K104" s="55">
        <f>SUM(于洪:武汉!K104)</f>
        <v>89847.069999999992</v>
      </c>
      <c r="L104" s="112">
        <f t="shared" si="26"/>
        <v>-0.1647026441708116</v>
      </c>
      <c r="M104" s="51">
        <f>SUM(于洪:武汉!M104)</f>
        <v>75049.01999999999</v>
      </c>
      <c r="N104" s="55">
        <f>SUM(于洪:武汉!N104)</f>
        <v>94000.94</v>
      </c>
      <c r="O104" s="111">
        <f t="shared" si="27"/>
        <v>-0.2016141540712254</v>
      </c>
      <c r="P104" s="52">
        <f>SUM(于洪:武汉!P104)</f>
        <v>89847.069999999992</v>
      </c>
      <c r="Q104" s="113">
        <f t="shared" si="28"/>
        <v>-0.1647026441708116</v>
      </c>
      <c r="R104" s="57">
        <f>SUM(于洪:武汉!R104)</f>
        <v>1140931.28</v>
      </c>
      <c r="S104" s="603">
        <f t="shared" si="29"/>
        <v>-0.93422126177485465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spans="1:41" ht="16.5" customHeight="1">
      <c r="A105" s="673"/>
      <c r="B105" s="673"/>
      <c r="C105" s="204"/>
      <c r="D105" s="221"/>
      <c r="E105" s="675"/>
      <c r="F105" s="184"/>
      <c r="G105" s="274" t="s">
        <v>406</v>
      </c>
      <c r="H105" s="60">
        <f>SUM(于洪:武汉!H105)</f>
        <v>110682.07</v>
      </c>
      <c r="I105" s="64">
        <f>SUM(于洪:武汉!I105)</f>
        <v>115262.59</v>
      </c>
      <c r="J105" s="251">
        <f t="shared" si="25"/>
        <v>-3.9739867028842468E-2</v>
      </c>
      <c r="K105" s="64">
        <f>SUM(于洪:武汉!K105)</f>
        <v>116471.44</v>
      </c>
      <c r="L105" s="250">
        <f t="shared" si="26"/>
        <v>-4.9706348612157614E-2</v>
      </c>
      <c r="M105" s="60">
        <f>SUM(于洪:武汉!M105)</f>
        <v>110682.07</v>
      </c>
      <c r="N105" s="278">
        <f>SUM(于洪:武汉!N105)</f>
        <v>115262.59</v>
      </c>
      <c r="O105" s="251">
        <f t="shared" si="27"/>
        <v>-3.9739867028842468E-2</v>
      </c>
      <c r="P105" s="61">
        <f>SUM(于洪:武汉!P105)</f>
        <v>116471.44</v>
      </c>
      <c r="Q105" s="252">
        <f t="shared" si="28"/>
        <v>-4.9706348612157614E-2</v>
      </c>
      <c r="R105" s="57">
        <f>SUM(于洪:武汉!R105)</f>
        <v>1880424</v>
      </c>
      <c r="S105" s="603">
        <f t="shared" si="29"/>
        <v>-0.94113983335673235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spans="1:41" s="5" customFormat="1" ht="16.5" customHeight="1">
      <c r="A106" s="684"/>
      <c r="B106" s="684"/>
      <c r="C106" s="204"/>
      <c r="D106" s="200"/>
      <c r="E106" s="685"/>
      <c r="F106" s="184"/>
      <c r="G106" s="399" t="s">
        <v>420</v>
      </c>
      <c r="H106" s="368">
        <f>SUM(于洪:武汉!H106)</f>
        <v>2317998.35</v>
      </c>
      <c r="I106" s="369">
        <f>SUM(于洪:武汉!I106)</f>
        <v>2301927.7999999998</v>
      </c>
      <c r="J106" s="370">
        <f t="shared" si="25"/>
        <v>6.9813440716952613E-3</v>
      </c>
      <c r="K106" s="369">
        <f>SUM(于洪:武汉!K106)</f>
        <v>2537463.86</v>
      </c>
      <c r="L106" s="371">
        <f t="shared" si="26"/>
        <v>-8.6490102759532395E-2</v>
      </c>
      <c r="M106" s="368">
        <f>SUM(于洪:武汉!M106)</f>
        <v>2317998.35</v>
      </c>
      <c r="N106" s="369">
        <f>SUM(于洪:武汉!N106)</f>
        <v>2301927.7999999998</v>
      </c>
      <c r="O106" s="370">
        <f t="shared" si="27"/>
        <v>6.9813440716952613E-3</v>
      </c>
      <c r="P106" s="369">
        <f>SUM(于洪:武汉!P106)</f>
        <v>2537463.86</v>
      </c>
      <c r="Q106" s="372">
        <f t="shared" si="28"/>
        <v>-8.6490102759532395E-2</v>
      </c>
      <c r="R106" s="373">
        <f>SUM(于洪:武汉!R106)</f>
        <v>25094389.5</v>
      </c>
      <c r="S106" s="623">
        <f t="shared" si="29"/>
        <v>-0.90762882077685136</v>
      </c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</row>
    <row r="107" spans="1:41" s="557" customFormat="1" ht="16.5" customHeight="1">
      <c r="A107" s="564"/>
      <c r="B107" s="564"/>
      <c r="C107" s="581"/>
      <c r="D107" s="587"/>
      <c r="E107" s="566"/>
      <c r="F107" s="582"/>
      <c r="G107" s="588" t="s">
        <v>421</v>
      </c>
      <c r="H107" s="653">
        <f>IFERROR(H106/H85,0)</f>
        <v>0.56572204790326375</v>
      </c>
      <c r="I107" s="654">
        <f>IFERROR(I106/I85,0)</f>
        <v>0.51343283805800066</v>
      </c>
      <c r="J107" s="111">
        <f t="shared" si="25"/>
        <v>0.10184235594092672</v>
      </c>
      <c r="K107" s="654">
        <f>IFERROR(K106/K85,0)</f>
        <v>0.5072947961474451</v>
      </c>
      <c r="L107" s="112">
        <f t="shared" si="26"/>
        <v>0.1151741594818898</v>
      </c>
      <c r="M107" s="653">
        <f>IFERROR(M106/M85,0)</f>
        <v>0.56572204790326375</v>
      </c>
      <c r="N107" s="654">
        <f>IFERROR(N106/N85,0)</f>
        <v>0.51343283805800066</v>
      </c>
      <c r="O107" s="111">
        <f t="shared" si="27"/>
        <v>0.10184235594092672</v>
      </c>
      <c r="P107" s="654">
        <f>IFERROR(P106/P85,0)</f>
        <v>0.5072947961474451</v>
      </c>
      <c r="Q107" s="113">
        <f t="shared" si="28"/>
        <v>0.1151741594818898</v>
      </c>
      <c r="R107" s="589">
        <f>IFERROR(R106/R85,0)</f>
        <v>0.38190357306859707</v>
      </c>
      <c r="S107" s="655">
        <f t="shared" si="29"/>
        <v>0.48132169426351346</v>
      </c>
      <c r="T107" s="570"/>
      <c r="U107" s="570"/>
      <c r="V107" s="570"/>
      <c r="W107" s="570"/>
      <c r="X107" s="570"/>
      <c r="Y107" s="570"/>
      <c r="Z107" s="570"/>
      <c r="AA107" s="570"/>
      <c r="AB107" s="570"/>
      <c r="AC107" s="570"/>
      <c r="AD107" s="570"/>
      <c r="AE107" s="570"/>
      <c r="AF107" s="570"/>
      <c r="AG107" s="570"/>
      <c r="AH107" s="570"/>
      <c r="AI107" s="570"/>
      <c r="AJ107" s="570"/>
      <c r="AK107" s="570"/>
      <c r="AL107" s="570"/>
      <c r="AM107" s="570"/>
      <c r="AN107" s="570"/>
      <c r="AO107" s="570"/>
    </row>
    <row r="108" spans="1:41" s="3" customFormat="1" ht="16.5" customHeight="1">
      <c r="A108" s="684"/>
      <c r="B108" s="684"/>
      <c r="C108" s="221"/>
      <c r="D108" s="221"/>
      <c r="E108" s="685"/>
      <c r="F108" s="184"/>
      <c r="G108" s="471" t="s">
        <v>422</v>
      </c>
      <c r="H108" s="472">
        <f>H86-H106</f>
        <v>-646980.91000000038</v>
      </c>
      <c r="I108" s="473">
        <f>I86-I106</f>
        <v>-468430.9299999997</v>
      </c>
      <c r="J108" s="474">
        <f t="shared" si="25"/>
        <v>0.38116607714183348</v>
      </c>
      <c r="K108" s="473">
        <f>K86-K106</f>
        <v>-712127.33000000007</v>
      </c>
      <c r="L108" s="475">
        <f t="shared" si="26"/>
        <v>-9.1481420885784148E-2</v>
      </c>
      <c r="M108" s="472">
        <f>M86-M106</f>
        <v>-646980.91000000038</v>
      </c>
      <c r="N108" s="473">
        <f>N86-N106</f>
        <v>-468430.9299999997</v>
      </c>
      <c r="O108" s="474">
        <f t="shared" si="27"/>
        <v>0.38116607714183348</v>
      </c>
      <c r="P108" s="473">
        <f>P86-P106</f>
        <v>-712127.33000000007</v>
      </c>
      <c r="Q108" s="476">
        <f t="shared" si="28"/>
        <v>-9.1481420885784148E-2</v>
      </c>
      <c r="R108" s="477">
        <f>R86-R106</f>
        <v>6027250.679999996</v>
      </c>
      <c r="S108" s="656">
        <f t="shared" si="29"/>
        <v>-1.1073426250789358</v>
      </c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</row>
    <row r="109" spans="1:41" s="556" customFormat="1" ht="16.5" customHeight="1">
      <c r="A109" s="564"/>
      <c r="B109" s="564"/>
      <c r="C109" s="581"/>
      <c r="D109" s="587"/>
      <c r="E109" s="566"/>
      <c r="F109" s="582"/>
      <c r="G109" s="590" t="s">
        <v>423</v>
      </c>
      <c r="H109" s="657">
        <f>IFERROR(H108/H85,0)</f>
        <v>-0.15789975232705292</v>
      </c>
      <c r="I109" s="658">
        <f>IFERROR(I108/I85,0)</f>
        <v>-0.10448104489812779</v>
      </c>
      <c r="J109" s="607">
        <f t="shared" si="25"/>
        <v>0.51127654285052371</v>
      </c>
      <c r="K109" s="658">
        <f>IFERROR(K108/K85,0)</f>
        <v>-0.14236990500561236</v>
      </c>
      <c r="L109" s="609">
        <f t="shared" si="26"/>
        <v>0.10908096989197502</v>
      </c>
      <c r="M109" s="657">
        <f>IFERROR(M108/M85,0)</f>
        <v>-0.15789975232705292</v>
      </c>
      <c r="N109" s="658">
        <f>IFERROR(N108/N85,0)</f>
        <v>-0.10448104489812779</v>
      </c>
      <c r="O109" s="607">
        <f t="shared" si="27"/>
        <v>0.51127654285052371</v>
      </c>
      <c r="P109" s="658">
        <f>IFERROR(P108/P85,0)</f>
        <v>-0.14236990500561236</v>
      </c>
      <c r="Q109" s="610">
        <f t="shared" si="28"/>
        <v>0.10908096989197502</v>
      </c>
      <c r="R109" s="591">
        <f>IFERROR(R108/R85,0)</f>
        <v>9.1726820868550316E-2</v>
      </c>
      <c r="S109" s="659">
        <f t="shared" si="29"/>
        <v>-2.7214131137645348</v>
      </c>
      <c r="T109" s="570"/>
      <c r="U109" s="570"/>
      <c r="V109" s="570"/>
      <c r="W109" s="570"/>
      <c r="X109" s="570"/>
      <c r="Y109" s="583"/>
      <c r="Z109" s="583"/>
      <c r="AA109" s="583"/>
      <c r="AB109" s="583"/>
      <c r="AC109" s="583"/>
      <c r="AD109" s="583"/>
      <c r="AE109" s="583"/>
      <c r="AF109" s="583"/>
      <c r="AG109" s="583"/>
      <c r="AH109" s="583"/>
      <c r="AI109" s="583"/>
      <c r="AJ109" s="583"/>
      <c r="AK109" s="583"/>
      <c r="AL109" s="583"/>
      <c r="AM109" s="583"/>
      <c r="AN109" s="583"/>
      <c r="AO109" s="583"/>
    </row>
    <row r="110" spans="1:41" ht="16.5" customHeight="1">
      <c r="A110" s="673"/>
      <c r="B110" s="673"/>
      <c r="C110" s="204"/>
      <c r="D110" s="221"/>
      <c r="E110" s="675"/>
      <c r="F110" s="184"/>
      <c r="G110" s="222" t="s">
        <v>424</v>
      </c>
      <c r="H110" s="51">
        <f>SUM(于洪:武汉!H110)</f>
        <v>101736.94</v>
      </c>
      <c r="I110" s="55">
        <f>SUM(于洪:武汉!I110)</f>
        <v>99329.600000000006</v>
      </c>
      <c r="J110" s="53">
        <f t="shared" si="25"/>
        <v>2.4235877321563626E-2</v>
      </c>
      <c r="K110" s="55">
        <f>SUM(于洪:武汉!K110)</f>
        <v>119426.34000000001</v>
      </c>
      <c r="L110" s="54">
        <f t="shared" si="26"/>
        <v>-0.14811975314658399</v>
      </c>
      <c r="M110" s="51">
        <f>SUM(于洪:武汉!M110)</f>
        <v>101736.94</v>
      </c>
      <c r="N110" s="55">
        <f>SUM(于洪:武汉!N110)</f>
        <v>99329.600000000006</v>
      </c>
      <c r="O110" s="53">
        <f t="shared" si="27"/>
        <v>2.4235877321563626E-2</v>
      </c>
      <c r="P110" s="55">
        <f>SUM(于洪:武汉!P110)</f>
        <v>119426.34000000001</v>
      </c>
      <c r="Q110" s="56">
        <f t="shared" si="28"/>
        <v>-0.14811975314658399</v>
      </c>
      <c r="R110" s="57">
        <f>SUM(于洪:武汉!R110)</f>
        <v>1423895.52</v>
      </c>
      <c r="S110" s="603">
        <f t="shared" si="29"/>
        <v>-0.92855027734057338</v>
      </c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spans="1:41" s="3" customFormat="1" ht="16.5" customHeight="1">
      <c r="A111" s="686"/>
      <c r="B111" s="686"/>
      <c r="C111" s="221"/>
      <c r="D111" s="221"/>
      <c r="E111" s="687"/>
      <c r="F111" s="184"/>
      <c r="G111" s="471" t="s">
        <v>425</v>
      </c>
      <c r="H111" s="472">
        <f>H108-H110</f>
        <v>-748717.85000000033</v>
      </c>
      <c r="I111" s="473">
        <f>I108-I110</f>
        <v>-567760.52999999968</v>
      </c>
      <c r="J111" s="474">
        <f t="shared" si="25"/>
        <v>0.3187212045190968</v>
      </c>
      <c r="K111" s="473">
        <f>K108-K110</f>
        <v>-831553.67</v>
      </c>
      <c r="L111" s="475">
        <f t="shared" si="26"/>
        <v>-9.9615722939446205E-2</v>
      </c>
      <c r="M111" s="472">
        <f>M108-M110</f>
        <v>-748717.85000000033</v>
      </c>
      <c r="N111" s="473">
        <f>N108-N110</f>
        <v>-567760.52999999968</v>
      </c>
      <c r="O111" s="474">
        <f t="shared" si="27"/>
        <v>0.3187212045190968</v>
      </c>
      <c r="P111" s="473">
        <f>P108-P110</f>
        <v>-831553.67</v>
      </c>
      <c r="Q111" s="476">
        <f t="shared" si="28"/>
        <v>-9.9615722939446205E-2</v>
      </c>
      <c r="R111" s="477">
        <f>R108-R110</f>
        <v>4603355.1599999964</v>
      </c>
      <c r="S111" s="656">
        <f t="shared" si="29"/>
        <v>-1.1626461187496124</v>
      </c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</row>
    <row r="112" spans="1:41" ht="16.5" customHeight="1">
      <c r="A112" s="673"/>
      <c r="B112" s="673"/>
      <c r="C112" s="204"/>
      <c r="D112" s="221"/>
      <c r="E112" s="675"/>
      <c r="F112" s="184"/>
      <c r="G112" s="290" t="s">
        <v>426</v>
      </c>
      <c r="H112" s="51">
        <f>SUM(于洪:武汉!H112)</f>
        <v>0</v>
      </c>
      <c r="I112" s="55">
        <f>SUM(于洪:武汉!I112)</f>
        <v>0</v>
      </c>
      <c r="J112" s="53" t="str">
        <f t="shared" si="25"/>
        <v/>
      </c>
      <c r="K112" s="55">
        <f>SUM(于洪:武汉!K112)</f>
        <v>0</v>
      </c>
      <c r="L112" s="54" t="str">
        <f t="shared" si="26"/>
        <v/>
      </c>
      <c r="M112" s="51">
        <f>SUM(于洪:武汉!M112)</f>
        <v>0</v>
      </c>
      <c r="N112" s="55">
        <f>SUM(于洪:武汉!N112)</f>
        <v>0</v>
      </c>
      <c r="O112" s="53" t="str">
        <f t="shared" si="27"/>
        <v/>
      </c>
      <c r="P112" s="55">
        <f>SUM(于洪:武汉!P112)</f>
        <v>0</v>
      </c>
      <c r="Q112" s="56" t="str">
        <f t="shared" si="28"/>
        <v/>
      </c>
      <c r="R112" s="57">
        <f>SUM(于洪:武汉!R112)</f>
        <v>0</v>
      </c>
      <c r="S112" s="603" t="str">
        <f t="shared" si="29"/>
        <v/>
      </c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spans="1:41" s="12" customFormat="1" ht="33" customHeight="1">
      <c r="A113" s="221"/>
      <c r="B113" s="221"/>
      <c r="C113" s="221"/>
      <c r="D113" s="221"/>
      <c r="E113" s="291"/>
      <c r="F113" s="184"/>
      <c r="G113" s="471" t="s">
        <v>427</v>
      </c>
      <c r="H113" s="472">
        <f>H111-H112</f>
        <v>-748717.85000000033</v>
      </c>
      <c r="I113" s="473">
        <f>I111-I112</f>
        <v>-567760.52999999968</v>
      </c>
      <c r="J113" s="474">
        <f t="shared" si="25"/>
        <v>0.3187212045190968</v>
      </c>
      <c r="K113" s="473">
        <f>K111-K112</f>
        <v>-831553.67</v>
      </c>
      <c r="L113" s="475">
        <f t="shared" si="26"/>
        <v>-9.9615722939446205E-2</v>
      </c>
      <c r="M113" s="472">
        <f>M111-M112</f>
        <v>-748717.85000000033</v>
      </c>
      <c r="N113" s="473">
        <f>N111-N112</f>
        <v>-567760.52999999968</v>
      </c>
      <c r="O113" s="474">
        <f t="shared" si="27"/>
        <v>0.3187212045190968</v>
      </c>
      <c r="P113" s="473">
        <f>P111-P112</f>
        <v>-831553.67</v>
      </c>
      <c r="Q113" s="476">
        <f t="shared" si="28"/>
        <v>-9.9615722939446205E-2</v>
      </c>
      <c r="R113" s="477">
        <f>R111-R112</f>
        <v>4603355.1599999964</v>
      </c>
      <c r="S113" s="656">
        <f t="shared" si="29"/>
        <v>-1.1626461187496124</v>
      </c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  <c r="AO113" s="221"/>
    </row>
    <row r="114" spans="1:41" s="5" customFormat="1" ht="16.5" customHeight="1">
      <c r="A114" s="292"/>
      <c r="B114" s="292"/>
      <c r="C114" s="204"/>
      <c r="D114" s="200"/>
      <c r="E114" s="291"/>
      <c r="F114" s="184"/>
      <c r="G114" s="479" t="s">
        <v>352</v>
      </c>
      <c r="H114" s="448">
        <f>SUM(于洪:武汉!H114)</f>
        <v>-702404.5</v>
      </c>
      <c r="I114" s="449">
        <f>SUM(于洪:武汉!I114)</f>
        <v>-695073.65</v>
      </c>
      <c r="J114" s="467">
        <f t="shared" si="25"/>
        <v>1.0546867947015315E-2</v>
      </c>
      <c r="K114" s="449">
        <f>SUM(于洪:武汉!K114)</f>
        <v>-1032045.61</v>
      </c>
      <c r="L114" s="468">
        <f t="shared" si="26"/>
        <v>-0.31940556386844177</v>
      </c>
      <c r="M114" s="448">
        <f>SUM(于洪:武汉!M114)</f>
        <v>-702404.5</v>
      </c>
      <c r="N114" s="449">
        <f>SUM(于洪:武汉!N114)</f>
        <v>-695073.65</v>
      </c>
      <c r="O114" s="467">
        <f t="shared" si="27"/>
        <v>1.0546867947015315E-2</v>
      </c>
      <c r="P114" s="449">
        <f>SUM(于洪:武汉!P114)</f>
        <v>-1032045.61</v>
      </c>
      <c r="Q114" s="470">
        <f t="shared" si="28"/>
        <v>-0.31940556386844177</v>
      </c>
      <c r="R114" s="454">
        <f>SUM(于洪:武汉!R114)</f>
        <v>-9075785.9800000004</v>
      </c>
      <c r="S114" s="652">
        <f t="shared" si="29"/>
        <v>-0.92260675807606474</v>
      </c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</row>
    <row r="115" spans="1:41" ht="16.5" customHeight="1">
      <c r="C115" s="204"/>
      <c r="D115" s="221"/>
      <c r="F115" s="184"/>
      <c r="G115" s="222" t="s">
        <v>428</v>
      </c>
      <c r="H115" s="51">
        <f>SUM(于洪:武汉!H115)</f>
        <v>1730.61</v>
      </c>
      <c r="I115" s="55">
        <f>SUM(于洪:武汉!I115)</f>
        <v>0</v>
      </c>
      <c r="J115" s="111" t="str">
        <f t="shared" si="25"/>
        <v/>
      </c>
      <c r="K115" s="55">
        <f>SUM(于洪:武汉!K115)</f>
        <v>24216.79</v>
      </c>
      <c r="L115" s="112">
        <f t="shared" si="26"/>
        <v>-0.92853677138877611</v>
      </c>
      <c r="M115" s="51">
        <f>SUM(于洪:武汉!M115)</f>
        <v>1730.61</v>
      </c>
      <c r="N115" s="55">
        <f>SUM(于洪:武汉!N115)</f>
        <v>0</v>
      </c>
      <c r="O115" s="111" t="str">
        <f t="shared" si="27"/>
        <v/>
      </c>
      <c r="P115" s="55">
        <f>SUM(于洪:武汉!P115)</f>
        <v>24216.79</v>
      </c>
      <c r="Q115" s="113">
        <f t="shared" si="28"/>
        <v>-0.92853677138877611</v>
      </c>
      <c r="R115" s="57">
        <f>SUM(于洪:武汉!R115)</f>
        <v>0</v>
      </c>
      <c r="S115" s="603" t="str">
        <f t="shared" si="29"/>
        <v/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spans="1:41" ht="16.5" customHeight="1">
      <c r="C116" s="204"/>
      <c r="D116" s="221"/>
      <c r="F116" s="184"/>
      <c r="G116" s="293" t="s">
        <v>429</v>
      </c>
      <c r="H116" s="103">
        <f>SUM(于洪:武汉!H116)</f>
        <v>564984.24</v>
      </c>
      <c r="I116" s="104">
        <f>SUM(于洪:武汉!I116)</f>
        <v>553407.65</v>
      </c>
      <c r="J116" s="105">
        <f t="shared" si="25"/>
        <v>2.0918738654949864E-2</v>
      </c>
      <c r="K116" s="104">
        <f>SUM(于洪:武汉!K116)</f>
        <v>883823.55</v>
      </c>
      <c r="L116" s="106">
        <f t="shared" si="26"/>
        <v>-0.36074995964975143</v>
      </c>
      <c r="M116" s="103">
        <f>SUM(于洪:武汉!M116)</f>
        <v>564984.24</v>
      </c>
      <c r="N116" s="104">
        <f>SUM(于洪:武汉!N116)</f>
        <v>553407.65</v>
      </c>
      <c r="O116" s="105">
        <f t="shared" si="27"/>
        <v>2.0918738654949864E-2</v>
      </c>
      <c r="P116" s="104">
        <f>SUM(于洪:武汉!P116)</f>
        <v>883823.55</v>
      </c>
      <c r="Q116" s="107">
        <f t="shared" si="28"/>
        <v>-0.36074995964975143</v>
      </c>
      <c r="R116" s="57">
        <f>SUM(于洪:武汉!R116)</f>
        <v>7375785.9800000004</v>
      </c>
      <c r="S116" s="603">
        <f t="shared" si="29"/>
        <v>-0.92340013097831242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spans="1:41" ht="16.5" customHeight="1">
      <c r="C117" s="204"/>
      <c r="D117" s="221"/>
      <c r="F117" s="184"/>
      <c r="G117" s="222" t="s">
        <v>430</v>
      </c>
      <c r="H117" s="51">
        <f>SUM(于洪:武汉!H117)</f>
        <v>139147.03</v>
      </c>
      <c r="I117" s="55">
        <f>SUM(于洪:武汉!I117)</f>
        <v>141666</v>
      </c>
      <c r="J117" s="111">
        <f t="shared" si="25"/>
        <v>-1.7781048381404152E-2</v>
      </c>
      <c r="K117" s="55">
        <f>SUM(于洪:武汉!K117)</f>
        <v>143750.92000000001</v>
      </c>
      <c r="L117" s="112">
        <f t="shared" si="26"/>
        <v>-3.2026855897687612E-2</v>
      </c>
      <c r="M117" s="51">
        <f>SUM(于洪:武汉!M117)</f>
        <v>139147.03</v>
      </c>
      <c r="N117" s="55">
        <f>SUM(于洪:武汉!N117)</f>
        <v>141666</v>
      </c>
      <c r="O117" s="111">
        <f t="shared" si="27"/>
        <v>-1.7781048381404152E-2</v>
      </c>
      <c r="P117" s="55">
        <f>SUM(于洪:武汉!P117)</f>
        <v>143750.92000000001</v>
      </c>
      <c r="Q117" s="113">
        <f t="shared" si="28"/>
        <v>-3.2026855897687612E-2</v>
      </c>
      <c r="R117" s="57">
        <f>SUM(于洪:武汉!R117)</f>
        <v>1700000</v>
      </c>
      <c r="S117" s="603">
        <f t="shared" si="29"/>
        <v>-0.91814880588235293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spans="1:41" ht="16.5" customHeight="1">
      <c r="C118" s="204"/>
      <c r="D118" s="221"/>
      <c r="F118" s="184"/>
      <c r="G118" s="222" t="s">
        <v>431</v>
      </c>
      <c r="H118" s="51">
        <f>SUM(于洪:武汉!H118)</f>
        <v>0</v>
      </c>
      <c r="I118" s="55">
        <f>SUM(于洪:武汉!I118)</f>
        <v>0</v>
      </c>
      <c r="J118" s="111" t="str">
        <f t="shared" si="25"/>
        <v/>
      </c>
      <c r="K118" s="55">
        <f>SUM(于洪:武汉!K118)</f>
        <v>0</v>
      </c>
      <c r="L118" s="112" t="str">
        <f t="shared" si="26"/>
        <v/>
      </c>
      <c r="M118" s="51">
        <f>SUM(于洪:武汉!M118)</f>
        <v>0</v>
      </c>
      <c r="N118" s="55">
        <f>SUM(于洪:武汉!N118)</f>
        <v>0</v>
      </c>
      <c r="O118" s="111" t="str">
        <f t="shared" si="27"/>
        <v/>
      </c>
      <c r="P118" s="55">
        <f>SUM(于洪:武汉!P118)</f>
        <v>0</v>
      </c>
      <c r="Q118" s="113" t="str">
        <f t="shared" si="28"/>
        <v/>
      </c>
      <c r="R118" s="57">
        <f>SUM(于洪:武汉!R118)</f>
        <v>0</v>
      </c>
      <c r="S118" s="603" t="str">
        <f t="shared" si="29"/>
        <v/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spans="1:41" ht="16.5" customHeight="1">
      <c r="C119" s="204"/>
      <c r="D119" s="221"/>
      <c r="F119" s="184"/>
      <c r="G119" s="222" t="s">
        <v>432</v>
      </c>
      <c r="H119" s="51">
        <f>SUM(于洪:武汉!H119)</f>
        <v>0</v>
      </c>
      <c r="I119" s="55">
        <f>SUM(于洪:武汉!I119)</f>
        <v>0</v>
      </c>
      <c r="J119" s="111" t="str">
        <f t="shared" si="25"/>
        <v/>
      </c>
      <c r="K119" s="55">
        <f>SUM(于洪:武汉!K119)</f>
        <v>26387.98</v>
      </c>
      <c r="L119" s="112">
        <f t="shared" si="26"/>
        <v>-1</v>
      </c>
      <c r="M119" s="51">
        <f>SUM(于洪:武汉!M119)</f>
        <v>0</v>
      </c>
      <c r="N119" s="55">
        <f>SUM(于洪:武汉!N119)</f>
        <v>0</v>
      </c>
      <c r="O119" s="111" t="str">
        <f t="shared" si="27"/>
        <v/>
      </c>
      <c r="P119" s="55">
        <f>SUM(于洪:武汉!P119)</f>
        <v>26387.98</v>
      </c>
      <c r="Q119" s="113">
        <f t="shared" si="28"/>
        <v>-1</v>
      </c>
      <c r="R119" s="57">
        <f>SUM(于洪:武汉!R119)</f>
        <v>0</v>
      </c>
      <c r="S119" s="603" t="str">
        <f t="shared" si="29"/>
        <v/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spans="1:41" ht="16.5" customHeight="1">
      <c r="C120" s="204"/>
      <c r="D120" s="221"/>
      <c r="F120" s="184"/>
      <c r="G120" s="222" t="s">
        <v>433</v>
      </c>
      <c r="H120" s="51">
        <f>SUM(于洪:武汉!H120)</f>
        <v>3.84</v>
      </c>
      <c r="I120" s="55">
        <f>SUM(于洪:武汉!I120)</f>
        <v>0</v>
      </c>
      <c r="J120" s="111" t="str">
        <f t="shared" si="25"/>
        <v/>
      </c>
      <c r="K120" s="55">
        <f>SUM(于洪:武汉!K120)</f>
        <v>2299.9499999999998</v>
      </c>
      <c r="L120" s="112">
        <f t="shared" si="26"/>
        <v>-0.99833039848692362</v>
      </c>
      <c r="M120" s="51">
        <f>SUM(于洪:武汉!M120)</f>
        <v>3.84</v>
      </c>
      <c r="N120" s="55">
        <f>SUM(于洪:武汉!N120)</f>
        <v>0</v>
      </c>
      <c r="O120" s="111" t="str">
        <f t="shared" si="27"/>
        <v/>
      </c>
      <c r="P120" s="55">
        <f>SUM(于洪:武汉!P120)</f>
        <v>2299.9499999999998</v>
      </c>
      <c r="Q120" s="113">
        <f t="shared" si="28"/>
        <v>-0.99833039848692362</v>
      </c>
      <c r="R120" s="57">
        <f>SUM(于洪:武汉!R120)</f>
        <v>0</v>
      </c>
      <c r="S120" s="603" t="str">
        <f t="shared" si="29"/>
        <v/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spans="1:41" ht="16.5" customHeight="1">
      <c r="A121" s="221"/>
      <c r="B121" s="221"/>
      <c r="C121" s="204"/>
      <c r="D121" s="221"/>
      <c r="E121" s="291"/>
      <c r="F121" s="184"/>
      <c r="G121" s="471" t="s">
        <v>434</v>
      </c>
      <c r="H121" s="472">
        <f>H113+H114</f>
        <v>-1451122.3500000003</v>
      </c>
      <c r="I121" s="473">
        <f>I113+I114</f>
        <v>-1262834.1799999997</v>
      </c>
      <c r="J121" s="474">
        <f t="shared" si="25"/>
        <v>0.14909967831247695</v>
      </c>
      <c r="K121" s="473">
        <f>K113+K114</f>
        <v>-1863599.28</v>
      </c>
      <c r="L121" s="475">
        <f t="shared" si="26"/>
        <v>-0.22133348860276425</v>
      </c>
      <c r="M121" s="472">
        <f>M113+M114</f>
        <v>-1451122.3500000003</v>
      </c>
      <c r="N121" s="473">
        <f>N113+N114</f>
        <v>-1262834.1799999997</v>
      </c>
      <c r="O121" s="474">
        <f t="shared" si="27"/>
        <v>0.14909967831247695</v>
      </c>
      <c r="P121" s="473">
        <f>P113+P114</f>
        <v>-1863599.28</v>
      </c>
      <c r="Q121" s="476">
        <f t="shared" si="28"/>
        <v>-0.22133348860276425</v>
      </c>
      <c r="R121" s="477">
        <f>R113+R114</f>
        <v>-4472430.820000004</v>
      </c>
      <c r="S121" s="656">
        <f t="shared" si="29"/>
        <v>-0.6755405710221809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spans="1:41" s="556" customFormat="1" ht="16.5" customHeight="1">
      <c r="A122" s="592"/>
      <c r="B122" s="592"/>
      <c r="C122" s="581"/>
      <c r="D122" s="587"/>
      <c r="E122" s="593"/>
      <c r="F122" s="582"/>
      <c r="G122" s="660" t="s">
        <v>435</v>
      </c>
      <c r="H122" s="661">
        <f>IFERROR(H121/H85,0)</f>
        <v>-0.3541555185318388</v>
      </c>
      <c r="I122" s="662">
        <f>IFERROR(I121/I85,0)</f>
        <v>-0.28166849413524092</v>
      </c>
      <c r="J122" s="403">
        <f t="shared" si="25"/>
        <v>0.257348712780755</v>
      </c>
      <c r="K122" s="662">
        <f>IFERROR(K121/K85,0)</f>
        <v>-0.37257445583801363</v>
      </c>
      <c r="L122" s="404">
        <f t="shared" si="26"/>
        <v>-4.9436930035222093E-2</v>
      </c>
      <c r="M122" s="661">
        <f>IFERROR(M121/M85,0)</f>
        <v>-0.3541555185318388</v>
      </c>
      <c r="N122" s="662">
        <f>IFERROR(N121/N85,0)</f>
        <v>-0.28166849413524092</v>
      </c>
      <c r="O122" s="403">
        <f t="shared" si="27"/>
        <v>0.257348712780755</v>
      </c>
      <c r="P122" s="662">
        <f>IFERROR(P121/P85,0)</f>
        <v>-0.37257445583801363</v>
      </c>
      <c r="Q122" s="405">
        <f t="shared" si="28"/>
        <v>-4.9436930035222093E-2</v>
      </c>
      <c r="R122" s="663">
        <f>IFERROR(R121/R85,0)</f>
        <v>-6.8064509417936514E-2</v>
      </c>
      <c r="S122" s="664">
        <f t="shared" si="29"/>
        <v>4.2032332497574858</v>
      </c>
      <c r="T122" s="570"/>
      <c r="U122" s="570"/>
      <c r="V122" s="570"/>
      <c r="W122" s="570"/>
      <c r="X122" s="570"/>
      <c r="Y122" s="583"/>
      <c r="Z122" s="583"/>
      <c r="AA122" s="583"/>
      <c r="AB122" s="583"/>
      <c r="AC122" s="583"/>
      <c r="AD122" s="583"/>
      <c r="AE122" s="583"/>
      <c r="AF122" s="583"/>
      <c r="AG122" s="583"/>
      <c r="AH122" s="583"/>
      <c r="AI122" s="583"/>
      <c r="AJ122" s="583"/>
      <c r="AK122" s="583"/>
      <c r="AL122" s="583"/>
      <c r="AM122" s="583"/>
      <c r="AN122" s="583"/>
      <c r="AO122" s="583"/>
    </row>
    <row r="123" spans="1:41" ht="16.5" customHeight="1">
      <c r="C123" s="204"/>
      <c r="D123" s="221"/>
      <c r="F123" s="184"/>
      <c r="G123" s="248" t="s">
        <v>436</v>
      </c>
      <c r="H123" s="60">
        <f>SUM(于洪:武汉!H123)</f>
        <v>103771.03694999999</v>
      </c>
      <c r="I123" s="64">
        <f>SUM(于洪:武汉!I123)</f>
        <v>99829.550449999995</v>
      </c>
      <c r="J123" s="251">
        <f t="shared" si="25"/>
        <v>3.9482162167745249E-2</v>
      </c>
      <c r="K123" s="64">
        <f>SUM(于洪:武汉!K123)</f>
        <v>183468.17404999997</v>
      </c>
      <c r="L123" s="250">
        <f t="shared" si="26"/>
        <v>-0.43439216372361333</v>
      </c>
      <c r="M123" s="60">
        <f>SUM(于洪:武汉!M123)</f>
        <v>103771.03694999999</v>
      </c>
      <c r="N123" s="64">
        <f>SUM(于洪:武汉!N123)</f>
        <v>99829.550449999995</v>
      </c>
      <c r="O123" s="296">
        <f t="shared" si="27"/>
        <v>3.9482162167745249E-2</v>
      </c>
      <c r="P123" s="64">
        <f>SUM(于洪:武汉!P123)</f>
        <v>183468.17404999997</v>
      </c>
      <c r="Q123" s="297">
        <f t="shared" si="28"/>
        <v>-0.43439216372361333</v>
      </c>
      <c r="R123" s="57">
        <f>SUM(于洪:武汉!R123)</f>
        <v>1361952.4604</v>
      </c>
      <c r="S123" s="603">
        <f t="shared" si="29"/>
        <v>-0.92380715188875029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spans="1:41" s="5" customFormat="1" ht="16.5" customHeight="1">
      <c r="A124" s="292"/>
      <c r="B124" s="292"/>
      <c r="C124" s="204"/>
      <c r="D124" s="221"/>
      <c r="E124" s="291"/>
      <c r="F124" s="184"/>
      <c r="G124" s="488" t="s">
        <v>355</v>
      </c>
      <c r="H124" s="489">
        <f>H121-H123</f>
        <v>-1554893.3869500004</v>
      </c>
      <c r="I124" s="490">
        <f>I121-I123</f>
        <v>-1362663.7304499997</v>
      </c>
      <c r="J124" s="491">
        <f t="shared" si="25"/>
        <v>0.14106903427782558</v>
      </c>
      <c r="K124" s="490">
        <f>K121-K123</f>
        <v>-2047067.4540500001</v>
      </c>
      <c r="L124" s="492">
        <f t="shared" si="26"/>
        <v>-0.24042884670276143</v>
      </c>
      <c r="M124" s="489">
        <f>M121-M123</f>
        <v>-1554893.3869500004</v>
      </c>
      <c r="N124" s="490">
        <f>N121-N123</f>
        <v>-1362663.7304499997</v>
      </c>
      <c r="O124" s="491">
        <f t="shared" si="27"/>
        <v>0.14106903427782558</v>
      </c>
      <c r="P124" s="490">
        <f>P121-P123</f>
        <v>-2047067.4540500001</v>
      </c>
      <c r="Q124" s="493">
        <f t="shared" si="28"/>
        <v>-0.24042884670276143</v>
      </c>
      <c r="R124" s="477">
        <f>R121-R123</f>
        <v>-5834383.2804000042</v>
      </c>
      <c r="S124" s="656">
        <f t="shared" si="29"/>
        <v>-0.73349481646612058</v>
      </c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</row>
    <row r="125" spans="1:41" s="5" customFormat="1" ht="16.5" customHeight="1">
      <c r="A125" s="298"/>
      <c r="B125" s="298"/>
      <c r="C125" s="204"/>
      <c r="D125" s="221"/>
      <c r="E125" s="15"/>
      <c r="F125" s="184"/>
      <c r="G125" s="479" t="s">
        <v>356</v>
      </c>
      <c r="H125" s="448">
        <f>SUM(H126:H129)</f>
        <v>879985.23</v>
      </c>
      <c r="I125" s="449">
        <f>SUM(I126:I129)</f>
        <v>886972.78</v>
      </c>
      <c r="J125" s="467">
        <f t="shared" si="25"/>
        <v>-7.8779756916554922E-3</v>
      </c>
      <c r="K125" s="449">
        <f>SUM(K126:K129)</f>
        <v>903987.09000000008</v>
      </c>
      <c r="L125" s="468">
        <f t="shared" si="26"/>
        <v>-2.6551109264182138E-2</v>
      </c>
      <c r="M125" s="448">
        <f>SUM(M126:M129)</f>
        <v>879985.23</v>
      </c>
      <c r="N125" s="449">
        <f>SUM(N126:N129)</f>
        <v>886972.78</v>
      </c>
      <c r="O125" s="467">
        <f t="shared" si="27"/>
        <v>-7.8779756916554922E-3</v>
      </c>
      <c r="P125" s="449">
        <f>SUM(P126:P129)</f>
        <v>903987.09000000008</v>
      </c>
      <c r="Q125" s="470">
        <f t="shared" si="28"/>
        <v>-2.6551109264182138E-2</v>
      </c>
      <c r="R125" s="454">
        <f>SUM(R126:R129)</f>
        <v>10429631.720000001</v>
      </c>
      <c r="S125" s="652">
        <f t="shared" si="29"/>
        <v>-0.91562643306833846</v>
      </c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</row>
    <row r="126" spans="1:41" ht="16.5" customHeight="1">
      <c r="C126" s="204"/>
      <c r="D126" s="221"/>
      <c r="F126" s="184"/>
      <c r="G126" s="222" t="s">
        <v>437</v>
      </c>
      <c r="H126" s="51">
        <f>SUM(于洪:武汉!H126)</f>
        <v>0</v>
      </c>
      <c r="I126" s="55">
        <f>SUM(于洪:武汉!I126)</f>
        <v>0</v>
      </c>
      <c r="J126" s="111" t="str">
        <f t="shared" si="25"/>
        <v/>
      </c>
      <c r="K126" s="55">
        <f>SUM(于洪:武汉!K126)</f>
        <v>0</v>
      </c>
      <c r="L126" s="112" t="str">
        <f t="shared" si="26"/>
        <v/>
      </c>
      <c r="M126" s="51">
        <f>SUM(于洪:武汉!M126)</f>
        <v>0</v>
      </c>
      <c r="N126" s="55">
        <f>SUM(于洪:武汉!N126)</f>
        <v>0</v>
      </c>
      <c r="O126" s="111" t="str">
        <f t="shared" si="27"/>
        <v/>
      </c>
      <c r="P126" s="55">
        <f>SUM(于洪:武汉!P126)</f>
        <v>0</v>
      </c>
      <c r="Q126" s="113" t="str">
        <f t="shared" si="28"/>
        <v/>
      </c>
      <c r="R126" s="57">
        <f>SUM(于洪:武汉!R126)</f>
        <v>0</v>
      </c>
      <c r="S126" s="603" t="str">
        <f t="shared" si="29"/>
        <v/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spans="1:41" ht="16.5" customHeight="1">
      <c r="C127" s="204"/>
      <c r="D127" s="221"/>
      <c r="F127" s="184"/>
      <c r="G127" s="222" t="s">
        <v>438</v>
      </c>
      <c r="H127" s="51">
        <f>SUM(于洪:武汉!H127)</f>
        <v>15403.29</v>
      </c>
      <c r="I127" s="55">
        <f>SUM(于洪:武汉!I127)</f>
        <v>15403.29</v>
      </c>
      <c r="J127" s="111">
        <f t="shared" si="25"/>
        <v>0</v>
      </c>
      <c r="K127" s="55">
        <f>SUM(于洪:武汉!K127)</f>
        <v>0</v>
      </c>
      <c r="L127" s="112" t="str">
        <f t="shared" si="26"/>
        <v/>
      </c>
      <c r="M127" s="51">
        <f>SUM(于洪:武汉!M127)</f>
        <v>15403.29</v>
      </c>
      <c r="N127" s="55">
        <f>SUM(于洪:武汉!N127)</f>
        <v>15403.29</v>
      </c>
      <c r="O127" s="111">
        <f t="shared" si="27"/>
        <v>0</v>
      </c>
      <c r="P127" s="55">
        <f>SUM(于洪:武汉!P127)</f>
        <v>0</v>
      </c>
      <c r="Q127" s="113" t="str">
        <f t="shared" si="28"/>
        <v/>
      </c>
      <c r="R127" s="57">
        <f>SUM(于洪:武汉!R127)</f>
        <v>184839.48</v>
      </c>
      <c r="S127" s="603">
        <f t="shared" si="29"/>
        <v>-0.91666666666666663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spans="1:41" ht="16.5" customHeight="1">
      <c r="C128" s="204"/>
      <c r="D128" s="221"/>
      <c r="F128" s="184"/>
      <c r="G128" s="299" t="s">
        <v>439</v>
      </c>
      <c r="H128" s="60">
        <f>SUM(于洪:武汉!H128)</f>
        <v>589904.35</v>
      </c>
      <c r="I128" s="64">
        <f>SUM(于洪:武汉!I128)</f>
        <v>585629.47</v>
      </c>
      <c r="J128" s="251">
        <f t="shared" si="25"/>
        <v>7.2996326499756847E-3</v>
      </c>
      <c r="K128" s="104">
        <f>SUM(于洪:武汉!K128)</f>
        <v>594993.27</v>
      </c>
      <c r="L128" s="250">
        <f t="shared" si="26"/>
        <v>-8.5529034639333368E-3</v>
      </c>
      <c r="M128" s="60">
        <f>SUM(于洪:武汉!M128)</f>
        <v>589904.35</v>
      </c>
      <c r="N128" s="64">
        <f>SUM(于洪:武汉!N128)</f>
        <v>585629.47</v>
      </c>
      <c r="O128" s="251">
        <f t="shared" si="27"/>
        <v>7.2996326499756847E-3</v>
      </c>
      <c r="P128" s="64">
        <f>SUM(于洪:武汉!P128)</f>
        <v>594993.27</v>
      </c>
      <c r="Q128" s="252">
        <f t="shared" si="28"/>
        <v>-8.5529034639333368E-3</v>
      </c>
      <c r="R128" s="57">
        <f>SUM(于洪:武汉!R128)</f>
        <v>6973741.0899999999</v>
      </c>
      <c r="S128" s="603">
        <f t="shared" si="29"/>
        <v>-0.91541063220057117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spans="1:41" ht="16.5" customHeight="1">
      <c r="C129" s="204"/>
      <c r="D129" s="221"/>
      <c r="F129" s="184"/>
      <c r="G129" s="222" t="s">
        <v>440</v>
      </c>
      <c r="H129" s="51">
        <f>SUM(于洪:武汉!H129)</f>
        <v>274677.58999999997</v>
      </c>
      <c r="I129" s="55">
        <f>SUM(于洪:武汉!I129)</f>
        <v>285940.02</v>
      </c>
      <c r="J129" s="246">
        <f t="shared" si="25"/>
        <v>-3.938738620777904E-2</v>
      </c>
      <c r="K129" s="55">
        <f>SUM(于洪:武汉!K129)</f>
        <v>308993.82</v>
      </c>
      <c r="L129" s="112">
        <f t="shared" si="26"/>
        <v>-0.11105798167743308</v>
      </c>
      <c r="M129" s="51">
        <f>SUM(于洪:武汉!M129)</f>
        <v>274677.58999999997</v>
      </c>
      <c r="N129" s="55">
        <f>SUM(于洪:武汉!N129)</f>
        <v>285940.02</v>
      </c>
      <c r="O129" s="111">
        <f t="shared" si="27"/>
        <v>-3.938738620777904E-2</v>
      </c>
      <c r="P129" s="55">
        <f>SUM(于洪:武汉!P129)</f>
        <v>308993.82</v>
      </c>
      <c r="Q129" s="113">
        <f t="shared" si="28"/>
        <v>-0.11105798167743308</v>
      </c>
      <c r="R129" s="57">
        <f>SUM(于洪:武汉!R129)</f>
        <v>3271051.1500000004</v>
      </c>
      <c r="S129" s="603">
        <f t="shared" si="29"/>
        <v>-0.91602773010749161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spans="1:41" ht="16.5" customHeight="1">
      <c r="A130" s="221"/>
      <c r="B130" s="221"/>
      <c r="C130" s="204"/>
      <c r="D130" s="221"/>
      <c r="E130" s="291"/>
      <c r="F130" s="184"/>
      <c r="G130" s="471" t="s">
        <v>441</v>
      </c>
      <c r="H130" s="688">
        <f>SUM(于洪:武汉!H130)</f>
        <v>-2331107.58</v>
      </c>
      <c r="I130" s="495">
        <f>SUM(于洪:武汉!I130)</f>
        <v>-2149806.96</v>
      </c>
      <c r="J130" s="496">
        <f t="shared" si="25"/>
        <v>8.4333441733764003E-2</v>
      </c>
      <c r="K130" s="473">
        <f>SUM(于洪:武汉!K130)</f>
        <v>-2767586.37</v>
      </c>
      <c r="L130" s="475">
        <f t="shared" si="26"/>
        <v>-0.15771099132851996</v>
      </c>
      <c r="M130" s="497">
        <f>SUM(于洪:武汉!M130)</f>
        <v>-2331107.58</v>
      </c>
      <c r="N130" s="473">
        <f>SUM(于洪:武汉!N130)</f>
        <v>-2149806.96</v>
      </c>
      <c r="O130" s="474">
        <f t="shared" si="27"/>
        <v>8.4333441733764003E-2</v>
      </c>
      <c r="P130" s="473">
        <f>SUM(于洪:武汉!P130)</f>
        <v>-2767586.37</v>
      </c>
      <c r="Q130" s="476">
        <f t="shared" si="28"/>
        <v>-0.15771099132851996</v>
      </c>
      <c r="R130" s="477">
        <f>SUM(于洪:武汉!R130)</f>
        <v>-14902062.539999999</v>
      </c>
      <c r="S130" s="656">
        <f t="shared" si="29"/>
        <v>-0.84357148054218267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spans="1:41" ht="16.5" customHeight="1">
      <c r="C131" s="204"/>
      <c r="D131" s="221"/>
      <c r="F131" s="184"/>
      <c r="G131" s="665" t="s">
        <v>442</v>
      </c>
      <c r="H131" s="301">
        <f>SUM(于洪:武汉!H131)</f>
        <v>0</v>
      </c>
      <c r="I131" s="302">
        <f>SUM(于洪:武汉!I131)</f>
        <v>0</v>
      </c>
      <c r="J131" s="246" t="str">
        <f t="shared" si="25"/>
        <v/>
      </c>
      <c r="K131" s="55">
        <f>SUM(于洪:武汉!K131)</f>
        <v>0</v>
      </c>
      <c r="L131" s="106" t="str">
        <f t="shared" si="26"/>
        <v/>
      </c>
      <c r="M131" s="103">
        <f>SUM(于洪:武汉!M131)</f>
        <v>0</v>
      </c>
      <c r="N131" s="302">
        <f>SUM(于洪:武汉!N131)</f>
        <v>0</v>
      </c>
      <c r="O131" s="246" t="str">
        <f t="shared" si="27"/>
        <v/>
      </c>
      <c r="P131" s="303">
        <f>SUM(于洪:武汉!P131)</f>
        <v>0</v>
      </c>
      <c r="Q131" s="107" t="str">
        <f t="shared" si="28"/>
        <v/>
      </c>
      <c r="R131" s="57">
        <f>SUM(于洪:武汉!R131)</f>
        <v>0</v>
      </c>
      <c r="S131" s="603" t="str">
        <f t="shared" si="29"/>
        <v/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spans="1:41" ht="16.5" customHeight="1">
      <c r="C132" s="204"/>
      <c r="D132" s="221"/>
      <c r="F132" s="184"/>
      <c r="G132" s="498" t="s">
        <v>443</v>
      </c>
      <c r="H132" s="499">
        <f>H130-H131</f>
        <v>-2331107.58</v>
      </c>
      <c r="I132" s="500">
        <f>I130-I131</f>
        <v>-2149806.96</v>
      </c>
      <c r="J132" s="501">
        <f t="shared" si="25"/>
        <v>8.4333441733764003E-2</v>
      </c>
      <c r="K132" s="502">
        <f>K130-K131</f>
        <v>-2767586.37</v>
      </c>
      <c r="L132" s="503">
        <f t="shared" si="26"/>
        <v>-0.15771099132851996</v>
      </c>
      <c r="M132" s="504">
        <f>M130-M131</f>
        <v>-2331107.58</v>
      </c>
      <c r="N132" s="500">
        <f>N130-N131</f>
        <v>-2149806.96</v>
      </c>
      <c r="O132" s="501">
        <f t="shared" si="27"/>
        <v>8.4333441733764003E-2</v>
      </c>
      <c r="P132" s="505">
        <f>P130-P131</f>
        <v>-2767586.37</v>
      </c>
      <c r="Q132" s="506">
        <f t="shared" si="28"/>
        <v>-0.15771099132851996</v>
      </c>
      <c r="R132" s="507">
        <f>R130-R131</f>
        <v>-14902062.539999999</v>
      </c>
      <c r="S132" s="649">
        <f t="shared" si="29"/>
        <v>-0.84357148054218267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spans="1:41" s="5" customFormat="1" ht="16.5" customHeight="1">
      <c r="A133" s="292"/>
      <c r="B133" s="292"/>
      <c r="C133" s="14"/>
      <c r="D133" s="14"/>
      <c r="E133" s="15"/>
      <c r="F133" s="184"/>
      <c r="G133" s="508" t="s">
        <v>444</v>
      </c>
      <c r="H133" s="509" t="e">
        <f>#REF!</f>
        <v>#REF!</v>
      </c>
      <c r="I133" s="510"/>
      <c r="J133" s="511"/>
      <c r="K133" s="512" t="e">
        <f>#REF!</f>
        <v>#REF!</v>
      </c>
      <c r="L133" s="689" t="s">
        <v>445</v>
      </c>
      <c r="M133" s="509" t="e">
        <f>#REF!</f>
        <v>#REF!</v>
      </c>
      <c r="N133" s="510"/>
      <c r="O133" s="511"/>
      <c r="P133" s="512" t="e">
        <f>#REF!</f>
        <v>#REF!</v>
      </c>
      <c r="Q133" s="514"/>
      <c r="R133" s="515"/>
      <c r="S133" s="666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</row>
    <row r="134" spans="1:41" s="5" customFormat="1" ht="16.5" customHeight="1">
      <c r="A134" s="292"/>
      <c r="B134" s="304" t="s">
        <v>446</v>
      </c>
      <c r="C134" s="292" t="s">
        <v>447</v>
      </c>
      <c r="D134" s="124"/>
      <c r="E134" s="101" t="s">
        <v>448</v>
      </c>
      <c r="F134" s="184"/>
      <c r="G134" s="517" t="s">
        <v>449</v>
      </c>
      <c r="H134" s="518" t="e">
        <f>H130+H133</f>
        <v>#REF!</v>
      </c>
      <c r="I134" s="519"/>
      <c r="J134" s="520"/>
      <c r="K134" s="521" t="e">
        <f>K132+K133</f>
        <v>#REF!</v>
      </c>
      <c r="L134" s="690" t="s">
        <v>76</v>
      </c>
      <c r="M134" s="518" t="e">
        <f>M132+M133</f>
        <v>#REF!</v>
      </c>
      <c r="N134" s="519"/>
      <c r="O134" s="520"/>
      <c r="P134" s="521" t="e">
        <f>P132+P133</f>
        <v>#REF!</v>
      </c>
      <c r="Q134" s="523"/>
      <c r="R134" s="524"/>
      <c r="S134" s="667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</row>
    <row r="135" spans="1:41" ht="16.5" customHeight="1">
      <c r="F135" s="184"/>
      <c r="G135" s="526" t="s">
        <v>309</v>
      </c>
      <c r="H135" s="527"/>
      <c r="I135" s="528"/>
      <c r="J135" s="529"/>
      <c r="K135" s="530"/>
      <c r="L135" s="531"/>
      <c r="M135" s="532"/>
      <c r="N135" s="533"/>
      <c r="O135" s="529"/>
      <c r="P135" s="530"/>
      <c r="Q135" s="534"/>
      <c r="R135" s="535"/>
      <c r="S135" s="668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spans="1:41">
      <c r="G136" s="266"/>
      <c r="H136" s="84"/>
      <c r="I136" s="84"/>
      <c r="J136" s="84"/>
      <c r="K136" s="84"/>
      <c r="L136" s="84"/>
      <c r="M136" s="84"/>
      <c r="N136" s="305"/>
      <c r="O136" s="84"/>
      <c r="P136" s="84"/>
      <c r="Q136" s="84"/>
      <c r="R136" s="305"/>
      <c r="S136" s="84"/>
      <c r="T136" s="84"/>
      <c r="U136" s="305"/>
      <c r="V136" s="84"/>
      <c r="W136" s="594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spans="1:41">
      <c r="G137" s="266"/>
      <c r="H137" s="307"/>
      <c r="I137" s="84"/>
      <c r="J137" s="84"/>
      <c r="K137" s="84"/>
      <c r="L137" s="84"/>
      <c r="M137" s="84"/>
      <c r="N137" s="305"/>
      <c r="O137" s="84"/>
      <c r="P137" s="84"/>
      <c r="Q137" s="84"/>
      <c r="R137" s="305"/>
      <c r="S137" s="84"/>
      <c r="T137" s="84"/>
      <c r="U137" s="305"/>
      <c r="V137" s="84"/>
      <c r="W137" s="594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spans="1:41">
      <c r="G138" s="925" t="s">
        <v>450</v>
      </c>
      <c r="H138" s="948" t="s">
        <v>328</v>
      </c>
      <c r="I138" s="949"/>
      <c r="J138" s="949"/>
      <c r="K138" s="949"/>
      <c r="L138" s="950"/>
      <c r="M138" s="951" t="s">
        <v>451</v>
      </c>
      <c r="N138" s="952"/>
      <c r="O138" s="952"/>
      <c r="P138" s="952"/>
      <c r="Q138" s="953"/>
      <c r="R138" s="954" t="s">
        <v>330</v>
      </c>
      <c r="S138" s="955"/>
      <c r="T138" s="305"/>
      <c r="U138" s="84"/>
      <c r="V138" s="84"/>
      <c r="W138" s="84"/>
      <c r="X138" s="84"/>
      <c r="Y138" s="84"/>
      <c r="Z138" s="305"/>
      <c r="AA138" s="84"/>
      <c r="AB138" s="84"/>
      <c r="AC138" s="305"/>
      <c r="AD138" s="13"/>
      <c r="AE138" s="560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spans="1:41">
      <c r="G139" s="926"/>
      <c r="H139" s="308" t="s">
        <v>331</v>
      </c>
      <c r="I139" s="309" t="s">
        <v>249</v>
      </c>
      <c r="J139" s="309" t="s">
        <v>332</v>
      </c>
      <c r="K139" s="309" t="s">
        <v>270</v>
      </c>
      <c r="L139" s="310" t="s">
        <v>332</v>
      </c>
      <c r="M139" s="311" t="s">
        <v>331</v>
      </c>
      <c r="N139" s="311" t="s">
        <v>249</v>
      </c>
      <c r="O139" s="311" t="s">
        <v>332</v>
      </c>
      <c r="P139" s="311" t="s">
        <v>270</v>
      </c>
      <c r="Q139" s="312" t="s">
        <v>332</v>
      </c>
      <c r="R139" s="313" t="s">
        <v>245</v>
      </c>
      <c r="S139" s="595" t="s">
        <v>11</v>
      </c>
      <c r="T139" s="305"/>
      <c r="U139" s="84"/>
      <c r="V139" s="84"/>
      <c r="W139" s="84"/>
      <c r="X139" s="84"/>
      <c r="Y139" s="84"/>
      <c r="Z139" s="305"/>
      <c r="AA139" s="84"/>
      <c r="AB139" s="84"/>
      <c r="AC139" s="305"/>
      <c r="AD139" s="13"/>
      <c r="AE139" s="560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spans="1:41">
      <c r="G140" s="537" t="s">
        <v>452</v>
      </c>
      <c r="H140" s="538">
        <f>H124</f>
        <v>-1554893.3869500004</v>
      </c>
      <c r="I140" s="539">
        <f>I124</f>
        <v>-1362663.7304499997</v>
      </c>
      <c r="J140" s="540">
        <f t="shared" ref="J140:J148" si="30">IF(I140=0,"",H140/I140-1)</f>
        <v>0.14106903427782558</v>
      </c>
      <c r="K140" s="539">
        <f>K124</f>
        <v>-2047067.4540500001</v>
      </c>
      <c r="L140" s="541">
        <f t="shared" ref="L140:L148" si="31">IF(K140=0,"",H140/K140-1)</f>
        <v>-0.24042884670276143</v>
      </c>
      <c r="M140" s="539">
        <f>M124</f>
        <v>-1554893.3869500004</v>
      </c>
      <c r="N140" s="539">
        <f>N124</f>
        <v>-1362663.7304499997</v>
      </c>
      <c r="O140" s="540">
        <f t="shared" ref="O140:O148" si="32">IF(N140=0,"",M140/N140-1)</f>
        <v>0.14106903427782558</v>
      </c>
      <c r="P140" s="539">
        <f>P124</f>
        <v>-2047067.4540500001</v>
      </c>
      <c r="Q140" s="541">
        <f t="shared" ref="Q140:Q148" si="33">IF(P140=0,"",M140/P140-1)</f>
        <v>-0.24042884670276143</v>
      </c>
      <c r="R140" s="538">
        <f>R124</f>
        <v>-5834383.2804000042</v>
      </c>
      <c r="S140" s="542">
        <f t="shared" ref="S140:S148" si="34">IF(R140=0,"",M140/R140-1)</f>
        <v>-0.73349481646612058</v>
      </c>
      <c r="T140" s="305"/>
      <c r="U140" s="84"/>
      <c r="V140" s="84"/>
      <c r="W140" s="84"/>
      <c r="X140" s="84"/>
      <c r="Y140" s="84"/>
      <c r="Z140" s="305"/>
      <c r="AA140" s="84"/>
      <c r="AB140" s="84"/>
      <c r="AC140" s="305"/>
      <c r="AD140" s="13"/>
      <c r="AE140" s="560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spans="1:41">
      <c r="E141" s="315" t="s">
        <v>453</v>
      </c>
      <c r="G141" s="316" t="s">
        <v>454</v>
      </c>
      <c r="H141" s="108">
        <f>SUM(于洪:武汉!H141)</f>
        <v>139147.03</v>
      </c>
      <c r="I141" s="52">
        <f>SUM(于洪:武汉!I141)</f>
        <v>141666</v>
      </c>
      <c r="J141" s="317">
        <f t="shared" si="30"/>
        <v>-1.7781048381404152E-2</v>
      </c>
      <c r="K141" s="52">
        <f>SUM(于洪:武汉!K141)</f>
        <v>143750.92000000001</v>
      </c>
      <c r="L141" s="318">
        <f t="shared" si="31"/>
        <v>-3.2026855897687612E-2</v>
      </c>
      <c r="M141" s="52">
        <f>SUM(于洪:武汉!M141)</f>
        <v>139147.03</v>
      </c>
      <c r="N141" s="52">
        <f>SUM(于洪:武汉!N141)</f>
        <v>141666</v>
      </c>
      <c r="O141" s="317">
        <f t="shared" si="32"/>
        <v>-1.7781048381404152E-2</v>
      </c>
      <c r="P141" s="52">
        <f>SUM(于洪:武汉!P141)</f>
        <v>143750.92000000001</v>
      </c>
      <c r="Q141" s="318">
        <f t="shared" si="33"/>
        <v>-3.2026855897687612E-2</v>
      </c>
      <c r="R141" s="108">
        <f>SUM(于洪:武汉!R141)</f>
        <v>1700000</v>
      </c>
      <c r="S141" s="318">
        <f t="shared" si="34"/>
        <v>-0.91814880588235293</v>
      </c>
      <c r="T141" s="305"/>
      <c r="U141" s="84"/>
      <c r="V141" s="84"/>
      <c r="W141" s="84"/>
      <c r="X141" s="84"/>
      <c r="Y141" s="84"/>
      <c r="Z141" s="305"/>
      <c r="AA141" s="84"/>
      <c r="AB141" s="84"/>
      <c r="AC141" s="305"/>
      <c r="AD141" s="13"/>
      <c r="AE141" s="560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spans="1:41">
      <c r="E142" s="315" t="s">
        <v>453</v>
      </c>
      <c r="G142" s="316" t="s">
        <v>455</v>
      </c>
      <c r="H142" s="108">
        <f>SUM(于洪:武汉!H142)</f>
        <v>564984.24</v>
      </c>
      <c r="I142" s="52">
        <f>SUM(于洪:武汉!I142)</f>
        <v>553407.65</v>
      </c>
      <c r="J142" s="317">
        <f t="shared" si="30"/>
        <v>2.0918738654949864E-2</v>
      </c>
      <c r="K142" s="52">
        <f>SUM(于洪:武汉!K142)</f>
        <v>883823.55</v>
      </c>
      <c r="L142" s="318">
        <f t="shared" si="31"/>
        <v>-0.36074995964975143</v>
      </c>
      <c r="M142" s="52">
        <f>SUM(于洪:武汉!M142)</f>
        <v>564984.24</v>
      </c>
      <c r="N142" s="52">
        <f>SUM(于洪:武汉!N142)</f>
        <v>553407.65</v>
      </c>
      <c r="O142" s="317">
        <f t="shared" si="32"/>
        <v>2.0918738654949864E-2</v>
      </c>
      <c r="P142" s="52">
        <f>SUM(于洪:武汉!P142)</f>
        <v>883823.55</v>
      </c>
      <c r="Q142" s="318">
        <f t="shared" si="33"/>
        <v>-0.36074995964975143</v>
      </c>
      <c r="R142" s="108">
        <f>SUM(于洪:武汉!R142)</f>
        <v>7375785.9800000004</v>
      </c>
      <c r="S142" s="318">
        <f t="shared" si="34"/>
        <v>-0.92340013097831242</v>
      </c>
      <c r="T142" s="305"/>
      <c r="U142" s="84"/>
      <c r="V142" s="84"/>
      <c r="W142" s="84"/>
      <c r="X142" s="84"/>
      <c r="Y142" s="84"/>
      <c r="Z142" s="305"/>
      <c r="AA142" s="84"/>
      <c r="AB142" s="84"/>
      <c r="AC142" s="305"/>
      <c r="AD142" s="13"/>
      <c r="AE142" s="560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spans="1:41">
      <c r="E143" s="315" t="s">
        <v>453</v>
      </c>
      <c r="G143" s="316" t="s">
        <v>456</v>
      </c>
      <c r="H143" s="108">
        <f>SUM(于洪:武汉!H143)</f>
        <v>103771.03694999999</v>
      </c>
      <c r="I143" s="52">
        <f>SUM(于洪:武汉!I143)</f>
        <v>99829.550449999995</v>
      </c>
      <c r="J143" s="317">
        <f t="shared" si="30"/>
        <v>3.9482162167745249E-2</v>
      </c>
      <c r="K143" s="52">
        <f>SUM(于洪:武汉!K143)</f>
        <v>183468.17404999997</v>
      </c>
      <c r="L143" s="318">
        <f t="shared" si="31"/>
        <v>-0.43439216372361333</v>
      </c>
      <c r="M143" s="52">
        <f>SUM(于洪:武汉!M143)</f>
        <v>103771.03694999999</v>
      </c>
      <c r="N143" s="52">
        <f>SUM(于洪:武汉!N143)</f>
        <v>99829.550449999995</v>
      </c>
      <c r="O143" s="317">
        <f t="shared" si="32"/>
        <v>3.9482162167745249E-2</v>
      </c>
      <c r="P143" s="52">
        <f>SUM(于洪:武汉!P143)</f>
        <v>183468.17404999997</v>
      </c>
      <c r="Q143" s="318">
        <f t="shared" si="33"/>
        <v>-0.43439216372361333</v>
      </c>
      <c r="R143" s="108">
        <f>SUM(于洪:武汉!R143)</f>
        <v>1361952.4604</v>
      </c>
      <c r="S143" s="318">
        <f t="shared" si="34"/>
        <v>-0.92380715188875029</v>
      </c>
      <c r="T143" s="305"/>
      <c r="U143" s="84"/>
      <c r="V143" s="84"/>
      <c r="W143" s="84"/>
      <c r="X143" s="84"/>
      <c r="Y143" s="84"/>
      <c r="Z143" s="305"/>
      <c r="AA143" s="84"/>
      <c r="AB143" s="84"/>
      <c r="AC143" s="305"/>
      <c r="AD143" s="13"/>
      <c r="AE143" s="560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spans="1:41">
      <c r="E144" s="315" t="s">
        <v>457</v>
      </c>
      <c r="G144" s="316" t="s">
        <v>458</v>
      </c>
      <c r="H144" s="108">
        <f>SUM(于洪:武汉!H144)</f>
        <v>3.84</v>
      </c>
      <c r="I144" s="52">
        <f>SUM(于洪:武汉!I144)</f>
        <v>0</v>
      </c>
      <c r="J144" s="317" t="str">
        <f t="shared" si="30"/>
        <v/>
      </c>
      <c r="K144" s="52">
        <f>SUM(于洪:武汉!K144)</f>
        <v>2299.9499999999998</v>
      </c>
      <c r="L144" s="318">
        <f t="shared" si="31"/>
        <v>-0.99833039848692362</v>
      </c>
      <c r="M144" s="52">
        <f>SUM(于洪:武汉!M144)</f>
        <v>3.84</v>
      </c>
      <c r="N144" s="52">
        <f>SUM(于洪:武汉!N144)</f>
        <v>0</v>
      </c>
      <c r="O144" s="317" t="str">
        <f t="shared" si="32"/>
        <v/>
      </c>
      <c r="P144" s="52">
        <f>SUM(于洪:武汉!P144)</f>
        <v>2299.9499999999998</v>
      </c>
      <c r="Q144" s="318">
        <f t="shared" si="33"/>
        <v>-0.99833039848692362</v>
      </c>
      <c r="R144" s="108">
        <f>SUM(于洪:武汉!R144)</f>
        <v>0</v>
      </c>
      <c r="S144" s="318" t="str">
        <f t="shared" si="34"/>
        <v/>
      </c>
      <c r="T144" s="305"/>
      <c r="U144" s="84"/>
      <c r="V144" s="84"/>
      <c r="W144" s="84"/>
      <c r="X144" s="84"/>
      <c r="Y144" s="84"/>
      <c r="Z144" s="305"/>
      <c r="AA144" s="84"/>
      <c r="AB144" s="84"/>
      <c r="AC144" s="305"/>
      <c r="AD144" s="13"/>
      <c r="AE144" s="560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spans="1:45">
      <c r="E145" s="315" t="s">
        <v>457</v>
      </c>
      <c r="G145" s="316" t="s">
        <v>459</v>
      </c>
      <c r="H145" s="108">
        <f>SUM(于洪:武汉!H145)</f>
        <v>1730.61</v>
      </c>
      <c r="I145" s="52">
        <f>SUM(于洪:武汉!I145)</f>
        <v>0</v>
      </c>
      <c r="J145" s="317" t="str">
        <f t="shared" si="30"/>
        <v/>
      </c>
      <c r="K145" s="52">
        <f>SUM(于洪:武汉!K145)</f>
        <v>23566.79</v>
      </c>
      <c r="L145" s="318">
        <f t="shared" si="31"/>
        <v>-0.9265657308441243</v>
      </c>
      <c r="M145" s="52">
        <f>SUM(于洪:武汉!M145)</f>
        <v>1730.61</v>
      </c>
      <c r="N145" s="52">
        <f>SUM(于洪:武汉!N145)</f>
        <v>0</v>
      </c>
      <c r="O145" s="317" t="str">
        <f t="shared" si="32"/>
        <v/>
      </c>
      <c r="P145" s="52">
        <f>SUM(于洪:武汉!P145)</f>
        <v>23566.79</v>
      </c>
      <c r="Q145" s="318">
        <f t="shared" si="33"/>
        <v>-0.9265657308441243</v>
      </c>
      <c r="R145" s="108">
        <f>SUM(于洪:武汉!R145)</f>
        <v>0</v>
      </c>
      <c r="S145" s="318" t="str">
        <f t="shared" si="34"/>
        <v/>
      </c>
      <c r="T145" s="305"/>
      <c r="U145" s="84"/>
      <c r="V145" s="84"/>
      <c r="W145" s="84"/>
      <c r="X145" s="84"/>
      <c r="Y145" s="84"/>
      <c r="Z145" s="305"/>
      <c r="AA145" s="84"/>
      <c r="AB145" s="84"/>
      <c r="AC145" s="305"/>
      <c r="AD145" s="13"/>
      <c r="AE145" s="560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spans="1:45">
      <c r="E146" s="315" t="s">
        <v>453</v>
      </c>
      <c r="G146" s="316" t="s">
        <v>460</v>
      </c>
      <c r="H146" s="108">
        <f>SUM(于洪:武汉!H146)</f>
        <v>274677.58999999997</v>
      </c>
      <c r="I146" s="52">
        <f>SUM(于洪:武汉!I146)</f>
        <v>285940.02</v>
      </c>
      <c r="J146" s="317">
        <f t="shared" si="30"/>
        <v>-3.938738620777904E-2</v>
      </c>
      <c r="K146" s="52">
        <f>SUM(于洪:武汉!K146)</f>
        <v>308993.82</v>
      </c>
      <c r="L146" s="318">
        <f t="shared" si="31"/>
        <v>-0.11105798167743308</v>
      </c>
      <c r="M146" s="52">
        <f>SUM(于洪:武汉!M146)</f>
        <v>274677.58999999997</v>
      </c>
      <c r="N146" s="52">
        <f>SUM(于洪:武汉!N146)</f>
        <v>285940.02</v>
      </c>
      <c r="O146" s="317">
        <f t="shared" si="32"/>
        <v>-3.938738620777904E-2</v>
      </c>
      <c r="P146" s="52">
        <f>SUM(于洪:武汉!P146)</f>
        <v>308993.82</v>
      </c>
      <c r="Q146" s="318">
        <f t="shared" si="33"/>
        <v>-0.11105798167743308</v>
      </c>
      <c r="R146" s="108">
        <f>SUM(于洪:武汉!R146)</f>
        <v>3271051.1500000004</v>
      </c>
      <c r="S146" s="318">
        <f t="shared" si="34"/>
        <v>-0.91602773010749161</v>
      </c>
      <c r="T146" s="305"/>
      <c r="U146" s="84"/>
      <c r="V146" s="84"/>
      <c r="W146" s="84"/>
      <c r="X146" s="84"/>
      <c r="Y146" s="84"/>
      <c r="Z146" s="305"/>
      <c r="AA146" s="84"/>
      <c r="AB146" s="84"/>
      <c r="AC146" s="305"/>
      <c r="AD146" s="13"/>
      <c r="AE146" s="560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spans="1:45">
      <c r="E147" s="315" t="s">
        <v>461</v>
      </c>
      <c r="G147" s="316" t="s">
        <v>462</v>
      </c>
      <c r="H147" s="108">
        <f>SUM(于洪:武汉!H147)</f>
        <v>0</v>
      </c>
      <c r="I147" s="52">
        <f>SUM(于洪:武汉!I147)</f>
        <v>0</v>
      </c>
      <c r="J147" s="317" t="str">
        <f t="shared" si="30"/>
        <v/>
      </c>
      <c r="K147" s="52">
        <f>SUM(于洪:武汉!K147)</f>
        <v>0</v>
      </c>
      <c r="L147" s="318" t="str">
        <f t="shared" si="31"/>
        <v/>
      </c>
      <c r="M147" s="52">
        <f>SUM(于洪:武汉!M147)</f>
        <v>0</v>
      </c>
      <c r="N147" s="52">
        <f>SUM(于洪:武汉!N147)</f>
        <v>0</v>
      </c>
      <c r="O147" s="317" t="str">
        <f t="shared" si="32"/>
        <v/>
      </c>
      <c r="P147" s="52">
        <f>SUM(于洪:武汉!P147)</f>
        <v>0</v>
      </c>
      <c r="Q147" s="318" t="str">
        <f t="shared" si="33"/>
        <v/>
      </c>
      <c r="R147" s="108">
        <f>SUM(于洪:武汉!R147)</f>
        <v>0</v>
      </c>
      <c r="S147" s="318" t="str">
        <f t="shared" si="34"/>
        <v/>
      </c>
      <c r="T147" s="305"/>
      <c r="U147" s="84"/>
      <c r="V147" s="84"/>
      <c r="W147" s="84"/>
      <c r="X147" s="84"/>
      <c r="Y147" s="84"/>
      <c r="Z147" s="305"/>
      <c r="AA147" s="84"/>
      <c r="AB147" s="84"/>
      <c r="AC147" s="305"/>
      <c r="AD147" s="13"/>
      <c r="AE147" s="560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spans="1:45">
      <c r="G148" s="543" t="s">
        <v>463</v>
      </c>
      <c r="H148" s="544">
        <f>H140+H141+H142+H143+H144-H145-H146-H147</f>
        <v>-1023395.4400000004</v>
      </c>
      <c r="I148" s="545">
        <f>I140+I141+I142+I143+I144-I145-I146-I147</f>
        <v>-853700.5499999997</v>
      </c>
      <c r="J148" s="546">
        <f t="shared" si="30"/>
        <v>0.19877565968535538</v>
      </c>
      <c r="K148" s="545">
        <f>K140+K141+K142+K143+K144-K145-K146-K147</f>
        <v>-1166285.4700000002</v>
      </c>
      <c r="L148" s="547">
        <f t="shared" si="31"/>
        <v>-0.12251719984130449</v>
      </c>
      <c r="M148" s="545">
        <f>M140+M141+M142+M143+M144-M145-M146-M147</f>
        <v>-1023395.4400000004</v>
      </c>
      <c r="N148" s="545">
        <f>N140+N141+N142+N143+N144-N145-N146-N147</f>
        <v>-853700.5499999997</v>
      </c>
      <c r="O148" s="546">
        <f t="shared" si="32"/>
        <v>0.19877565968535538</v>
      </c>
      <c r="P148" s="545">
        <f>P140+P141+P142+P143+P144-P145-P146-P147</f>
        <v>-1166285.4700000002</v>
      </c>
      <c r="Q148" s="547">
        <f t="shared" si="33"/>
        <v>-0.12251719984130449</v>
      </c>
      <c r="R148" s="544">
        <f>R140+R141+R142+R143+R144-R145-R146-R147</f>
        <v>1332304.0099999961</v>
      </c>
      <c r="S148" s="547">
        <f t="shared" si="34"/>
        <v>-1.7681395779931663</v>
      </c>
      <c r="T148" s="305"/>
      <c r="U148" s="84"/>
      <c r="V148" s="84"/>
      <c r="W148" s="84"/>
      <c r="X148" s="84"/>
      <c r="Y148" s="84"/>
      <c r="Z148" s="305"/>
      <c r="AA148" s="84"/>
      <c r="AB148" s="84"/>
      <c r="AC148" s="305"/>
      <c r="AD148" s="13"/>
      <c r="AE148" s="560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spans="1:45">
      <c r="G149" s="266"/>
      <c r="H149" s="84" t="e">
        <f>'汇总明细-1月'!#REF!</f>
        <v>#REF!</v>
      </c>
      <c r="I149" s="84"/>
      <c r="J149" s="84"/>
      <c r="K149" s="84"/>
      <c r="L149" s="84"/>
      <c r="M149" s="691" t="e">
        <f>'汇总明细-累计'!#REF!</f>
        <v>#REF!</v>
      </c>
      <c r="N149" s="84"/>
      <c r="O149" s="84"/>
      <c r="P149" s="305"/>
      <c r="Q149" s="84"/>
      <c r="R149" s="84"/>
      <c r="S149" s="84"/>
      <c r="T149" s="84"/>
      <c r="U149" s="84"/>
      <c r="V149" s="305"/>
      <c r="W149" s="84"/>
      <c r="X149" s="84"/>
      <c r="Y149" s="305"/>
      <c r="Z149" s="13"/>
      <c r="AA149" s="560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</row>
    <row r="150" spans="1:45">
      <c r="G150" s="266"/>
      <c r="H150" s="84" t="e">
        <f>H148+H149</f>
        <v>#REF!</v>
      </c>
      <c r="I150" s="84"/>
      <c r="J150" s="84"/>
      <c r="K150" s="84"/>
      <c r="L150" s="84"/>
      <c r="M150" s="691" t="e">
        <f>M148+M149</f>
        <v>#REF!</v>
      </c>
      <c r="N150" s="84"/>
      <c r="O150" s="84"/>
      <c r="P150" s="305"/>
      <c r="Q150" s="84"/>
      <c r="R150" s="84"/>
      <c r="S150" s="84"/>
      <c r="T150" s="84"/>
      <c r="U150" s="84"/>
      <c r="V150" s="305"/>
      <c r="W150" s="84"/>
      <c r="X150" s="84"/>
      <c r="Y150" s="305"/>
      <c r="Z150" s="13"/>
      <c r="AA150" s="560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spans="1:45">
      <c r="G151" s="925" t="s">
        <v>464</v>
      </c>
      <c r="H151" s="928" t="s">
        <v>465</v>
      </c>
      <c r="I151" s="932" t="s">
        <v>328</v>
      </c>
      <c r="J151" s="933"/>
      <c r="K151" s="934" t="s">
        <v>329</v>
      </c>
      <c r="L151" s="935"/>
      <c r="M151" s="930" t="s">
        <v>466</v>
      </c>
      <c r="N151" s="84"/>
      <c r="O151" s="84"/>
      <c r="P151" s="305"/>
      <c r="Q151" s="84"/>
      <c r="R151" s="84"/>
      <c r="S151" s="84"/>
      <c r="T151" s="84"/>
      <c r="U151" s="84"/>
      <c r="V151" s="305"/>
      <c r="W151" s="84"/>
      <c r="X151" s="84"/>
      <c r="Y151" s="305"/>
      <c r="Z151" s="13"/>
      <c r="AA151" s="560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spans="1:45" ht="15.75" customHeight="1">
      <c r="G152" s="926"/>
      <c r="H152" s="929"/>
      <c r="I152" s="309" t="s">
        <v>467</v>
      </c>
      <c r="J152" s="309" t="s">
        <v>468</v>
      </c>
      <c r="K152" s="311" t="s">
        <v>469</v>
      </c>
      <c r="L152" s="311" t="s">
        <v>470</v>
      </c>
      <c r="M152" s="931"/>
      <c r="N152" s="84"/>
      <c r="O152" s="84"/>
      <c r="P152" s="305"/>
      <c r="Q152" s="84"/>
      <c r="R152" s="84"/>
      <c r="S152" s="84"/>
      <c r="T152" s="84"/>
      <c r="U152" s="84"/>
      <c r="V152" s="305"/>
      <c r="W152" s="84"/>
      <c r="X152" s="84"/>
      <c r="Y152" s="305"/>
      <c r="Z152" s="13"/>
      <c r="AA152" s="560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</row>
    <row r="153" spans="1:45">
      <c r="G153" s="319" t="s">
        <v>354</v>
      </c>
      <c r="H153" s="320">
        <f>[2]酒店主体!H149</f>
        <v>0</v>
      </c>
      <c r="I153" s="321">
        <f>[2]酒店主体!I149</f>
        <v>0</v>
      </c>
      <c r="J153" s="322">
        <f>[2]酒店主体!J149</f>
        <v>0</v>
      </c>
      <c r="K153" s="321">
        <f>[2]酒店主体!K149</f>
        <v>0</v>
      </c>
      <c r="L153" s="321">
        <f>[2]酒店主体!L149</f>
        <v>0</v>
      </c>
      <c r="M153" s="322">
        <f>[2]酒店主体!M149</f>
        <v>0</v>
      </c>
      <c r="N153" s="84"/>
      <c r="O153" s="84"/>
      <c r="P153" s="305"/>
      <c r="Q153" s="84"/>
      <c r="R153" s="84"/>
      <c r="S153" s="84"/>
      <c r="T153" s="84"/>
      <c r="U153" s="84"/>
      <c r="V153" s="305"/>
      <c r="W153" s="84"/>
      <c r="X153" s="84"/>
      <c r="Y153" s="305"/>
      <c r="Z153" s="13"/>
      <c r="AA153" s="560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spans="1:45">
      <c r="G154" s="266"/>
      <c r="H154" s="84"/>
      <c r="I154" s="84"/>
      <c r="J154" s="84"/>
      <c r="K154" s="84"/>
      <c r="L154" s="84"/>
      <c r="M154" s="305"/>
      <c r="N154" s="84"/>
      <c r="O154" s="84"/>
      <c r="P154" s="305"/>
      <c r="Q154" s="84"/>
      <c r="R154" s="84"/>
      <c r="S154" s="84"/>
      <c r="T154" s="84"/>
      <c r="U154" s="84"/>
      <c r="V154" s="305"/>
      <c r="W154" s="84"/>
      <c r="X154" s="84"/>
      <c r="Y154" s="305"/>
      <c r="Z154" s="84"/>
      <c r="AA154" s="594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spans="1:45">
      <c r="G155" s="266"/>
      <c r="H155" s="84"/>
      <c r="I155" s="84"/>
      <c r="J155" s="84"/>
      <c r="K155" s="84"/>
      <c r="L155" s="84"/>
      <c r="M155" s="305"/>
      <c r="N155" s="84"/>
      <c r="O155" s="84"/>
      <c r="P155" s="305"/>
      <c r="Q155" s="84"/>
      <c r="R155" s="84"/>
      <c r="S155" s="84"/>
      <c r="T155" s="84"/>
      <c r="U155" s="84"/>
      <c r="V155" s="305"/>
      <c r="W155" s="84"/>
      <c r="X155" s="84"/>
      <c r="Y155" s="305"/>
      <c r="Z155" s="84"/>
      <c r="AA155" s="594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spans="1:45" ht="17.149999999999999">
      <c r="G156" s="925" t="s">
        <v>471</v>
      </c>
      <c r="H156" s="936" t="s">
        <v>2</v>
      </c>
      <c r="I156" s="937"/>
      <c r="J156" s="937"/>
      <c r="K156" s="937"/>
      <c r="L156" s="937"/>
      <c r="M156" s="938" t="s">
        <v>210</v>
      </c>
      <c r="N156" s="939"/>
      <c r="O156" s="939"/>
      <c r="P156" s="939"/>
      <c r="Q156" s="939"/>
      <c r="R156" s="936" t="s">
        <v>241</v>
      </c>
      <c r="S156" s="937"/>
      <c r="T156" s="937"/>
      <c r="U156" s="937"/>
      <c r="V156" s="937"/>
      <c r="W156" s="914" t="s">
        <v>5</v>
      </c>
      <c r="X156" s="915"/>
      <c r="Y156" s="916" t="s">
        <v>6</v>
      </c>
      <c r="Z156" s="916"/>
      <c r="AA156" s="916"/>
      <c r="AB156" s="916"/>
      <c r="AC156" s="916"/>
      <c r="AD156" s="917" t="s">
        <v>7</v>
      </c>
      <c r="AE156" s="918"/>
      <c r="AF156" s="919"/>
      <c r="AG156" s="920" t="s">
        <v>8</v>
      </c>
      <c r="AH156" s="921"/>
      <c r="AI156" s="921"/>
      <c r="AJ156" s="922"/>
      <c r="AK156" s="323" t="s">
        <v>472</v>
      </c>
      <c r="AL156" s="13"/>
      <c r="AM156" s="13"/>
      <c r="AN156" s="13"/>
      <c r="AO156" s="13"/>
      <c r="AP156" s="13"/>
      <c r="AQ156" s="13"/>
      <c r="AR156" s="13"/>
      <c r="AS156" s="13"/>
    </row>
    <row r="157" spans="1:45">
      <c r="G157" s="927"/>
      <c r="H157" s="324" t="s">
        <v>9</v>
      </c>
      <c r="I157" s="324" t="s">
        <v>10</v>
      </c>
      <c r="J157" s="325" t="s">
        <v>11</v>
      </c>
      <c r="K157" s="324" t="s">
        <v>12</v>
      </c>
      <c r="L157" s="326" t="s">
        <v>13</v>
      </c>
      <c r="M157" s="327" t="s">
        <v>9</v>
      </c>
      <c r="N157" s="327" t="s">
        <v>10</v>
      </c>
      <c r="O157" s="328" t="s">
        <v>11</v>
      </c>
      <c r="P157" s="327" t="s">
        <v>12</v>
      </c>
      <c r="Q157" s="329" t="s">
        <v>13</v>
      </c>
      <c r="R157" s="324" t="s">
        <v>9</v>
      </c>
      <c r="S157" s="324" t="s">
        <v>10</v>
      </c>
      <c r="T157" s="325" t="s">
        <v>11</v>
      </c>
      <c r="U157" s="324" t="s">
        <v>12</v>
      </c>
      <c r="V157" s="326" t="s">
        <v>13</v>
      </c>
      <c r="W157" s="327" t="s">
        <v>226</v>
      </c>
      <c r="X157" s="327" t="s">
        <v>15</v>
      </c>
      <c r="Y157" s="324" t="s">
        <v>16</v>
      </c>
      <c r="Z157" s="324" t="s">
        <v>227</v>
      </c>
      <c r="AA157" s="596" t="s">
        <v>228</v>
      </c>
      <c r="AB157" s="324" t="s">
        <v>226</v>
      </c>
      <c r="AC157" s="324" t="s">
        <v>19</v>
      </c>
      <c r="AD157" s="327" t="s">
        <v>20</v>
      </c>
      <c r="AE157" s="327" t="s">
        <v>226</v>
      </c>
      <c r="AF157" s="327" t="s">
        <v>21</v>
      </c>
      <c r="AG157" s="324" t="s">
        <v>22</v>
      </c>
      <c r="AH157" s="324" t="s">
        <v>226</v>
      </c>
      <c r="AI157" s="324" t="s">
        <v>23</v>
      </c>
      <c r="AJ157" s="331" t="s">
        <v>24</v>
      </c>
      <c r="AK157" s="332" t="s">
        <v>9</v>
      </c>
      <c r="AL157" s="13"/>
      <c r="AM157" s="13"/>
      <c r="AN157" s="13"/>
      <c r="AO157" s="13"/>
      <c r="AP157" s="13"/>
      <c r="AQ157" s="13"/>
      <c r="AR157" s="13"/>
      <c r="AS157" s="13"/>
    </row>
    <row r="158" spans="1:45">
      <c r="G158" s="333" t="str">
        <f>H2</f>
        <v>2026年1月</v>
      </c>
      <c r="H158" s="334">
        <f>SUM(于洪:武汉!H158)</f>
        <v>4097415.6100000003</v>
      </c>
      <c r="I158" s="334">
        <f>SUM(于洪:武汉!I158)</f>
        <v>4483405.87</v>
      </c>
      <c r="J158" s="335">
        <f>H158/I158</f>
        <v>0.91390691113138067</v>
      </c>
      <c r="K158" s="334">
        <f>SUM(于洪:武汉!K158)</f>
        <v>5001951.29</v>
      </c>
      <c r="L158" s="335"/>
      <c r="M158" s="334">
        <f>SUM(于洪:武汉!M158)</f>
        <v>-646980.90999999992</v>
      </c>
      <c r="N158" s="334">
        <f>SUM(于洪:武汉!N158)</f>
        <v>-468430.93000000011</v>
      </c>
      <c r="O158" s="335"/>
      <c r="P158" s="334">
        <f>SUM(于洪:武汉!P158)</f>
        <v>-712127.33</v>
      </c>
      <c r="Q158" s="335">
        <f>[2]酒店主体!Q154</f>
        <v>0.35005865918173301</v>
      </c>
      <c r="R158" s="334">
        <f>SUM(于洪:武汉!R158)</f>
        <v>-1023395.44</v>
      </c>
      <c r="S158" s="334">
        <f>SUM(于洪:武汉!S158)</f>
        <v>-853700.55</v>
      </c>
      <c r="T158" s="335">
        <f>[2]酒店主体!T154</f>
        <v>-0.62718640693583705</v>
      </c>
      <c r="U158" s="334">
        <f>SUM(于洪:武汉!U158)</f>
        <v>-1166285.47</v>
      </c>
      <c r="V158" s="561">
        <f>[2]酒店主体!V154</f>
        <v>0.28422648042450899</v>
      </c>
      <c r="W158" s="334">
        <f>[2]酒店主体!W154</f>
        <v>1.4688740464288501</v>
      </c>
      <c r="X158" s="561">
        <f>[2]酒店主体!X154</f>
        <v>-0.40544012440454702</v>
      </c>
      <c r="Y158" s="561">
        <f>[2]酒店主体!Y154</f>
        <v>0.27480410232772501</v>
      </c>
      <c r="Z158" s="669">
        <f>[2]酒店主体!Z154</f>
        <v>193.769229478981</v>
      </c>
      <c r="AA158" s="669">
        <f>[2]酒店主体!AA154</f>
        <v>53.248579165706403</v>
      </c>
      <c r="AB158" s="338">
        <f>[2]酒店主体!AB154</f>
        <v>3.2149003395928601</v>
      </c>
      <c r="AC158" s="561">
        <f>[2]酒店主体!AC154</f>
        <v>0.53395630746575196</v>
      </c>
      <c r="AD158" s="561">
        <f>[2]酒店主体!AD154</f>
        <v>0.66317678649824496</v>
      </c>
      <c r="AE158" s="338">
        <f>[2]酒店主体!AE154</f>
        <v>2.8520062587199999</v>
      </c>
      <c r="AF158" s="561">
        <f>[2]酒店主体!AF154</f>
        <v>0.25435811353656801</v>
      </c>
      <c r="AG158" s="561">
        <f>[2]酒店主体!AG154</f>
        <v>0.35515130786911497</v>
      </c>
      <c r="AH158" s="338">
        <f>[2]酒店主体!AH154</f>
        <v>2.7009853392227701</v>
      </c>
      <c r="AI158" s="597">
        <f>[2]酒店主体!AI154</f>
        <v>2.8114986468625699E-2</v>
      </c>
      <c r="AJ158" s="670">
        <f>[2]酒店主体!AJ154</f>
        <v>0.82206270346233901</v>
      </c>
      <c r="AK158" s="341">
        <f>[2]酒店主体!AK154</f>
        <v>0</v>
      </c>
      <c r="AL158" s="13"/>
      <c r="AM158" s="13"/>
      <c r="AN158" s="13"/>
      <c r="AO158" s="13"/>
      <c r="AP158" s="13"/>
      <c r="AQ158" s="13"/>
      <c r="AR158" s="13"/>
      <c r="AS158" s="13"/>
    </row>
    <row r="159" spans="1:45">
      <c r="G159" s="342" t="s">
        <v>473</v>
      </c>
      <c r="H159" s="343">
        <f>SUM(于洪:武汉!H159)</f>
        <v>4097415.6100000003</v>
      </c>
      <c r="I159" s="343">
        <f>SUM(于洪:武汉!I159)</f>
        <v>4483405.87</v>
      </c>
      <c r="J159" s="344">
        <f>H159/I159</f>
        <v>0.91390691113138067</v>
      </c>
      <c r="K159" s="343">
        <f>SUM(于洪:武汉!K159)</f>
        <v>5001951.29</v>
      </c>
      <c r="L159" s="344"/>
      <c r="M159" s="343">
        <f>SUM(于洪:武汉!M159)</f>
        <v>-646980.90999999992</v>
      </c>
      <c r="N159" s="343">
        <f>SUM(于洪:武汉!N159)</f>
        <v>-468430.93000000011</v>
      </c>
      <c r="O159" s="344"/>
      <c r="P159" s="343">
        <f>SUM(于洪:武汉!P159)</f>
        <v>-712127.33</v>
      </c>
      <c r="Q159" s="344">
        <f>[2]酒店主体!Q155</f>
        <v>0.15621406690995299</v>
      </c>
      <c r="R159" s="343">
        <f>SUM(于洪:武汉!R159)</f>
        <v>-1023395.44</v>
      </c>
      <c r="S159" s="343">
        <f>SUM(于洪:武汉!S159)</f>
        <v>-853700.55</v>
      </c>
      <c r="T159" s="344">
        <f>[2]酒店主体!T155</f>
        <v>0.53154149982218402</v>
      </c>
      <c r="U159" s="343">
        <f>SUM(于洪:武汉!U159)</f>
        <v>-1166285.47</v>
      </c>
      <c r="V159" s="598">
        <f>[2]酒店主体!V155</f>
        <v>0.11101040172977</v>
      </c>
      <c r="W159" s="343">
        <f>[2]酒店主体!W155</f>
        <v>1.9300584353463699</v>
      </c>
      <c r="X159" s="598">
        <f>[2]酒店主体!X155</f>
        <v>-0.249537913735913</v>
      </c>
      <c r="Y159" s="598">
        <f>[2]酒店主体!Y155</f>
        <v>0.29355229452530801</v>
      </c>
      <c r="Z159" s="343">
        <f>[2]酒店主体!Z155</f>
        <v>206.23829330988301</v>
      </c>
      <c r="AA159" s="599">
        <f>[2]酒店主体!AA155</f>
        <v>60.541724220099702</v>
      </c>
      <c r="AB159" s="347">
        <f>[2]酒店主体!AB155</f>
        <v>3.5265349798060801</v>
      </c>
      <c r="AC159" s="600">
        <f>[2]酒店主体!AC155</f>
        <v>0.56821556491416403</v>
      </c>
      <c r="AD159" s="600">
        <f>[2]酒店主体!AD155</f>
        <v>0.59620918544418999</v>
      </c>
      <c r="AE159" s="347">
        <f>[2]酒店主体!AE155</f>
        <v>3.5360379340621799</v>
      </c>
      <c r="AF159" s="600">
        <f>[2]酒店主体!AF155</f>
        <v>0.26798291923385997</v>
      </c>
      <c r="AG159" s="600">
        <f>[2]酒店主体!AG155</f>
        <v>0.34565001468045897</v>
      </c>
      <c r="AH159" s="347">
        <f>[2]酒店主体!AH155</f>
        <v>4.0342332705458697</v>
      </c>
      <c r="AI159" s="600">
        <f>[2]酒店主体!AI155</f>
        <v>2.7249454581250599E-2</v>
      </c>
      <c r="AJ159" s="671">
        <f>[2]酒店主体!AJ155</f>
        <v>0.661399796330844</v>
      </c>
      <c r="AK159" s="350">
        <f>[2]酒店主体!AK155</f>
        <v>0</v>
      </c>
      <c r="AL159" s="13"/>
      <c r="AM159" s="13"/>
      <c r="AN159" s="13"/>
      <c r="AO159" s="13"/>
      <c r="AP159" s="13"/>
      <c r="AQ159" s="13"/>
      <c r="AR159" s="13"/>
      <c r="AS159" s="13"/>
    </row>
    <row r="160" spans="1:45" s="13" customFormat="1">
      <c r="A160" s="14"/>
      <c r="B160" s="14"/>
      <c r="C160" s="14"/>
      <c r="D160" s="14"/>
      <c r="E160" s="15"/>
      <c r="F160" s="16"/>
      <c r="G160" s="266"/>
      <c r="H160" s="84"/>
      <c r="I160" s="84"/>
      <c r="J160" s="84"/>
      <c r="K160" s="84"/>
      <c r="L160" s="84"/>
      <c r="M160" s="305"/>
      <c r="N160" s="84"/>
      <c r="O160" s="84"/>
      <c r="P160" s="305"/>
      <c r="Q160" s="84"/>
      <c r="R160" s="84"/>
      <c r="S160" s="84"/>
      <c r="T160" s="84"/>
      <c r="U160" s="84"/>
      <c r="V160" s="305"/>
      <c r="W160" s="84"/>
      <c r="X160" s="84"/>
      <c r="Y160" s="305"/>
      <c r="Z160" s="84"/>
      <c r="AA160" s="594"/>
    </row>
    <row r="161" spans="1:27" s="13" customFormat="1">
      <c r="A161" s="14"/>
      <c r="B161" s="14"/>
      <c r="C161" s="14"/>
      <c r="D161" s="14"/>
      <c r="E161" s="15"/>
      <c r="F161" s="16"/>
      <c r="G161" s="266"/>
      <c r="H161" s="692"/>
      <c r="I161" s="84"/>
      <c r="J161" s="84"/>
      <c r="K161" s="84"/>
      <c r="L161" s="84"/>
      <c r="M161" s="305"/>
      <c r="N161" s="84"/>
      <c r="O161" s="84"/>
      <c r="P161" s="305"/>
      <c r="Q161" s="84"/>
      <c r="R161" s="84"/>
      <c r="S161" s="84"/>
      <c r="T161" s="84"/>
      <c r="U161" s="84"/>
      <c r="V161" s="305"/>
      <c r="W161" s="84"/>
      <c r="X161" s="84"/>
      <c r="Y161" s="305"/>
      <c r="Z161" s="84"/>
      <c r="AA161" s="594"/>
    </row>
    <row r="162" spans="1:27" s="13" customFormat="1">
      <c r="A162" s="14"/>
      <c r="B162" s="14"/>
      <c r="C162" s="14"/>
      <c r="D162" s="14"/>
      <c r="E162" s="15"/>
      <c r="F162" s="16"/>
      <c r="H162" s="692"/>
      <c r="J162" s="692"/>
      <c r="K162" s="692"/>
      <c r="L162" s="692"/>
      <c r="M162" s="305"/>
      <c r="N162" s="84"/>
      <c r="O162" s="84"/>
      <c r="P162" s="305"/>
      <c r="Q162" s="84"/>
      <c r="R162" s="84"/>
      <c r="S162" s="84"/>
      <c r="T162" s="84"/>
      <c r="U162" s="84"/>
      <c r="V162" s="305"/>
      <c r="W162" s="84"/>
      <c r="X162" s="84"/>
      <c r="Y162" s="305"/>
      <c r="Z162" s="84"/>
      <c r="AA162" s="594"/>
    </row>
    <row r="163" spans="1:27" s="13" customFormat="1">
      <c r="A163" s="14"/>
      <c r="B163" s="14"/>
      <c r="C163" s="14"/>
      <c r="D163" s="14"/>
      <c r="E163" s="15"/>
      <c r="F163" s="16"/>
      <c r="G163" s="693"/>
      <c r="H163" s="692"/>
      <c r="J163" s="692"/>
      <c r="K163" s="692"/>
      <c r="L163" s="692"/>
      <c r="M163" s="305"/>
      <c r="N163" s="84"/>
      <c r="O163" s="84"/>
      <c r="P163" s="305"/>
      <c r="Q163" s="84"/>
      <c r="R163" s="84"/>
      <c r="S163" s="84"/>
      <c r="T163" s="84"/>
      <c r="U163" s="84"/>
      <c r="V163" s="305"/>
      <c r="W163" s="84"/>
      <c r="X163" s="84"/>
      <c r="Y163" s="305"/>
      <c r="Z163" s="84"/>
      <c r="AA163" s="594"/>
    </row>
    <row r="164" spans="1:27" s="13" customFormat="1">
      <c r="A164" s="14"/>
      <c r="B164" s="14"/>
      <c r="C164" s="14"/>
      <c r="D164" s="14"/>
      <c r="E164" s="15"/>
      <c r="F164" s="16"/>
      <c r="G164" s="693"/>
      <c r="H164" s="84"/>
      <c r="I164" s="84"/>
      <c r="J164" s="84"/>
      <c r="K164" s="84"/>
      <c r="L164" s="84"/>
      <c r="M164" s="305"/>
      <c r="N164" s="84"/>
      <c r="O164" s="84"/>
      <c r="P164" s="305"/>
      <c r="Q164" s="84"/>
      <c r="R164" s="84"/>
      <c r="S164" s="84"/>
      <c r="T164" s="84"/>
      <c r="U164" s="84"/>
      <c r="V164" s="305"/>
      <c r="W164" s="84"/>
      <c r="X164" s="84"/>
      <c r="Y164" s="305"/>
      <c r="Z164" s="84"/>
      <c r="AA164" s="594"/>
    </row>
    <row r="165" spans="1:27" s="13" customFormat="1">
      <c r="A165" s="14"/>
      <c r="B165" s="14"/>
      <c r="C165" s="14"/>
      <c r="D165" s="14"/>
      <c r="E165" s="15"/>
      <c r="F165" s="16"/>
      <c r="G165" s="693"/>
      <c r="H165" s="84"/>
      <c r="I165" s="84"/>
      <c r="J165" s="84"/>
      <c r="K165" s="84"/>
      <c r="L165" s="84"/>
      <c r="M165" s="305"/>
      <c r="N165" s="84"/>
      <c r="O165" s="84"/>
      <c r="P165" s="305"/>
      <c r="Q165" s="84"/>
      <c r="R165" s="84"/>
      <c r="S165" s="84"/>
      <c r="T165" s="84"/>
      <c r="U165" s="84"/>
      <c r="V165" s="305"/>
      <c r="W165" s="84"/>
      <c r="X165" s="84"/>
      <c r="Y165" s="305"/>
      <c r="Z165" s="84"/>
      <c r="AA165" s="594"/>
    </row>
    <row r="166" spans="1:27" s="13" customFormat="1">
      <c r="A166" s="14"/>
      <c r="B166" s="14"/>
      <c r="C166" s="14"/>
      <c r="D166" s="14"/>
      <c r="E166" s="15"/>
      <c r="F166" s="16"/>
      <c r="G166" s="693"/>
      <c r="H166" s="84"/>
      <c r="I166" s="84"/>
      <c r="J166" s="84"/>
      <c r="K166" s="84"/>
      <c r="L166" s="84"/>
      <c r="M166" s="305"/>
      <c r="N166" s="84"/>
      <c r="O166" s="84"/>
      <c r="P166" s="305"/>
      <c r="Q166" s="84"/>
      <c r="R166" s="84"/>
      <c r="S166" s="84"/>
      <c r="T166" s="84"/>
      <c r="U166" s="84"/>
      <c r="V166" s="305"/>
      <c r="W166" s="84"/>
      <c r="X166" s="84"/>
      <c r="Y166" s="305"/>
      <c r="Z166" s="84"/>
      <c r="AA166" s="594"/>
    </row>
    <row r="167" spans="1:27" s="13" customFormat="1">
      <c r="A167" s="14"/>
      <c r="B167" s="14"/>
      <c r="C167" s="14"/>
      <c r="D167" s="14"/>
      <c r="E167" s="15"/>
      <c r="F167" s="16"/>
      <c r="G167" s="693"/>
      <c r="H167" s="84"/>
      <c r="I167" s="84"/>
      <c r="J167" s="84"/>
      <c r="K167" s="84"/>
      <c r="L167" s="84"/>
      <c r="M167" s="305"/>
      <c r="N167" s="84"/>
      <c r="O167" s="84"/>
      <c r="P167" s="305"/>
      <c r="Q167" s="84"/>
      <c r="R167" s="84"/>
      <c r="S167" s="84"/>
      <c r="T167" s="84"/>
      <c r="U167" s="84"/>
      <c r="V167" s="305"/>
      <c r="W167" s="84"/>
      <c r="X167" s="84"/>
      <c r="Y167" s="305"/>
      <c r="Z167" s="84"/>
      <c r="AA167" s="594"/>
    </row>
    <row r="168" spans="1:27" s="13" customFormat="1">
      <c r="A168" s="14"/>
      <c r="B168" s="14"/>
      <c r="C168" s="14"/>
      <c r="D168" s="14"/>
      <c r="E168" s="15"/>
      <c r="F168" s="16"/>
      <c r="G168" s="693"/>
      <c r="H168" s="84"/>
      <c r="I168" s="84"/>
      <c r="J168" s="84"/>
      <c r="K168" s="84"/>
      <c r="L168" s="84"/>
      <c r="M168" s="305"/>
      <c r="N168" s="84"/>
      <c r="O168" s="84"/>
      <c r="P168" s="305"/>
      <c r="Q168" s="84"/>
      <c r="R168" s="84"/>
      <c r="S168" s="84"/>
      <c r="T168" s="84"/>
      <c r="U168" s="84"/>
      <c r="V168" s="305"/>
      <c r="W168" s="84"/>
      <c r="X168" s="84"/>
      <c r="Y168" s="305"/>
      <c r="Z168" s="84"/>
      <c r="AA168" s="594"/>
    </row>
    <row r="169" spans="1:27" s="13" customFormat="1">
      <c r="A169" s="14"/>
      <c r="B169" s="14"/>
      <c r="C169" s="14"/>
      <c r="D169" s="14"/>
      <c r="E169" s="15"/>
      <c r="F169" s="16"/>
      <c r="G169" s="693"/>
      <c r="H169" s="84"/>
      <c r="I169" s="84"/>
      <c r="J169" s="84"/>
      <c r="K169" s="84"/>
      <c r="L169" s="84"/>
      <c r="M169" s="305"/>
      <c r="N169" s="84"/>
      <c r="O169" s="84"/>
      <c r="P169" s="305"/>
      <c r="Q169" s="84"/>
      <c r="R169" s="84"/>
      <c r="S169" s="84"/>
      <c r="T169" s="84"/>
      <c r="U169" s="84"/>
      <c r="V169" s="305"/>
      <c r="W169" s="84"/>
      <c r="X169" s="84"/>
      <c r="Y169" s="305"/>
      <c r="Z169" s="84"/>
      <c r="AA169" s="594"/>
    </row>
    <row r="170" spans="1:27" s="13" customFormat="1">
      <c r="A170" s="14"/>
      <c r="B170" s="14"/>
      <c r="C170" s="14"/>
      <c r="D170" s="14"/>
      <c r="E170" s="15"/>
      <c r="F170" s="16"/>
      <c r="G170" s="693"/>
      <c r="H170" s="84"/>
      <c r="I170" s="84"/>
      <c r="J170" s="84"/>
      <c r="K170" s="84"/>
      <c r="L170" s="84"/>
      <c r="M170" s="305"/>
      <c r="N170" s="84"/>
      <c r="O170" s="84"/>
      <c r="P170" s="305"/>
      <c r="Q170" s="84"/>
      <c r="R170" s="84"/>
      <c r="S170" s="84"/>
      <c r="T170" s="84"/>
      <c r="U170" s="84"/>
      <c r="V170" s="305"/>
      <c r="W170" s="84"/>
      <c r="X170" s="84"/>
      <c r="Y170" s="305"/>
      <c r="Z170" s="84"/>
      <c r="AA170" s="594"/>
    </row>
    <row r="171" spans="1:27" s="13" customFormat="1">
      <c r="A171" s="14"/>
      <c r="B171" s="14"/>
      <c r="C171" s="14"/>
      <c r="D171" s="14"/>
      <c r="E171" s="15"/>
      <c r="F171" s="16"/>
      <c r="G171" s="693"/>
      <c r="H171" s="84"/>
      <c r="I171" s="84"/>
      <c r="J171" s="84"/>
      <c r="K171" s="84"/>
      <c r="L171" s="84"/>
      <c r="M171" s="305"/>
      <c r="N171" s="84"/>
      <c r="O171" s="84"/>
      <c r="P171" s="305"/>
      <c r="Q171" s="84"/>
      <c r="R171" s="84"/>
      <c r="S171" s="84"/>
      <c r="T171" s="84"/>
      <c r="U171" s="84"/>
      <c r="V171" s="305"/>
      <c r="W171" s="84"/>
      <c r="X171" s="84"/>
      <c r="Y171" s="305"/>
      <c r="Z171" s="84"/>
      <c r="AA171" s="594"/>
    </row>
    <row r="172" spans="1:27" s="13" customFormat="1">
      <c r="A172" s="14"/>
      <c r="B172" s="14"/>
      <c r="C172" s="14"/>
      <c r="D172" s="14"/>
      <c r="E172" s="15"/>
      <c r="F172" s="16"/>
      <c r="G172" s="693"/>
      <c r="H172" s="84"/>
      <c r="I172" s="84"/>
      <c r="J172" s="84"/>
      <c r="K172" s="84"/>
      <c r="L172" s="84"/>
      <c r="M172" s="305"/>
      <c r="N172" s="84"/>
      <c r="O172" s="84"/>
      <c r="P172" s="305"/>
      <c r="Q172" s="84"/>
      <c r="R172" s="84"/>
      <c r="S172" s="84"/>
      <c r="T172" s="84"/>
      <c r="U172" s="84"/>
      <c r="V172" s="305"/>
      <c r="W172" s="84"/>
      <c r="X172" s="84"/>
      <c r="Y172" s="305"/>
      <c r="Z172" s="84"/>
      <c r="AA172" s="594"/>
    </row>
    <row r="173" spans="1:27" s="13" customFormat="1">
      <c r="A173" s="14"/>
      <c r="B173" s="14"/>
      <c r="C173" s="14"/>
      <c r="D173" s="14"/>
      <c r="E173" s="15"/>
      <c r="F173" s="16"/>
      <c r="G173" s="693"/>
      <c r="H173" s="84"/>
      <c r="I173" s="84"/>
      <c r="J173" s="84"/>
      <c r="K173" s="84"/>
      <c r="L173" s="84"/>
      <c r="M173" s="305"/>
      <c r="N173" s="84"/>
      <c r="O173" s="84"/>
      <c r="P173" s="305"/>
      <c r="Q173" s="84"/>
      <c r="R173" s="84"/>
      <c r="S173" s="84"/>
      <c r="T173" s="84"/>
      <c r="U173" s="84"/>
      <c r="V173" s="305"/>
      <c r="W173" s="84"/>
      <c r="X173" s="84"/>
      <c r="Y173" s="305"/>
      <c r="Z173" s="84"/>
      <c r="AA173" s="594"/>
    </row>
    <row r="174" spans="1:27" s="13" customFormat="1">
      <c r="A174" s="14"/>
      <c r="B174" s="14"/>
      <c r="C174" s="14"/>
      <c r="D174" s="14"/>
      <c r="E174" s="15"/>
      <c r="F174" s="16"/>
      <c r="G174" s="266"/>
      <c r="H174" s="84"/>
      <c r="I174" s="84"/>
      <c r="J174" s="84"/>
      <c r="K174" s="84"/>
      <c r="L174" s="84"/>
      <c r="M174" s="305"/>
      <c r="N174" s="84"/>
      <c r="O174" s="84"/>
      <c r="P174" s="305"/>
      <c r="Q174" s="84"/>
      <c r="R174" s="84"/>
      <c r="S174" s="84"/>
      <c r="T174" s="84"/>
      <c r="U174" s="84"/>
      <c r="V174" s="305"/>
      <c r="W174" s="84"/>
      <c r="X174" s="84"/>
      <c r="Y174" s="305"/>
      <c r="Z174" s="84"/>
      <c r="AA174" s="594"/>
    </row>
    <row r="175" spans="1:27" s="13" customFormat="1">
      <c r="A175" s="14"/>
      <c r="B175" s="14"/>
      <c r="C175" s="14"/>
      <c r="D175" s="14"/>
      <c r="E175" s="15"/>
      <c r="F175" s="16"/>
      <c r="G175" s="266"/>
      <c r="H175" s="84"/>
      <c r="I175" s="84"/>
      <c r="J175" s="84"/>
      <c r="K175" s="84"/>
      <c r="L175" s="84"/>
      <c r="M175" s="305"/>
      <c r="N175" s="84"/>
      <c r="O175" s="84"/>
      <c r="P175" s="305"/>
      <c r="Q175" s="84"/>
      <c r="R175" s="84"/>
      <c r="S175" s="84"/>
      <c r="T175" s="84"/>
      <c r="U175" s="84"/>
      <c r="V175" s="305"/>
      <c r="W175" s="84"/>
      <c r="X175" s="84"/>
      <c r="Y175" s="305"/>
      <c r="Z175" s="84"/>
      <c r="AA175" s="594"/>
    </row>
    <row r="176" spans="1:27" s="13" customFormat="1">
      <c r="A176" s="14"/>
      <c r="B176" s="14"/>
      <c r="C176" s="14"/>
      <c r="D176" s="14"/>
      <c r="E176" s="15"/>
      <c r="F176" s="16"/>
      <c r="G176" s="266"/>
      <c r="H176" s="84"/>
      <c r="I176" s="84"/>
      <c r="J176" s="84"/>
      <c r="K176" s="84"/>
      <c r="L176" s="84"/>
      <c r="M176" s="305"/>
      <c r="N176" s="84"/>
      <c r="O176" s="84"/>
      <c r="P176" s="305"/>
      <c r="Q176" s="84"/>
      <c r="R176" s="84"/>
      <c r="S176" s="84"/>
      <c r="T176" s="84"/>
      <c r="U176" s="84"/>
      <c r="V176" s="305"/>
      <c r="W176" s="84"/>
      <c r="X176" s="84"/>
      <c r="Y176" s="305"/>
      <c r="Z176" s="84"/>
      <c r="AA176" s="594"/>
    </row>
    <row r="177" spans="1:27" s="13" customFormat="1">
      <c r="A177" s="14"/>
      <c r="B177" s="14"/>
      <c r="C177" s="14"/>
      <c r="D177" s="14"/>
      <c r="E177" s="15"/>
      <c r="F177" s="16"/>
      <c r="G177" s="266"/>
      <c r="H177" s="84"/>
      <c r="I177" s="84"/>
      <c r="J177" s="84"/>
      <c r="K177" s="84"/>
      <c r="L177" s="84"/>
      <c r="M177" s="305"/>
      <c r="N177" s="84"/>
      <c r="O177" s="84"/>
      <c r="P177" s="305"/>
      <c r="Q177" s="84"/>
      <c r="R177" s="84"/>
      <c r="S177" s="84"/>
      <c r="T177" s="84"/>
      <c r="U177" s="84"/>
      <c r="V177" s="305"/>
      <c r="W177" s="84"/>
      <c r="X177" s="84"/>
      <c r="Y177" s="305"/>
      <c r="Z177" s="84"/>
      <c r="AA177" s="594"/>
    </row>
    <row r="178" spans="1:27" s="13" customFormat="1">
      <c r="A178" s="14"/>
      <c r="B178" s="14"/>
      <c r="C178" s="14"/>
      <c r="D178" s="14"/>
      <c r="E178" s="15"/>
      <c r="F178" s="16"/>
      <c r="G178" s="266"/>
      <c r="H178" s="84"/>
      <c r="I178" s="84"/>
      <c r="J178" s="84"/>
      <c r="K178" s="84"/>
      <c r="L178" s="84"/>
      <c r="M178" s="305"/>
      <c r="N178" s="84"/>
      <c r="O178" s="84"/>
      <c r="P178" s="305"/>
      <c r="Q178" s="84"/>
      <c r="R178" s="84"/>
      <c r="S178" s="84"/>
      <c r="T178" s="84"/>
      <c r="U178" s="84"/>
      <c r="V178" s="305"/>
      <c r="W178" s="84"/>
      <c r="X178" s="84"/>
      <c r="Y178" s="305"/>
      <c r="Z178" s="84"/>
      <c r="AA178" s="594"/>
    </row>
    <row r="179" spans="1:27" s="13" customFormat="1">
      <c r="A179" s="14"/>
      <c r="B179" s="14"/>
      <c r="C179" s="14"/>
      <c r="D179" s="14"/>
      <c r="E179" s="15"/>
      <c r="F179" s="16"/>
      <c r="G179" s="266"/>
      <c r="H179" s="84"/>
      <c r="I179" s="84"/>
      <c r="J179" s="84"/>
      <c r="K179" s="84"/>
      <c r="L179" s="84"/>
      <c r="M179" s="305"/>
      <c r="N179" s="84"/>
      <c r="O179" s="84"/>
      <c r="P179" s="305"/>
      <c r="Q179" s="84"/>
      <c r="R179" s="84"/>
      <c r="S179" s="84"/>
      <c r="T179" s="84"/>
      <c r="U179" s="84"/>
      <c r="V179" s="305"/>
      <c r="W179" s="84"/>
      <c r="X179" s="84"/>
      <c r="Y179" s="305"/>
      <c r="Z179" s="84"/>
      <c r="AA179" s="594"/>
    </row>
    <row r="180" spans="1:27" s="13" customFormat="1">
      <c r="A180" s="14"/>
      <c r="B180" s="14"/>
      <c r="C180" s="14"/>
      <c r="D180" s="14"/>
      <c r="E180" s="15"/>
      <c r="F180" s="16"/>
      <c r="G180" s="266"/>
      <c r="H180" s="84"/>
      <c r="I180" s="84"/>
      <c r="J180" s="84"/>
      <c r="K180" s="84"/>
      <c r="L180" s="84"/>
      <c r="M180" s="305"/>
      <c r="N180" s="84"/>
      <c r="O180" s="84"/>
      <c r="P180" s="305"/>
      <c r="Q180" s="84"/>
      <c r="R180" s="84"/>
      <c r="S180" s="84"/>
      <c r="T180" s="84"/>
      <c r="U180" s="84"/>
      <c r="V180" s="305"/>
      <c r="W180" s="84"/>
      <c r="X180" s="84"/>
      <c r="Y180" s="305"/>
      <c r="Z180" s="84"/>
      <c r="AA180" s="594"/>
    </row>
    <row r="181" spans="1:27" s="13" customFormat="1">
      <c r="A181" s="14"/>
      <c r="B181" s="14"/>
      <c r="C181" s="14"/>
      <c r="D181" s="14"/>
      <c r="E181" s="15"/>
      <c r="F181" s="16"/>
      <c r="G181" s="266"/>
      <c r="H181" s="84"/>
      <c r="I181" s="84"/>
      <c r="J181" s="84"/>
      <c r="K181" s="84"/>
      <c r="L181" s="84"/>
      <c r="M181" s="305"/>
      <c r="N181" s="84"/>
      <c r="O181" s="84"/>
      <c r="P181" s="305"/>
      <c r="Q181" s="84"/>
      <c r="R181" s="84"/>
      <c r="S181" s="84"/>
      <c r="T181" s="84"/>
      <c r="U181" s="84"/>
      <c r="V181" s="305"/>
      <c r="W181" s="84"/>
      <c r="X181" s="84"/>
      <c r="Y181" s="305"/>
      <c r="Z181" s="84"/>
      <c r="AA181" s="594"/>
    </row>
    <row r="182" spans="1:27" s="13" customFormat="1">
      <c r="A182" s="14"/>
      <c r="B182" s="14"/>
      <c r="C182" s="14"/>
      <c r="D182" s="14"/>
      <c r="E182" s="15"/>
      <c r="F182" s="16"/>
      <c r="G182" s="266"/>
      <c r="H182" s="84"/>
      <c r="I182" s="84"/>
      <c r="J182" s="84"/>
      <c r="K182" s="84"/>
      <c r="L182" s="84"/>
      <c r="M182" s="305"/>
      <c r="N182" s="84"/>
      <c r="O182" s="84"/>
      <c r="P182" s="305"/>
      <c r="Q182" s="84"/>
      <c r="R182" s="84"/>
      <c r="S182" s="84"/>
      <c r="T182" s="84"/>
      <c r="U182" s="84"/>
      <c r="V182" s="305"/>
      <c r="W182" s="84"/>
      <c r="X182" s="84"/>
      <c r="Y182" s="305"/>
      <c r="Z182" s="84"/>
      <c r="AA182" s="594"/>
    </row>
    <row r="183" spans="1:27" s="13" customFormat="1">
      <c r="A183" s="14"/>
      <c r="B183" s="14"/>
      <c r="C183" s="14"/>
      <c r="D183" s="14"/>
      <c r="E183" s="15"/>
      <c r="F183" s="16"/>
      <c r="G183" s="266"/>
      <c r="H183" s="84"/>
      <c r="I183" s="84"/>
      <c r="J183" s="84"/>
      <c r="K183" s="84"/>
      <c r="L183" s="84"/>
      <c r="M183" s="305"/>
      <c r="N183" s="84"/>
      <c r="O183" s="84"/>
      <c r="P183" s="305"/>
      <c r="Q183" s="84"/>
      <c r="R183" s="84"/>
      <c r="S183" s="84"/>
      <c r="T183" s="84"/>
      <c r="U183" s="84"/>
      <c r="V183" s="305"/>
      <c r="W183" s="84"/>
      <c r="X183" s="84"/>
      <c r="Y183" s="305"/>
      <c r="Z183" s="84"/>
      <c r="AA183" s="594"/>
    </row>
    <row r="184" spans="1:27" s="13" customFormat="1">
      <c r="A184" s="14"/>
      <c r="B184" s="14"/>
      <c r="C184" s="14"/>
      <c r="D184" s="14"/>
      <c r="E184" s="15"/>
      <c r="F184" s="16"/>
      <c r="G184" s="266"/>
      <c r="H184" s="84"/>
      <c r="I184" s="84"/>
      <c r="J184" s="84"/>
      <c r="K184" s="84"/>
      <c r="L184" s="84"/>
      <c r="M184" s="305"/>
      <c r="N184" s="84"/>
      <c r="O184" s="84"/>
      <c r="P184" s="305"/>
      <c r="Q184" s="84"/>
      <c r="R184" s="84"/>
      <c r="S184" s="84"/>
      <c r="T184" s="84"/>
      <c r="U184" s="84"/>
      <c r="V184" s="305"/>
      <c r="W184" s="84"/>
      <c r="X184" s="84"/>
      <c r="Y184" s="305"/>
      <c r="Z184" s="84"/>
      <c r="AA184" s="594"/>
    </row>
  </sheetData>
  <mergeCells count="22">
    <mergeCell ref="I2:Q2"/>
    <mergeCell ref="H3:L3"/>
    <mergeCell ref="M3:Q3"/>
    <mergeCell ref="R3:S3"/>
    <mergeCell ref="H138:L138"/>
    <mergeCell ref="M138:Q138"/>
    <mergeCell ref="R138:S138"/>
    <mergeCell ref="W156:X156"/>
    <mergeCell ref="Y156:AC156"/>
    <mergeCell ref="AD156:AF156"/>
    <mergeCell ref="AG156:AJ156"/>
    <mergeCell ref="G3:G4"/>
    <mergeCell ref="G138:G139"/>
    <mergeCell ref="G151:G152"/>
    <mergeCell ref="G156:G157"/>
    <mergeCell ref="H151:H152"/>
    <mergeCell ref="M151:M152"/>
    <mergeCell ref="I151:J151"/>
    <mergeCell ref="K151:L151"/>
    <mergeCell ref="H156:L156"/>
    <mergeCell ref="M156:Q156"/>
    <mergeCell ref="R156:V156"/>
  </mergeCells>
  <phoneticPr fontId="54" type="noConversion"/>
  <conditionalFormatting sqref="A13:E16 C43:D48 C49">
    <cfRule type="cellIs" dxfId="55" priority="14" stopIfTrue="1" operator="lessThan">
      <formula>0</formula>
    </cfRule>
  </conditionalFormatting>
  <conditionalFormatting sqref="D56">
    <cfRule type="cellIs" dxfId="54" priority="11" stopIfTrue="1" operator="lessThan">
      <formula>0</formula>
    </cfRule>
  </conditionalFormatting>
  <conditionalFormatting sqref="D60">
    <cfRule type="cellIs" dxfId="53" priority="10" stopIfTrue="1" operator="lessThan">
      <formula>0</formula>
    </cfRule>
  </conditionalFormatting>
  <conditionalFormatting sqref="D64:D65">
    <cfRule type="cellIs" dxfId="52" priority="9" stopIfTrue="1" operator="lessThan">
      <formula>0</formula>
    </cfRule>
  </conditionalFormatting>
  <conditionalFormatting sqref="D77">
    <cfRule type="cellIs" dxfId="51" priority="8" stopIfTrue="1" operator="lessThan">
      <formula>0</formula>
    </cfRule>
  </conditionalFormatting>
  <conditionalFormatting sqref="D82:D83">
    <cfRule type="cellIs" dxfId="50" priority="7" stopIfTrue="1" operator="lessThan">
      <formula>0</formula>
    </cfRule>
  </conditionalFormatting>
  <conditionalFormatting sqref="D85:D86">
    <cfRule type="cellIs" dxfId="49" priority="6" stopIfTrue="1" operator="lessThan">
      <formula>0</formula>
    </cfRule>
  </conditionalFormatting>
  <conditionalFormatting sqref="D106">
    <cfRule type="cellIs" dxfId="48" priority="5" stopIfTrue="1" operator="lessThan">
      <formula>0</formula>
    </cfRule>
  </conditionalFormatting>
  <conditionalFormatting sqref="D114">
    <cfRule type="cellIs" dxfId="47" priority="4" stopIfTrue="1" operator="lessThan">
      <formula>0</formula>
    </cfRule>
  </conditionalFormatting>
  <conditionalFormatting sqref="G5:G14">
    <cfRule type="cellIs" dxfId="46" priority="13" stopIfTrue="1" operator="lessThan">
      <formula>0</formula>
    </cfRule>
  </conditionalFormatting>
  <conditionalFormatting sqref="G16:G40">
    <cfRule type="cellIs" dxfId="45" priority="3" stopIfTrue="1" operator="lessThan">
      <formula>0</formula>
    </cfRule>
  </conditionalFormatting>
  <conditionalFormatting sqref="G43:G49">
    <cfRule type="cellIs" dxfId="44" priority="12" stopIfTrue="1" operator="lessThan">
      <formula>0</formula>
    </cfRule>
  </conditionalFormatting>
  <conditionalFormatting sqref="G15:S15">
    <cfRule type="cellIs" dxfId="43" priority="2" operator="equal">
      <formula>0</formula>
    </cfRule>
  </conditionalFormatting>
  <conditionalFormatting sqref="G41:S41">
    <cfRule type="cellIs" dxfId="42" priority="1" operator="equal">
      <formula>0</formula>
    </cfRule>
  </conditionalFormatting>
  <dataValidations count="1">
    <dataValidation type="list" allowBlank="1" showInputMessage="1" showErrorMessage="1" sqref="Y1 S2 U2" xr:uid="{00000000-0002-0000-0C00-000000000000}">
      <formula1>"元,万元"</formula1>
    </dataValidation>
  </dataValidations>
  <hyperlinks>
    <hyperlink ref="G42" location="'6.1客房'!F1" display="ROOMS    客房" xr:uid="{00000000-0004-0000-0C00-000000000000}"/>
    <hyperlink ref="G102" location="物业保养!A1" display="POM 物业运营及保养" xr:uid="{00000000-0004-0000-0C00-000001000000}"/>
    <hyperlink ref="G97" location="营销!A1" display="Sales &amp; Marketing 营销" xr:uid="{00000000-0004-0000-0C00-000002000000}"/>
    <hyperlink ref="G90" location="行政!A1" display="A&amp;G 行政部" xr:uid="{00000000-0004-0000-0C00-000003000000}"/>
    <hyperlink ref="G101" location="工程!A1" display="Utility 能源费用" xr:uid="{00000000-0004-0000-0C00-000004000000}"/>
    <hyperlink ref="G51" location="餐饮!A1" display="FOOD &amp; BEVERAGE 餐饮" xr:uid="{00000000-0004-0000-0C00-000005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8">
    <tabColor theme="2"/>
  </sheetPr>
  <dimension ref="A1:AS184"/>
  <sheetViews>
    <sheetView zoomScale="80" zoomScaleNormal="80" zoomScaleSheetLayoutView="70" workbookViewId="0">
      <pane xSplit="7" ySplit="4" topLeftCell="H5" activePane="bottomRight" state="frozen"/>
      <selection pane="topRight"/>
      <selection pane="bottomLeft"/>
      <selection pane="bottomRight" activeCell="J25" sqref="J25"/>
    </sheetView>
  </sheetViews>
  <sheetFormatPr defaultColWidth="8.7109375" defaultRowHeight="16.3" outlineLevelCol="1"/>
  <cols>
    <col min="1" max="4" width="0.2109375" style="14" customWidth="1" outlineLevel="1"/>
    <col min="5" max="5" width="0.2109375" style="15" customWidth="1" outlineLevel="1"/>
    <col min="6" max="6" width="0.2109375" style="16" customWidth="1" outlineLevel="1"/>
    <col min="7" max="7" width="55.2109375" style="17" customWidth="1"/>
    <col min="8" max="8" width="12.140625" style="18" customWidth="1"/>
    <col min="9" max="9" width="13.35546875" style="18" customWidth="1"/>
    <col min="10" max="10" width="8.640625" style="18" customWidth="1"/>
    <col min="11" max="11" width="12" style="18" customWidth="1"/>
    <col min="12" max="12" width="8.2109375" style="18" customWidth="1"/>
    <col min="13" max="13" width="12" style="19" customWidth="1"/>
    <col min="14" max="14" width="9.85546875" style="18" customWidth="1"/>
    <col min="15" max="15" width="10.140625" style="18" customWidth="1"/>
    <col min="16" max="16" width="11.2109375" style="19" customWidth="1"/>
    <col min="17" max="17" width="9.5" style="18" customWidth="1"/>
    <col min="18" max="18" width="11.2109375" style="18" customWidth="1"/>
    <col min="19" max="19" width="10.2109375" style="18" customWidth="1"/>
    <col min="20" max="20" width="7" style="18" customWidth="1"/>
    <col min="21" max="21" width="11.7109375" style="18" customWidth="1"/>
    <col min="22" max="22" width="7.7109375" style="19" customWidth="1"/>
    <col min="23" max="23" width="10.5" style="18" customWidth="1"/>
    <col min="24" max="24" width="7.85546875" style="18" customWidth="1"/>
    <col min="25" max="25" width="6.35546875" style="19" customWidth="1"/>
    <col min="26" max="26" width="8.640625" style="18" customWidth="1"/>
    <col min="27" max="27" width="7.640625" style="20" customWidth="1"/>
    <col min="28" max="28" width="7.7109375" style="21" customWidth="1"/>
    <col min="29" max="29" width="8.2109375" style="21" customWidth="1"/>
    <col min="30" max="30" width="6.5" style="21" customWidth="1"/>
    <col min="31" max="31" width="7.7109375" style="21" customWidth="1"/>
    <col min="32" max="32" width="14.7109375" style="21" customWidth="1"/>
    <col min="33" max="33" width="8.35546875" style="21" customWidth="1"/>
    <col min="34" max="34" width="9.7109375" style="21" customWidth="1"/>
    <col min="35" max="35" width="10.7109375" style="21" customWidth="1"/>
    <col min="36" max="36" width="11.35546875" style="21" customWidth="1"/>
    <col min="37" max="37" width="14.7109375" style="21" customWidth="1"/>
    <col min="38" max="16384" width="8.7109375" style="21"/>
  </cols>
  <sheetData>
    <row r="1" spans="1:45" s="1" customFormat="1" ht="20.25" hidden="1" customHeight="1">
      <c r="A1" s="22"/>
      <c r="B1" s="23"/>
      <c r="C1" s="24"/>
      <c r="D1" s="23"/>
      <c r="E1" s="24"/>
      <c r="F1" s="24"/>
      <c r="G1" s="22"/>
      <c r="H1" s="25" t="s">
        <v>312</v>
      </c>
      <c r="I1" s="25" t="s">
        <v>313</v>
      </c>
      <c r="J1" s="25" t="s">
        <v>314</v>
      </c>
      <c r="K1" s="25" t="s">
        <v>315</v>
      </c>
      <c r="L1" s="25"/>
      <c r="M1" s="25"/>
      <c r="N1" s="25" t="s">
        <v>316</v>
      </c>
      <c r="O1" s="25"/>
      <c r="P1" s="25"/>
      <c r="Q1" s="25" t="s">
        <v>317</v>
      </c>
      <c r="R1" s="25" t="s">
        <v>318</v>
      </c>
      <c r="S1" s="25" t="s">
        <v>319</v>
      </c>
      <c r="T1" s="25" t="s">
        <v>474</v>
      </c>
      <c r="U1" s="25" t="s">
        <v>474</v>
      </c>
      <c r="V1" s="25" t="s">
        <v>474</v>
      </c>
      <c r="W1" s="25" t="s">
        <v>474</v>
      </c>
      <c r="X1" s="25" t="s">
        <v>474</v>
      </c>
      <c r="Y1" s="25" t="s">
        <v>474</v>
      </c>
      <c r="Z1" s="25" t="s">
        <v>474</v>
      </c>
      <c r="AA1" s="25" t="s">
        <v>474</v>
      </c>
      <c r="AB1" s="25" t="s">
        <v>474</v>
      </c>
      <c r="AC1" s="25" t="s">
        <v>474</v>
      </c>
      <c r="AD1" s="25" t="s">
        <v>474</v>
      </c>
      <c r="AE1" s="25" t="s">
        <v>474</v>
      </c>
      <c r="AF1" s="25" t="s">
        <v>474</v>
      </c>
      <c r="AG1" s="25" t="s">
        <v>474</v>
      </c>
      <c r="AH1" s="25" t="s">
        <v>474</v>
      </c>
      <c r="AI1" s="25" t="s">
        <v>474</v>
      </c>
      <c r="AJ1" s="25" t="s">
        <v>474</v>
      </c>
      <c r="AK1" s="25" t="s">
        <v>474</v>
      </c>
      <c r="AL1" s="22"/>
      <c r="AM1" s="22"/>
      <c r="AN1" s="22"/>
      <c r="AO1" s="22"/>
      <c r="AP1" s="22"/>
      <c r="AQ1" s="22"/>
      <c r="AR1" s="22"/>
      <c r="AS1" s="22"/>
    </row>
    <row r="2" spans="1:45" ht="20.7" customHeight="1">
      <c r="G2" s="26" t="str">
        <f>""&amp;[3]DT!B6&amp;"酒店主体"</f>
        <v>沈阳于洪碧桂园凤凰酒店有限公司酒店主体</v>
      </c>
      <c r="H2" s="27" t="str">
        <f>""&amp;[3]DT!B1&amp;"年"&amp;[3]DT!B2&amp;"月"</f>
        <v>2026年1月</v>
      </c>
      <c r="I2" s="940" t="s">
        <v>324</v>
      </c>
      <c r="J2" s="940"/>
      <c r="K2" s="940"/>
      <c r="L2" s="940"/>
      <c r="M2" s="940"/>
      <c r="N2" s="940"/>
      <c r="O2" s="940"/>
      <c r="P2" s="940"/>
      <c r="Q2" s="940"/>
      <c r="R2" s="28" t="s">
        <v>325</v>
      </c>
      <c r="S2" s="29" t="s">
        <v>326</v>
      </c>
      <c r="T2" s="13"/>
      <c r="U2" s="30"/>
      <c r="V2" s="13"/>
      <c r="W2" s="31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5" s="2" customFormat="1" ht="16.5" customHeight="1">
      <c r="A3" s="32"/>
      <c r="B3" s="32"/>
      <c r="C3" s="32"/>
      <c r="D3" s="32"/>
      <c r="E3" s="33"/>
      <c r="F3" s="34"/>
      <c r="G3" s="923" t="s">
        <v>327</v>
      </c>
      <c r="H3" s="956" t="s">
        <v>328</v>
      </c>
      <c r="I3" s="956"/>
      <c r="J3" s="956"/>
      <c r="K3" s="956"/>
      <c r="L3" s="957"/>
      <c r="M3" s="958" t="s">
        <v>329</v>
      </c>
      <c r="N3" s="959"/>
      <c r="O3" s="959"/>
      <c r="P3" s="959"/>
      <c r="Q3" s="960"/>
      <c r="R3" s="946" t="s">
        <v>330</v>
      </c>
      <c r="S3" s="947"/>
      <c r="T3" s="35" t="s">
        <v>475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</row>
    <row r="4" spans="1:45" s="2" customFormat="1" ht="16.399999999999999" customHeight="1">
      <c r="A4" s="32"/>
      <c r="B4" s="32"/>
      <c r="C4" s="32"/>
      <c r="D4" s="32"/>
      <c r="E4" s="33"/>
      <c r="F4" s="36"/>
      <c r="G4" s="924"/>
      <c r="H4" s="37" t="s">
        <v>331</v>
      </c>
      <c r="I4" s="38" t="s">
        <v>249</v>
      </c>
      <c r="J4" s="39" t="s">
        <v>332</v>
      </c>
      <c r="K4" s="40" t="s">
        <v>270</v>
      </c>
      <c r="L4" s="41" t="s">
        <v>332</v>
      </c>
      <c r="M4" s="42" t="s">
        <v>331</v>
      </c>
      <c r="N4" s="43" t="s">
        <v>249</v>
      </c>
      <c r="O4" s="44" t="s">
        <v>332</v>
      </c>
      <c r="P4" s="43" t="s">
        <v>270</v>
      </c>
      <c r="Q4" s="44" t="s">
        <v>332</v>
      </c>
      <c r="R4" s="45" t="s">
        <v>245</v>
      </c>
      <c r="S4" s="46" t="s">
        <v>11</v>
      </c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</row>
    <row r="5" spans="1:45" ht="16.5" customHeight="1">
      <c r="A5" s="47"/>
      <c r="B5" s="47"/>
      <c r="C5" s="48"/>
      <c r="D5" s="48"/>
      <c r="E5" s="49"/>
      <c r="F5" s="36"/>
      <c r="G5" s="50" t="s">
        <v>333</v>
      </c>
      <c r="H5" s="51">
        <f>[3]酒店主体!J5</f>
        <v>18135</v>
      </c>
      <c r="I5" s="52">
        <f>[3]酒店主体!K5</f>
        <v>18104</v>
      </c>
      <c r="J5" s="53">
        <f>[3]酒店主体!M5</f>
        <v>1.71232876712329E-3</v>
      </c>
      <c r="K5" s="52">
        <f>[3]酒店主体!N5</f>
        <v>19561</v>
      </c>
      <c r="L5" s="54">
        <f>[3]酒店主体!P5</f>
        <v>-7.2900158478605398E-2</v>
      </c>
      <c r="M5" s="51">
        <f>[3]酒店主体!S5</f>
        <v>18135</v>
      </c>
      <c r="N5" s="55">
        <f>[3]酒店主体!T5</f>
        <v>18104</v>
      </c>
      <c r="O5" s="53">
        <f>[3]酒店主体!V5</f>
        <v>1.71232876712329E-3</v>
      </c>
      <c r="P5" s="52">
        <f>[3]酒店主体!W5</f>
        <v>19561</v>
      </c>
      <c r="Q5" s="56">
        <f>[3]酒店主体!Y5</f>
        <v>-7.2900158478605398E-2</v>
      </c>
      <c r="R5" s="57">
        <f>[3]酒店主体!Z5</f>
        <v>213160</v>
      </c>
      <c r="S5" s="58">
        <f>[3]酒店主体!AA5</f>
        <v>8.5076937511728304E-2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spans="1:45" ht="16.5" customHeight="1">
      <c r="A6" s="47"/>
      <c r="B6" s="47"/>
      <c r="C6" s="48"/>
      <c r="D6" s="48"/>
      <c r="E6" s="49"/>
      <c r="F6" s="36"/>
      <c r="G6" s="50" t="s">
        <v>334</v>
      </c>
      <c r="H6" s="51">
        <f>[3]酒店主体!J6</f>
        <v>17982</v>
      </c>
      <c r="I6" s="52">
        <f>[3]酒店主体!K6</f>
        <v>18104</v>
      </c>
      <c r="J6" s="53">
        <f>[3]酒店主体!M6</f>
        <v>-6.73884224480778E-3</v>
      </c>
      <c r="K6" s="52">
        <f>[3]酒店主体!N6</f>
        <v>17372</v>
      </c>
      <c r="L6" s="54">
        <f>[3]酒店主体!P6</f>
        <v>3.51139765139305E-2</v>
      </c>
      <c r="M6" s="51">
        <f>[3]酒店主体!S6</f>
        <v>17982</v>
      </c>
      <c r="N6" s="55">
        <f>[3]酒店主体!T6</f>
        <v>18104</v>
      </c>
      <c r="O6" s="53">
        <f>[3]酒店主体!V6</f>
        <v>-6.73884224480778E-3</v>
      </c>
      <c r="P6" s="52">
        <f>[3]酒店主体!W6</f>
        <v>17372</v>
      </c>
      <c r="Q6" s="56">
        <f>[3]酒店主体!Y6</f>
        <v>3.51139765139305E-2</v>
      </c>
      <c r="R6" s="57">
        <f>[3]酒店主体!Z6</f>
        <v>213160</v>
      </c>
      <c r="S6" s="58">
        <f>[3]酒店主体!AA6</f>
        <v>8.4359166823043702E-2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spans="1:45" ht="16.5" customHeight="1">
      <c r="A7" s="47"/>
      <c r="B7" s="47"/>
      <c r="C7" s="48"/>
      <c r="D7" s="48"/>
      <c r="E7" s="49"/>
      <c r="F7" s="36"/>
      <c r="G7" s="59" t="s">
        <v>335</v>
      </c>
      <c r="H7" s="60">
        <f>[3]酒店主体!J7</f>
        <v>5673</v>
      </c>
      <c r="I7" s="61">
        <f>[3]酒店主体!K7</f>
        <v>4468</v>
      </c>
      <c r="J7" s="62">
        <f>[3]酒店主体!M7</f>
        <v>0.26969561324977598</v>
      </c>
      <c r="K7" s="61">
        <f>[3]酒店主体!N7</f>
        <v>4260</v>
      </c>
      <c r="L7" s="63">
        <f>[3]酒店主体!P7</f>
        <v>0.33169014084506998</v>
      </c>
      <c r="M7" s="60">
        <f>[3]酒店主体!S7</f>
        <v>5673</v>
      </c>
      <c r="N7" s="64">
        <f>[3]酒店主体!T7</f>
        <v>4468</v>
      </c>
      <c r="O7" s="62">
        <f>[3]酒店主体!V7</f>
        <v>0.26969561324977598</v>
      </c>
      <c r="P7" s="61">
        <f>[3]酒店主体!W7</f>
        <v>4260</v>
      </c>
      <c r="Q7" s="65">
        <f>[3]酒店主体!Y7</f>
        <v>0.33169014084506998</v>
      </c>
      <c r="R7" s="57">
        <f>[3]酒店主体!Z7</f>
        <v>76276</v>
      </c>
      <c r="S7" s="58">
        <f>[3]酒店主体!AA7</f>
        <v>7.4374639467198106E-2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5" ht="16.5" customHeight="1">
      <c r="A8" s="47"/>
      <c r="B8" s="47"/>
      <c r="C8" s="48"/>
      <c r="D8" s="48"/>
      <c r="E8" s="49"/>
      <c r="F8" s="36"/>
      <c r="G8" s="50" t="s">
        <v>336</v>
      </c>
      <c r="H8" s="51">
        <f>[3]酒店主体!J8</f>
        <v>5607</v>
      </c>
      <c r="I8" s="52">
        <f>[3]酒店主体!K8</f>
        <v>4468</v>
      </c>
      <c r="J8" s="53">
        <f>[3]酒店主体!M8</f>
        <v>0.25492390331244402</v>
      </c>
      <c r="K8" s="52">
        <f>[3]酒店主体!N8</f>
        <v>4180</v>
      </c>
      <c r="L8" s="54">
        <f>[3]酒店主体!P8</f>
        <v>0.34138755980861202</v>
      </c>
      <c r="M8" s="51">
        <f>[3]酒店主体!S8</f>
        <v>5607</v>
      </c>
      <c r="N8" s="55">
        <f>[3]酒店主体!T8</f>
        <v>4468</v>
      </c>
      <c r="O8" s="53">
        <f>[3]酒店主体!V8</f>
        <v>0.25492390331244402</v>
      </c>
      <c r="P8" s="52">
        <f>[3]酒店主体!W8</f>
        <v>4180</v>
      </c>
      <c r="Q8" s="56">
        <f>[3]酒店主体!Y8</f>
        <v>0.34138755980861202</v>
      </c>
      <c r="R8" s="57">
        <f>[3]酒店主体!Z8</f>
        <v>76276</v>
      </c>
      <c r="S8" s="58">
        <f>[3]酒店主体!AA8</f>
        <v>7.3509360742566504E-2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5" ht="16.5" customHeight="1">
      <c r="A9" s="47" t="s">
        <v>337</v>
      </c>
      <c r="B9" s="47"/>
      <c r="C9" s="48"/>
      <c r="D9" s="48"/>
      <c r="E9" s="49"/>
      <c r="F9" s="36"/>
      <c r="G9" s="66" t="s">
        <v>338</v>
      </c>
      <c r="H9" s="67">
        <f>[3]酒店主体!J9</f>
        <v>0.31282051282051299</v>
      </c>
      <c r="I9" s="68">
        <f>[3]酒店主体!K9</f>
        <v>0.24679628811312401</v>
      </c>
      <c r="J9" s="67">
        <f>[3]酒店主体!M9</f>
        <v>0.26752519339806702</v>
      </c>
      <c r="K9" s="68">
        <f>[3]酒店主体!N9</f>
        <v>0.217780277081949</v>
      </c>
      <c r="L9" s="69">
        <f>[3]酒店主体!P9</f>
        <v>0.43640423739015299</v>
      </c>
      <c r="M9" s="67">
        <f>[3]酒店主体!S9</f>
        <v>0.31282051282051299</v>
      </c>
      <c r="N9" s="70">
        <f>[3]酒店主体!T9</f>
        <v>0.24679628811312401</v>
      </c>
      <c r="O9" s="67">
        <f>[3]酒店主体!V9</f>
        <v>0.26752519339806702</v>
      </c>
      <c r="P9" s="68">
        <f>[3]酒店主体!W9</f>
        <v>0.217780277081949</v>
      </c>
      <c r="Q9" s="71">
        <f>[3]酒店主体!Y9</f>
        <v>0.43640423739015299</v>
      </c>
      <c r="R9" s="72">
        <f>[3]酒店主体!Z9</f>
        <v>0.35783449052354999</v>
      </c>
      <c r="S9" s="58">
        <f>[3]酒店主体!AA9</f>
        <v>0.87420447470790996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5" ht="16.5" customHeight="1">
      <c r="A10" s="47" t="s">
        <v>337</v>
      </c>
      <c r="B10" s="47"/>
      <c r="C10" s="48"/>
      <c r="D10" s="48"/>
      <c r="E10" s="49"/>
      <c r="F10" s="36"/>
      <c r="G10" s="50" t="s">
        <v>339</v>
      </c>
      <c r="H10" s="67">
        <f>[3]酒店主体!J10</f>
        <v>0.309181141439206</v>
      </c>
      <c r="I10" s="68">
        <f>[3]酒店主体!K10</f>
        <v>0.24679628811312401</v>
      </c>
      <c r="J10" s="67">
        <f>[3]酒店主体!M10</f>
        <v>0.25277873424695302</v>
      </c>
      <c r="K10" s="68">
        <f>[3]酒店主体!N10</f>
        <v>0.213690506620316</v>
      </c>
      <c r="L10" s="69">
        <f>[3]酒店主体!P10</f>
        <v>0.44686418844313602</v>
      </c>
      <c r="M10" s="67">
        <f>[3]酒店主体!S10</f>
        <v>0.309181141439206</v>
      </c>
      <c r="N10" s="70">
        <f>[3]酒店主体!T10</f>
        <v>0.24679628811312401</v>
      </c>
      <c r="O10" s="67">
        <f>[3]酒店主体!V10</f>
        <v>0.25277873424695302</v>
      </c>
      <c r="P10" s="68">
        <f>[3]酒店主体!W10</f>
        <v>0.213690506620316</v>
      </c>
      <c r="Q10" s="71">
        <f>[3]酒店主体!Y10</f>
        <v>0.44686418844313602</v>
      </c>
      <c r="R10" s="72">
        <f>[3]酒店主体!Z10</f>
        <v>0.35783449052354999</v>
      </c>
      <c r="S10" s="58">
        <f>[3]酒店主体!AA10</f>
        <v>0.86403393084562796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5" ht="16.5" customHeight="1">
      <c r="A11" s="47"/>
      <c r="B11" s="47"/>
      <c r="C11" s="48"/>
      <c r="D11" s="48"/>
      <c r="E11" s="49"/>
      <c r="F11" s="36"/>
      <c r="G11" s="66" t="s">
        <v>340</v>
      </c>
      <c r="H11" s="51">
        <f>[3]酒店主体!J11</f>
        <v>199.24168341265599</v>
      </c>
      <c r="I11" s="52">
        <f>[3]酒店主体!K11</f>
        <v>230.944156222023</v>
      </c>
      <c r="J11" s="53">
        <f>[3]酒店主体!M11</f>
        <v>-0.13727332757833</v>
      </c>
      <c r="K11" s="52">
        <f>[3]酒店主体!N11</f>
        <v>222.82187558685399</v>
      </c>
      <c r="L11" s="54">
        <f>[3]酒店主体!P11</f>
        <v>-0.105825301542292</v>
      </c>
      <c r="M11" s="51">
        <f>[3]酒店主体!S11</f>
        <v>199.24168341265599</v>
      </c>
      <c r="N11" s="55">
        <f>[3]酒店主体!T11</f>
        <v>230.944156222023</v>
      </c>
      <c r="O11" s="53">
        <f>[3]酒店主体!V11</f>
        <v>-0.13727332757833</v>
      </c>
      <c r="P11" s="52">
        <f>[3]酒店主体!W11</f>
        <v>222.82187558685399</v>
      </c>
      <c r="Q11" s="56">
        <f>[3]酒店主体!Y11</f>
        <v>-0.105825301542292</v>
      </c>
      <c r="R11" s="57">
        <f>[3]酒店主体!Z11</f>
        <v>249.46507551523399</v>
      </c>
      <c r="S11" s="58">
        <f>[3]酒店主体!AA11</f>
        <v>0.79867565831069298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5" ht="16.5" customHeight="1">
      <c r="A12" s="47"/>
      <c r="B12" s="47"/>
      <c r="C12" s="48"/>
      <c r="D12" s="48"/>
      <c r="E12" s="49"/>
      <c r="F12" s="36"/>
      <c r="G12" s="50" t="s">
        <v>341</v>
      </c>
      <c r="H12" s="51">
        <f>[3]酒店主体!J12</f>
        <v>201.58695737471001</v>
      </c>
      <c r="I12" s="52">
        <f>[3]酒店主体!K12</f>
        <v>230.944156222023</v>
      </c>
      <c r="J12" s="53">
        <f>[3]酒店主体!M12</f>
        <v>-0.12711817145565599</v>
      </c>
      <c r="K12" s="52">
        <f>[3]酒店主体!N12</f>
        <v>227.086409090909</v>
      </c>
      <c r="L12" s="54">
        <f>[3]酒店主体!P12</f>
        <v>-0.112289642600279</v>
      </c>
      <c r="M12" s="51">
        <f>[3]酒店主体!S12</f>
        <v>201.58695737471001</v>
      </c>
      <c r="N12" s="55">
        <f>[3]酒店主体!T12</f>
        <v>230.944156222023</v>
      </c>
      <c r="O12" s="53">
        <f>[3]酒店主体!V12</f>
        <v>-0.12711817145565599</v>
      </c>
      <c r="P12" s="52">
        <f>[3]酒店主体!W12</f>
        <v>227.086409090909</v>
      </c>
      <c r="Q12" s="56">
        <f>[3]酒店主体!Y12</f>
        <v>-0.112289642600279</v>
      </c>
      <c r="R12" s="57">
        <f>[3]酒店主体!Z12</f>
        <v>249.46507551523399</v>
      </c>
      <c r="S12" s="58">
        <f>[3]酒店主体!AA12</f>
        <v>0.80807686991199601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5" ht="16.5" customHeight="1">
      <c r="A13" s="73"/>
      <c r="B13" s="73"/>
      <c r="C13" s="73"/>
      <c r="D13" s="73"/>
      <c r="E13" s="73"/>
      <c r="F13" s="36"/>
      <c r="G13" s="74" t="s">
        <v>342</v>
      </c>
      <c r="H13" s="75">
        <f>[3]酒店主体!J13</f>
        <v>62.326885580369499</v>
      </c>
      <c r="I13" s="76">
        <f>[3]酒店主体!K13</f>
        <v>56.996160517012797</v>
      </c>
      <c r="J13" s="77">
        <f>[3]酒店主体!M13</f>
        <v>9.3527792310948293E-2</v>
      </c>
      <c r="K13" s="76">
        <f>[3]酒店主体!N13</f>
        <v>48.526209805224703</v>
      </c>
      <c r="L13" s="78">
        <f>[3]酒店主体!P13</f>
        <v>0.28439632583171398</v>
      </c>
      <c r="M13" s="75">
        <f>[3]酒店主体!S13</f>
        <v>62.326885580369499</v>
      </c>
      <c r="N13" s="79">
        <f>[3]酒店主体!T13</f>
        <v>56.996160517012797</v>
      </c>
      <c r="O13" s="77">
        <f>[3]酒店主体!V13</f>
        <v>9.3527792310948293E-2</v>
      </c>
      <c r="P13" s="76">
        <f>[3]酒店主体!W13</f>
        <v>48.526209805224703</v>
      </c>
      <c r="Q13" s="80">
        <f>[3]酒店主体!Y13</f>
        <v>0.28439632583171398</v>
      </c>
      <c r="R13" s="81">
        <f>[3]酒店主体!Z13</f>
        <v>89.267208200412796</v>
      </c>
      <c r="S13" s="82">
        <f>[3]酒店主体!AA13</f>
        <v>0.69820583433549399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spans="1:45" ht="16.5" customHeight="1">
      <c r="A14" s="73"/>
      <c r="B14" s="73"/>
      <c r="C14" s="73"/>
      <c r="D14" s="73"/>
      <c r="E14" s="73"/>
      <c r="F14" s="36"/>
      <c r="G14" s="83"/>
      <c r="H14" s="84"/>
      <c r="I14" s="84"/>
      <c r="J14" s="85"/>
      <c r="K14" s="84"/>
      <c r="L14" s="85"/>
      <c r="M14" s="84"/>
      <c r="N14" s="84"/>
      <c r="O14" s="85"/>
      <c r="P14" s="84"/>
      <c r="Q14" s="85"/>
      <c r="R14" s="84"/>
      <c r="S14" s="86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5" s="3" customFormat="1" ht="16.5" customHeight="1">
      <c r="A15" s="73"/>
      <c r="B15" s="73"/>
      <c r="C15" s="73"/>
      <c r="D15" s="73"/>
      <c r="E15" s="73"/>
      <c r="F15" s="36"/>
      <c r="G15" s="87" t="s">
        <v>343</v>
      </c>
      <c r="H15" s="88" t="s">
        <v>331</v>
      </c>
      <c r="I15" s="89" t="s">
        <v>249</v>
      </c>
      <c r="J15" s="90" t="s">
        <v>332</v>
      </c>
      <c r="K15" s="91" t="s">
        <v>270</v>
      </c>
      <c r="L15" s="90" t="s">
        <v>332</v>
      </c>
      <c r="M15" s="92" t="s">
        <v>331</v>
      </c>
      <c r="N15" s="93" t="s">
        <v>249</v>
      </c>
      <c r="O15" s="94" t="s">
        <v>332</v>
      </c>
      <c r="P15" s="93" t="s">
        <v>270</v>
      </c>
      <c r="Q15" s="95" t="s">
        <v>332</v>
      </c>
      <c r="R15" s="96" t="s">
        <v>245</v>
      </c>
      <c r="S15" s="97" t="s">
        <v>11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5" s="4" customFormat="1" ht="16.5" customHeight="1">
      <c r="A16" s="99"/>
      <c r="B16" s="99"/>
      <c r="C16" s="73"/>
      <c r="D16" s="73"/>
      <c r="E16" s="100"/>
      <c r="F16" s="36"/>
      <c r="G16" s="351" t="s">
        <v>344</v>
      </c>
      <c r="H16" s="352">
        <f>[3]酒店主体!J16</f>
        <v>2831815.91</v>
      </c>
      <c r="I16" s="353">
        <f>[3]酒店主体!K16</f>
        <v>2691281.43</v>
      </c>
      <c r="J16" s="354">
        <f>[3]酒店主体!M16</f>
        <v>5.2218425926566898E-2</v>
      </c>
      <c r="K16" s="353">
        <f>[3]酒店主体!N16</f>
        <v>2941734.5</v>
      </c>
      <c r="L16" s="355">
        <f>[3]酒店主体!P16</f>
        <v>-3.7365231294666297E-2</v>
      </c>
      <c r="M16" s="352">
        <f>[3]酒店主体!S16</f>
        <v>2831815.91</v>
      </c>
      <c r="N16" s="353">
        <f>[3]酒店主体!T16</f>
        <v>2691281.43</v>
      </c>
      <c r="O16" s="354">
        <f>[3]酒店主体!V16</f>
        <v>5.2218425926566898E-2</v>
      </c>
      <c r="P16" s="353">
        <f>[3]酒店主体!W16</f>
        <v>2941734.5</v>
      </c>
      <c r="Q16" s="356">
        <f>[3]酒店主体!Y16</f>
        <v>-3.7365231294666297E-2</v>
      </c>
      <c r="R16" s="357">
        <f>[3]酒店主体!Z16</f>
        <v>36674896.130000003</v>
      </c>
      <c r="S16" s="358">
        <f>[3]酒店主体!AA16</f>
        <v>7.7214013093920703E-2</v>
      </c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</row>
    <row r="17" spans="1:41" ht="16.5" customHeight="1">
      <c r="B17" s="47"/>
      <c r="C17" s="48"/>
      <c r="D17" s="48"/>
      <c r="E17" s="48" t="s">
        <v>345</v>
      </c>
      <c r="F17" s="36"/>
      <c r="G17" s="102" t="s">
        <v>346</v>
      </c>
      <c r="H17" s="103">
        <f>[3]酒店主体!J17</f>
        <v>778132.3</v>
      </c>
      <c r="I17" s="104">
        <f>[3]酒店主体!K17</f>
        <v>702119.4</v>
      </c>
      <c r="J17" s="105">
        <f>[3]酒店主体!M17</f>
        <v>0.10826207052532701</v>
      </c>
      <c r="K17" s="104">
        <f>[3]酒店主体!N17</f>
        <v>915654.12</v>
      </c>
      <c r="L17" s="106">
        <f>[3]酒店主体!P17</f>
        <v>-0.15018970263575099</v>
      </c>
      <c r="M17" s="103">
        <f>[3]酒店主体!S17</f>
        <v>778132.3</v>
      </c>
      <c r="N17" s="104">
        <f>[3]酒店主体!T17</f>
        <v>702119.4</v>
      </c>
      <c r="O17" s="105">
        <f>[3]酒店主体!V17</f>
        <v>0.10826207052532701</v>
      </c>
      <c r="P17" s="104">
        <f>[3]酒店主体!W17</f>
        <v>915654.12</v>
      </c>
      <c r="Q17" s="107">
        <f>[3]酒店主体!Y17</f>
        <v>-0.15018970263575099</v>
      </c>
      <c r="R17" s="108">
        <f>[3]酒店主体!Z17</f>
        <v>6882097.8899999997</v>
      </c>
      <c r="S17" s="109">
        <f>[3]酒店主体!AA17</f>
        <v>0.113066148206154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spans="1:41" ht="16.5" customHeight="1">
      <c r="A18" s="47"/>
      <c r="B18" s="47"/>
      <c r="C18" s="48"/>
      <c r="D18" s="48"/>
      <c r="E18" s="49"/>
      <c r="F18" s="36"/>
      <c r="G18" s="110" t="s">
        <v>347</v>
      </c>
      <c r="H18" s="51">
        <f>[3]酒店主体!J18</f>
        <v>811305</v>
      </c>
      <c r="I18" s="55">
        <f>[3]酒店主体!K18</f>
        <v>807191.69</v>
      </c>
      <c r="J18" s="111">
        <f>[3]酒店主体!M18</f>
        <v>5.0958279810836204E-3</v>
      </c>
      <c r="K18" s="55">
        <f>[3]酒店主体!N18</f>
        <v>926845.52</v>
      </c>
      <c r="L18" s="112">
        <f>[3]酒店主体!P18</f>
        <v>-0.12465995412050999</v>
      </c>
      <c r="M18" s="51">
        <f>[3]酒店主体!S18</f>
        <v>811305</v>
      </c>
      <c r="N18" s="55">
        <f>[3]酒店主体!T18</f>
        <v>807191.69</v>
      </c>
      <c r="O18" s="111">
        <f>[3]酒店主体!V18</f>
        <v>5.0958279810836204E-3</v>
      </c>
      <c r="P18" s="55">
        <f>[3]酒店主体!W18</f>
        <v>926845.52</v>
      </c>
      <c r="Q18" s="113">
        <f>[3]酒店主体!Y18</f>
        <v>-0.12465995412050999</v>
      </c>
      <c r="R18" s="108">
        <f>[3]酒店主体!Z18</f>
        <v>11912456.439999999</v>
      </c>
      <c r="S18" s="109">
        <f>[3]酒店主体!AA18</f>
        <v>6.8105600560752197E-2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1:41" ht="16.5" customHeight="1">
      <c r="A19" s="47"/>
      <c r="B19" s="47"/>
      <c r="C19" s="48"/>
      <c r="D19" s="48"/>
      <c r="E19" s="49"/>
      <c r="F19" s="36"/>
      <c r="G19" s="114" t="s">
        <v>348</v>
      </c>
      <c r="H19" s="51">
        <f>[3]酒店主体!J19</f>
        <v>1585426.35</v>
      </c>
      <c r="I19" s="55">
        <f>[3]酒店主体!K19</f>
        <v>1433880.54</v>
      </c>
      <c r="J19" s="111">
        <f>[3]酒店主体!M19</f>
        <v>0.10568928566392299</v>
      </c>
      <c r="K19" s="55">
        <f>[3]酒店主体!N19</f>
        <v>1655901.24</v>
      </c>
      <c r="L19" s="112">
        <f>[3]酒店主体!P19</f>
        <v>-4.2559838894739799E-2</v>
      </c>
      <c r="M19" s="51">
        <f>[3]酒店主体!S19</f>
        <v>1585426.35</v>
      </c>
      <c r="N19" s="55">
        <f>[3]酒店主体!T19</f>
        <v>1433880.54</v>
      </c>
      <c r="O19" s="111">
        <f>[3]酒店主体!V19</f>
        <v>0.10568928566392299</v>
      </c>
      <c r="P19" s="55">
        <f>[3]酒店主体!W19</f>
        <v>1655901.24</v>
      </c>
      <c r="Q19" s="113">
        <f>[3]酒店主体!Y19</f>
        <v>-4.2559838894739799E-2</v>
      </c>
      <c r="R19" s="108">
        <f>[3]酒店主体!Z19</f>
        <v>14580341.810000001</v>
      </c>
      <c r="S19" s="109">
        <f>[3]酒店主体!AA19</f>
        <v>0.108737255316787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 s="5" customFormat="1" ht="16.5" customHeight="1">
      <c r="A20" s="47"/>
      <c r="B20" s="47"/>
      <c r="C20" s="48"/>
      <c r="D20" s="48"/>
      <c r="E20" s="49"/>
      <c r="F20" s="115"/>
      <c r="G20" s="116" t="s">
        <v>349</v>
      </c>
      <c r="H20" s="117">
        <f>[3]酒店主体!J20</f>
        <v>-343047.74</v>
      </c>
      <c r="I20" s="118">
        <f>[3]酒店主体!K20</f>
        <v>-251910.2</v>
      </c>
      <c r="J20" s="119">
        <f>[3]酒店主体!M20</f>
        <v>-0.36178582685417499</v>
      </c>
      <c r="K20" s="118">
        <f>[3]酒店主体!N20</f>
        <v>-556666.38</v>
      </c>
      <c r="L20" s="120">
        <f>[3]酒店主体!P20</f>
        <v>0.38374625749807301</v>
      </c>
      <c r="M20" s="117">
        <f>[3]酒店主体!S20</f>
        <v>-343047.74</v>
      </c>
      <c r="N20" s="118">
        <f>[3]酒店主体!T20</f>
        <v>-251910.2</v>
      </c>
      <c r="O20" s="119">
        <f>[3]酒店主体!V20</f>
        <v>-0.36178582685417499</v>
      </c>
      <c r="P20" s="118">
        <f>[3]酒店主体!W20</f>
        <v>-556666.38</v>
      </c>
      <c r="Q20" s="121">
        <f>[3]酒店主体!Y20</f>
        <v>0.38374625749807301</v>
      </c>
      <c r="R20" s="122">
        <f>[3]酒店主体!Z20</f>
        <v>3299999.99</v>
      </c>
      <c r="S20" s="123">
        <f>[3]酒店主体!AA20</f>
        <v>-0.10395386092107201</v>
      </c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</row>
    <row r="21" spans="1:41" s="6" customFormat="1" ht="16.5" customHeight="1">
      <c r="A21" s="125"/>
      <c r="B21" s="125"/>
      <c r="C21" s="126"/>
      <c r="D21" s="126"/>
      <c r="E21" s="127"/>
      <c r="F21" s="128"/>
      <c r="G21" s="129" t="s">
        <v>350</v>
      </c>
      <c r="H21" s="130">
        <f>[3]酒店主体!J21</f>
        <v>-0.121140551117251</v>
      </c>
      <c r="I21" s="131">
        <f>[3]酒店主体!K21</f>
        <v>-9.3602325342838494E-2</v>
      </c>
      <c r="J21" s="130">
        <f>[3]酒店主体!M21</f>
        <v>-0.29420450478712001</v>
      </c>
      <c r="K21" s="131">
        <f>[3]酒店主体!N21</f>
        <v>-0.18923066646565201</v>
      </c>
      <c r="L21" s="132">
        <f>[3]酒店主体!P21</f>
        <v>0.35982600822663102</v>
      </c>
      <c r="M21" s="130">
        <f>[3]酒店主体!S21</f>
        <v>-0.121140551117251</v>
      </c>
      <c r="N21" s="131">
        <f>[3]酒店主体!T21</f>
        <v>-9.3602325342838494E-2</v>
      </c>
      <c r="O21" s="130">
        <f>[3]酒店主体!V21</f>
        <v>-0.29420450478712001</v>
      </c>
      <c r="P21" s="131">
        <f>[3]酒店主体!W21</f>
        <v>-0.18923066646565201</v>
      </c>
      <c r="Q21" s="133">
        <f>[3]酒店主体!Y21</f>
        <v>0.35982600822663102</v>
      </c>
      <c r="R21" s="134">
        <f>[3]酒店主体!Z21</f>
        <v>8.9979804668092994E-2</v>
      </c>
      <c r="S21" s="135">
        <f>[3]酒店主体!AA21</f>
        <v>-1.34630822509673</v>
      </c>
      <c r="T21" s="136"/>
      <c r="U21" s="136"/>
      <c r="V21" s="136"/>
      <c r="W21" s="136"/>
      <c r="X21" s="136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</row>
    <row r="22" spans="1:41" ht="16.5" customHeight="1">
      <c r="A22" s="47"/>
      <c r="B22" s="47"/>
      <c r="C22" s="48"/>
      <c r="D22" s="48"/>
      <c r="E22" s="49"/>
      <c r="G22" s="138" t="s">
        <v>351</v>
      </c>
      <c r="H22" s="51">
        <f>[3]酒店主体!J22</f>
        <v>70069.05</v>
      </c>
      <c r="I22" s="55">
        <f>[3]酒店主体!K22</f>
        <v>72447.73</v>
      </c>
      <c r="J22" s="111">
        <f>[3]酒店主体!M22</f>
        <v>-3.2833050807803001E-2</v>
      </c>
      <c r="K22" s="55">
        <f>[3]酒店主体!N22</f>
        <v>65525.04</v>
      </c>
      <c r="L22" s="112">
        <f>[3]酒店主体!P22</f>
        <v>6.9347687540518899E-2</v>
      </c>
      <c r="M22" s="51">
        <f>[3]酒店主体!S22</f>
        <v>70069.05</v>
      </c>
      <c r="N22" s="55">
        <f>[3]酒店主体!T22</f>
        <v>72447.73</v>
      </c>
      <c r="O22" s="111">
        <f>[3]酒店主体!V22</f>
        <v>-3.2833050807803001E-2</v>
      </c>
      <c r="P22" s="55">
        <f>[3]酒店主体!W22</f>
        <v>65525.04</v>
      </c>
      <c r="Q22" s="113">
        <f>[3]酒店主体!Y22</f>
        <v>6.9347687540518899E-2</v>
      </c>
      <c r="R22" s="108">
        <f>[3]酒店主体!Z22</f>
        <v>988388.35</v>
      </c>
      <c r="S22" s="109">
        <f>[3]酒店主体!AA22</f>
        <v>7.0892225712696794E-2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 spans="1:41" ht="16.5" customHeight="1">
      <c r="A23" s="47"/>
      <c r="B23" s="47"/>
      <c r="C23" s="48"/>
      <c r="D23" s="48"/>
      <c r="E23" s="49"/>
      <c r="G23" s="138" t="s">
        <v>352</v>
      </c>
      <c r="H23" s="51">
        <f>[3]酒店主体!J23</f>
        <v>-416992.64</v>
      </c>
      <c r="I23" s="55">
        <f>[3]酒店主体!K23</f>
        <v>-384468.78</v>
      </c>
      <c r="J23" s="111">
        <f>[3]酒店主体!M23</f>
        <v>-8.4594280971266506E-2</v>
      </c>
      <c r="K23" s="55">
        <f>[3]酒店主体!N23</f>
        <v>-720957.83</v>
      </c>
      <c r="L23" s="112">
        <f>[3]酒店主体!P23</f>
        <v>0.42161299503467498</v>
      </c>
      <c r="M23" s="51">
        <f>[3]酒店主体!S23</f>
        <v>-416992.64</v>
      </c>
      <c r="N23" s="55">
        <f>[3]酒店主体!T23</f>
        <v>-384468.78</v>
      </c>
      <c r="O23" s="111">
        <f>[3]酒店主体!V23</f>
        <v>-8.4594280971266506E-2</v>
      </c>
      <c r="P23" s="55">
        <f>[3]酒店主体!W23</f>
        <v>-720957.83</v>
      </c>
      <c r="Q23" s="113">
        <f>[3]酒店主体!Y23</f>
        <v>0.42161299503467498</v>
      </c>
      <c r="R23" s="108">
        <f>[3]酒店主体!Z23</f>
        <v>-5239270.87</v>
      </c>
      <c r="S23" s="109">
        <f>[3]酒店主体!AA23</f>
        <v>1.9204101772275799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spans="1:41" s="5" customFormat="1" ht="16.5" customHeight="1">
      <c r="A24" s="47"/>
      <c r="B24" s="47"/>
      <c r="C24" s="48"/>
      <c r="D24" s="48"/>
      <c r="E24" s="49"/>
      <c r="F24" s="16"/>
      <c r="G24" s="139" t="s">
        <v>353</v>
      </c>
      <c r="H24" s="140">
        <f>[3]酒店主体!J24</f>
        <v>-830109.43</v>
      </c>
      <c r="I24" s="141">
        <f>[3]酒店主体!K24</f>
        <v>-708826.71</v>
      </c>
      <c r="J24" s="142">
        <f>[3]酒店主体!M24</f>
        <v>-0.17110348451739399</v>
      </c>
      <c r="K24" s="141">
        <f>[3]酒店主体!N24</f>
        <v>-1343149.25</v>
      </c>
      <c r="L24" s="143">
        <f>[3]酒店主体!P24</f>
        <v>0.38196784162296199</v>
      </c>
      <c r="M24" s="140">
        <f>[3]酒店主体!S24</f>
        <v>-830109.43</v>
      </c>
      <c r="N24" s="141">
        <f>[3]酒店主体!T24</f>
        <v>-708826.71</v>
      </c>
      <c r="O24" s="142">
        <f>[3]酒店主体!V24</f>
        <v>-0.17110348451739399</v>
      </c>
      <c r="P24" s="141">
        <f>[3]酒店主体!W24</f>
        <v>-1343149.25</v>
      </c>
      <c r="Q24" s="144">
        <f>[3]酒店主体!Y24</f>
        <v>0.38196784162296199</v>
      </c>
      <c r="R24" s="122">
        <f>[3]酒店主体!Z24</f>
        <v>-2927659.23</v>
      </c>
      <c r="S24" s="123">
        <f>[3]酒店主体!AA24</f>
        <v>1.7164596816822799</v>
      </c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</row>
    <row r="25" spans="1:41" ht="16.5" customHeight="1">
      <c r="A25" s="47"/>
      <c r="B25" s="47"/>
      <c r="C25" s="48"/>
      <c r="D25" s="48"/>
      <c r="E25" s="49"/>
      <c r="G25" s="138" t="s">
        <v>354</v>
      </c>
      <c r="H25" s="51">
        <f>[3]酒店主体!J25</f>
        <v>103771.03694999999</v>
      </c>
      <c r="I25" s="55">
        <f>[3]酒店主体!K25</f>
        <v>99829.550449999995</v>
      </c>
      <c r="J25" s="111">
        <f>[3]酒店主体!M25</f>
        <v>3.9482162167745201E-2</v>
      </c>
      <c r="K25" s="55">
        <f>[3]酒店主体!N25</f>
        <v>107941.5876</v>
      </c>
      <c r="L25" s="112">
        <f>[3]酒店主体!P25</f>
        <v>-3.8637106816094197E-2</v>
      </c>
      <c r="M25" s="51">
        <f>[3]酒店主体!S25</f>
        <v>103771.03694999999</v>
      </c>
      <c r="N25" s="55">
        <f>[3]酒店主体!T25</f>
        <v>99829.550449999995</v>
      </c>
      <c r="O25" s="111">
        <f>[3]酒店主体!V25</f>
        <v>3.9482162167745201E-2</v>
      </c>
      <c r="P25" s="55">
        <f>[3]酒店主体!W25</f>
        <v>107941.5876</v>
      </c>
      <c r="Q25" s="113">
        <f>[3]酒店主体!Y25</f>
        <v>-3.8637106816094197E-2</v>
      </c>
      <c r="R25" s="108">
        <f>[3]酒店主体!Z25</f>
        <v>1361952.4604</v>
      </c>
      <c r="S25" s="109">
        <f>[3]酒店主体!AA25</f>
        <v>7.6192848111249697E-2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spans="1:41" s="5" customFormat="1" ht="16.5" customHeight="1">
      <c r="A26" s="47"/>
      <c r="B26" s="47"/>
      <c r="C26" s="48"/>
      <c r="D26" s="48"/>
      <c r="E26" s="49"/>
      <c r="F26" s="16"/>
      <c r="G26" s="145" t="s">
        <v>355</v>
      </c>
      <c r="H26" s="117">
        <f>[3]酒店主体!J26</f>
        <v>-933880.46695000003</v>
      </c>
      <c r="I26" s="118">
        <f>[3]酒店主体!K26</f>
        <v>-808656.26044999994</v>
      </c>
      <c r="J26" s="146">
        <f>[3]酒店主体!M26</f>
        <v>-0.15485468007174799</v>
      </c>
      <c r="K26" s="118">
        <f>[3]酒店主体!N26</f>
        <v>-1451090.8376</v>
      </c>
      <c r="L26" s="147">
        <f>[3]酒店主体!P26</f>
        <v>0.35642866542071799</v>
      </c>
      <c r="M26" s="117">
        <f>[3]酒店主体!S26</f>
        <v>-933880.46695000003</v>
      </c>
      <c r="N26" s="118">
        <f>[3]酒店主体!T26</f>
        <v>-808656.26044999994</v>
      </c>
      <c r="O26" s="146">
        <f>[3]酒店主体!V26</f>
        <v>-0.15485468007174799</v>
      </c>
      <c r="P26" s="118">
        <f>[3]酒店主体!W26</f>
        <v>-1451090.8376</v>
      </c>
      <c r="Q26" s="148">
        <f>[3]酒店主体!Y26</f>
        <v>0.35642866542071799</v>
      </c>
      <c r="R26" s="122">
        <f>[3]酒店主体!Z26</f>
        <v>-4289611.6903999997</v>
      </c>
      <c r="S26" s="123">
        <f>[3]酒店主体!AA26</f>
        <v>1.78229253966274</v>
      </c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</row>
    <row r="27" spans="1:41" ht="16.5" customHeight="1">
      <c r="A27" s="47"/>
      <c r="B27" s="47"/>
      <c r="C27" s="48"/>
      <c r="D27" s="48"/>
      <c r="E27" s="49"/>
      <c r="G27" s="138" t="s">
        <v>356</v>
      </c>
      <c r="H27" s="51">
        <f>[3]酒店主体!J27</f>
        <v>191741.14</v>
      </c>
      <c r="I27" s="55">
        <f>[3]酒店主体!K27</f>
        <v>202888.32000000001</v>
      </c>
      <c r="J27" s="111">
        <f>[3]酒店主体!M27</f>
        <v>-5.4942443212107998E-2</v>
      </c>
      <c r="K27" s="55">
        <f>[3]酒店主体!N27</f>
        <v>216043.94</v>
      </c>
      <c r="L27" s="112">
        <f>[3]酒店主体!P27</f>
        <v>-0.11249007956437</v>
      </c>
      <c r="M27" s="51">
        <f>[3]酒店主体!S27</f>
        <v>191741.14</v>
      </c>
      <c r="N27" s="55">
        <f>[3]酒店主体!T27</f>
        <v>202888.32000000001</v>
      </c>
      <c r="O27" s="111">
        <f>[3]酒店主体!V27</f>
        <v>-5.4942443212107998E-2</v>
      </c>
      <c r="P27" s="55">
        <f>[3]酒店主体!W27</f>
        <v>216043.94</v>
      </c>
      <c r="Q27" s="113">
        <f>[3]酒店主体!Y27</f>
        <v>-0.11249007956437</v>
      </c>
      <c r="R27" s="108">
        <f>[3]酒店主体!Z27</f>
        <v>2238154.92</v>
      </c>
      <c r="S27" s="109">
        <f>[3]酒店主体!AA27</f>
        <v>8.5669288701427301E-2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spans="1:41" ht="16.5" customHeight="1">
      <c r="A28" s="47"/>
      <c r="B28" s="47"/>
      <c r="C28" s="48"/>
      <c r="D28" s="48"/>
      <c r="E28" s="49"/>
      <c r="G28" s="138" t="s">
        <v>357</v>
      </c>
      <c r="H28" s="51">
        <f>[3]酒店主体!J28</f>
        <v>0</v>
      </c>
      <c r="I28" s="55">
        <f>[3]酒店主体!K28</f>
        <v>0</v>
      </c>
      <c r="J28" s="111" t="str">
        <f>[3]酒店主体!M28</f>
        <v/>
      </c>
      <c r="K28" s="55">
        <f>[3]酒店主体!N28</f>
        <v>0</v>
      </c>
      <c r="L28" s="112" t="str">
        <f>[3]酒店主体!P28</f>
        <v/>
      </c>
      <c r="M28" s="51">
        <f>[3]酒店主体!S28</f>
        <v>0</v>
      </c>
      <c r="N28" s="55">
        <f>[3]酒店主体!T28</f>
        <v>0</v>
      </c>
      <c r="O28" s="111" t="str">
        <f>[3]酒店主体!V28</f>
        <v/>
      </c>
      <c r="P28" s="55">
        <f>[3]酒店主体!W28</f>
        <v>0</v>
      </c>
      <c r="Q28" s="113" t="str">
        <f>[3]酒店主体!Y28</f>
        <v/>
      </c>
      <c r="R28" s="108">
        <f>[3]酒店主体!Z28</f>
        <v>0</v>
      </c>
      <c r="S28" s="109" t="str">
        <f>[3]酒店主体!AA28</f>
        <v/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 spans="1:41" s="5" customFormat="1" ht="16.5" customHeight="1">
      <c r="A29" s="47"/>
      <c r="B29" s="47"/>
      <c r="C29" s="48"/>
      <c r="D29" s="48"/>
      <c r="E29" s="49"/>
      <c r="F29" s="16"/>
      <c r="G29" s="149" t="s">
        <v>358</v>
      </c>
      <c r="H29" s="150">
        <f>[3]酒店主体!J29</f>
        <v>-1125621.6069499999</v>
      </c>
      <c r="I29" s="151">
        <f>[3]酒店主体!K29</f>
        <v>-1011544.58045</v>
      </c>
      <c r="J29" s="152">
        <f>[3]酒店主体!M29</f>
        <v>-0.11277508545323001</v>
      </c>
      <c r="K29" s="151">
        <f>[3]酒店主体!N29</f>
        <v>-1667134.7775999999</v>
      </c>
      <c r="L29" s="153">
        <f>[3]酒店主体!P29</f>
        <v>0.32481667224863497</v>
      </c>
      <c r="M29" s="150">
        <f>[3]酒店主体!S29</f>
        <v>-1125621.6069499999</v>
      </c>
      <c r="N29" s="151">
        <f>[3]酒店主体!T29</f>
        <v>-1011544.58045</v>
      </c>
      <c r="O29" s="152">
        <f>[3]酒店主体!V29</f>
        <v>-0.11277508545323001</v>
      </c>
      <c r="P29" s="151">
        <f>[3]酒店主体!W29</f>
        <v>-1667134.7775999999</v>
      </c>
      <c r="Q29" s="154">
        <f>[3]酒店主体!Y29</f>
        <v>0.32481667224863497</v>
      </c>
      <c r="R29" s="155">
        <f>[3]酒店主体!Z29</f>
        <v>-6527766.6103999997</v>
      </c>
      <c r="S29" s="156">
        <f>[3]酒店主体!AA29</f>
        <v>1.8275640545792999</v>
      </c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</row>
    <row r="30" spans="1:41" ht="16.5" customHeight="1">
      <c r="A30" s="47"/>
      <c r="B30" s="47"/>
      <c r="C30" s="48"/>
      <c r="D30" s="48"/>
      <c r="E30" s="49"/>
      <c r="G30" s="359" t="s">
        <v>359</v>
      </c>
      <c r="H30" s="157"/>
      <c r="I30" s="157"/>
      <c r="J30" s="158"/>
      <c r="K30" s="157"/>
      <c r="L30" s="159"/>
      <c r="M30" s="157"/>
      <c r="N30" s="157"/>
      <c r="O30" s="158"/>
      <c r="P30" s="157"/>
      <c r="Q30" s="158"/>
      <c r="R30" s="160"/>
      <c r="S30" s="109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1:41" ht="16.5" customHeight="1">
      <c r="A31" s="47"/>
      <c r="B31" s="47"/>
      <c r="C31" s="48"/>
      <c r="D31" s="48"/>
      <c r="E31" s="49"/>
      <c r="G31" s="161" t="s">
        <v>360</v>
      </c>
      <c r="H31" s="51">
        <f>[3]酒店主体!J31</f>
        <v>1111588.76</v>
      </c>
      <c r="I31" s="55">
        <f>[3]酒店主体!K31</f>
        <v>1168718</v>
      </c>
      <c r="J31" s="53">
        <f>[3]酒店主体!M31</f>
        <v>-4.8881971527776603E-2</v>
      </c>
      <c r="K31" s="55">
        <f>[3]酒店主体!N31</f>
        <v>1241107.43</v>
      </c>
      <c r="L31" s="54">
        <f>[3]酒店主体!P31</f>
        <v>-0.10435733996049</v>
      </c>
      <c r="M31" s="51">
        <f>[3]酒店主体!S31</f>
        <v>1111588.76</v>
      </c>
      <c r="N31" s="55">
        <f>[3]酒店主体!T31</f>
        <v>1168718</v>
      </c>
      <c r="O31" s="53">
        <f>[3]酒店主体!V31</f>
        <v>-4.8881971527776603E-2</v>
      </c>
      <c r="P31" s="55">
        <f>[3]酒店主体!W31</f>
        <v>1241107.43</v>
      </c>
      <c r="Q31" s="56">
        <f>[3]酒店主体!Y31</f>
        <v>-0.10435733996049</v>
      </c>
      <c r="R31" s="108">
        <f>[3]酒店主体!Z31</f>
        <v>14803680</v>
      </c>
      <c r="S31" s="109">
        <f>[3]酒店主体!AA31</f>
        <v>7.5088677950347502E-2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spans="1:41" ht="16.5" customHeight="1">
      <c r="A32" s="47"/>
      <c r="B32" s="47"/>
      <c r="C32" s="48"/>
      <c r="D32" s="48"/>
      <c r="E32" s="49"/>
      <c r="G32" s="161" t="s">
        <v>361</v>
      </c>
      <c r="H32" s="51">
        <f>[3]酒店主体!J32</f>
        <v>72327</v>
      </c>
      <c r="I32" s="55">
        <f>[3]酒店主体!K32</f>
        <v>72327</v>
      </c>
      <c r="J32" s="53">
        <f>[3]酒店主体!M32</f>
        <v>0</v>
      </c>
      <c r="K32" s="55">
        <f>[3]酒店主体!N32</f>
        <v>92625</v>
      </c>
      <c r="L32" s="54">
        <f>[3]酒店主体!P32</f>
        <v>-0.219141700404858</v>
      </c>
      <c r="M32" s="51">
        <f>[3]酒店主体!S32</f>
        <v>72327</v>
      </c>
      <c r="N32" s="55">
        <f>[3]酒店主体!T32</f>
        <v>72327</v>
      </c>
      <c r="O32" s="53">
        <f>[3]酒店主体!V32</f>
        <v>0</v>
      </c>
      <c r="P32" s="55">
        <f>[3]酒店主体!W32</f>
        <v>92625</v>
      </c>
      <c r="Q32" s="56">
        <f>[3]酒店主体!Y32</f>
        <v>-0.219141700404858</v>
      </c>
      <c r="R32" s="108">
        <f>[3]酒店主体!Z32</f>
        <v>867924</v>
      </c>
      <c r="S32" s="109">
        <f>[3]酒店主体!AA32</f>
        <v>8.3333333333333301E-2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 spans="1:41" s="7" customFormat="1" ht="16.5" customHeight="1">
      <c r="A33" s="125"/>
      <c r="B33" s="125"/>
      <c r="C33" s="126"/>
      <c r="D33" s="126"/>
      <c r="E33" s="127"/>
      <c r="F33" s="128"/>
      <c r="G33" s="162" t="s">
        <v>362</v>
      </c>
      <c r="H33" s="163">
        <f>[3]酒店主体!J33</f>
        <v>0.39253567157195601</v>
      </c>
      <c r="I33" s="164">
        <f>[3]酒店主体!K33</f>
        <v>0.43426079003562301</v>
      </c>
      <c r="J33" s="163">
        <f>[3]酒店主体!M33</f>
        <v>-9.6083089749465306E-2</v>
      </c>
      <c r="K33" s="164">
        <f>[3]酒店主体!N33</f>
        <v>0.42189647978089101</v>
      </c>
      <c r="L33" s="165">
        <f>[3]酒店主体!P33</f>
        <v>-6.9592446526653806E-2</v>
      </c>
      <c r="M33" s="163">
        <f>[3]酒店主体!S33</f>
        <v>0.39253567157195601</v>
      </c>
      <c r="N33" s="164">
        <f>[3]酒店主体!T33</f>
        <v>0.43426079003562301</v>
      </c>
      <c r="O33" s="163">
        <f>[3]酒店主体!V33</f>
        <v>-9.6083089749465306E-2</v>
      </c>
      <c r="P33" s="164">
        <f>[3]酒店主体!W33</f>
        <v>0.42189647978089101</v>
      </c>
      <c r="Q33" s="166">
        <f>[3]酒店主体!Y33</f>
        <v>-6.9592446526653806E-2</v>
      </c>
      <c r="R33" s="167">
        <f>[3]酒店主体!Z33</f>
        <v>0.403646132971338</v>
      </c>
      <c r="S33" s="168">
        <f>[3]酒店主体!AA33</f>
        <v>0.97247474832077496</v>
      </c>
      <c r="T33" s="136"/>
      <c r="U33" s="136"/>
      <c r="V33" s="136"/>
      <c r="W33" s="136"/>
      <c r="X33" s="136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</row>
    <row r="34" spans="1:41" ht="16.5" customHeight="1">
      <c r="A34" s="47"/>
      <c r="B34" s="47"/>
      <c r="C34" s="48"/>
      <c r="D34" s="48"/>
      <c r="E34" s="49"/>
      <c r="G34" s="161" t="s">
        <v>363</v>
      </c>
      <c r="H34" s="51">
        <f>[3]酒店主体!J34</f>
        <v>939636.01</v>
      </c>
      <c r="I34" s="55">
        <f>[3]酒店主体!K34</f>
        <v>780583.94</v>
      </c>
      <c r="J34" s="111">
        <f>[3]酒店主体!M34</f>
        <v>0.20376036688636001</v>
      </c>
      <c r="K34" s="55">
        <f>[3]酒店主体!N34</f>
        <v>962610.95</v>
      </c>
      <c r="L34" s="112">
        <f>[3]酒店主体!P34</f>
        <v>-2.3867316281826999E-2</v>
      </c>
      <c r="M34" s="51">
        <f>[3]酒店主体!S34</f>
        <v>939636.01</v>
      </c>
      <c r="N34" s="55">
        <f>[3]酒店主体!T34</f>
        <v>780583.94</v>
      </c>
      <c r="O34" s="111">
        <f>[3]酒店主体!V34</f>
        <v>0.20376036688636001</v>
      </c>
      <c r="P34" s="55">
        <f>[3]酒店主体!W34</f>
        <v>962610.95</v>
      </c>
      <c r="Q34" s="113">
        <f>[3]酒店主体!Y34</f>
        <v>-2.3867316281826999E-2</v>
      </c>
      <c r="R34" s="108">
        <f>[3]酒店主体!Z34</f>
        <v>5803093.7400000002</v>
      </c>
      <c r="S34" s="109">
        <f>[3]酒店主体!AA34</f>
        <v>0.16191984001967899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 spans="1:41" s="7" customFormat="1" ht="16.5" customHeight="1">
      <c r="A35" s="125"/>
      <c r="B35" s="125"/>
      <c r="C35" s="126"/>
      <c r="D35" s="126"/>
      <c r="E35" s="127"/>
      <c r="F35" s="128"/>
      <c r="G35" s="170" t="s">
        <v>364</v>
      </c>
      <c r="H35" s="171">
        <f>[3]酒店主体!J35</f>
        <v>0.33181394549054599</v>
      </c>
      <c r="I35" s="172">
        <f>[3]酒店主体!K35</f>
        <v>0.29004173673505401</v>
      </c>
      <c r="J35" s="171">
        <f>[3]酒店主体!M35</f>
        <v>0.14402137163331599</v>
      </c>
      <c r="K35" s="172">
        <f>[3]酒店主体!N35</f>
        <v>0.327225638479611</v>
      </c>
      <c r="L35" s="173">
        <f>[3]酒店主体!P35</f>
        <v>1.4021844474818799E-2</v>
      </c>
      <c r="M35" s="171">
        <f>[3]酒店主体!S35</f>
        <v>0.33181394549054599</v>
      </c>
      <c r="N35" s="172">
        <f>[3]酒店主体!T35</f>
        <v>0.29004173673505401</v>
      </c>
      <c r="O35" s="171">
        <f>[3]酒店主体!V35</f>
        <v>0.14402137163331599</v>
      </c>
      <c r="P35" s="172">
        <f>[3]酒店主体!W35</f>
        <v>0.327225638479611</v>
      </c>
      <c r="Q35" s="174">
        <f>[3]酒店主体!Y35</f>
        <v>1.4021844474818799E-2</v>
      </c>
      <c r="R35" s="167">
        <f>[3]酒店主体!Z35</f>
        <v>0.158230679629739</v>
      </c>
      <c r="S35" s="168">
        <f>[3]酒店主体!AA35</f>
        <v>2.0970266086639602</v>
      </c>
      <c r="T35" s="136"/>
      <c r="U35" s="136"/>
      <c r="V35" s="136"/>
      <c r="W35" s="136"/>
      <c r="X35" s="136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</row>
    <row r="36" spans="1:41" ht="16.5" customHeight="1">
      <c r="A36" s="47"/>
      <c r="B36" s="47"/>
      <c r="C36" s="48"/>
      <c r="D36" s="48"/>
      <c r="E36" s="49"/>
      <c r="G36" s="161" t="s">
        <v>365</v>
      </c>
      <c r="H36" s="51">
        <f>[3]酒店主体!J36</f>
        <v>46717.47</v>
      </c>
      <c r="I36" s="55">
        <f>[3]酒店主体!K36</f>
        <v>42167</v>
      </c>
      <c r="J36" s="111">
        <f>[3]酒店主体!M36</f>
        <v>0.107915431498565</v>
      </c>
      <c r="K36" s="55">
        <f>[3]酒店主体!N36</f>
        <v>35318.51</v>
      </c>
      <c r="L36" s="112">
        <f>[3]酒店主体!P36</f>
        <v>0.322747477172735</v>
      </c>
      <c r="M36" s="51">
        <f>[3]酒店主体!S36</f>
        <v>46717.47</v>
      </c>
      <c r="N36" s="55">
        <f>[3]酒店主体!T36</f>
        <v>42167</v>
      </c>
      <c r="O36" s="111">
        <f>[3]酒店主体!V36</f>
        <v>0.107915431498565</v>
      </c>
      <c r="P36" s="55">
        <f>[3]酒店主体!W36</f>
        <v>35318.51</v>
      </c>
      <c r="Q36" s="113">
        <f>[3]酒店主体!Y36</f>
        <v>0.322747477172735</v>
      </c>
      <c r="R36" s="108">
        <f>[3]酒店主体!Z36</f>
        <v>859338</v>
      </c>
      <c r="S36" s="109">
        <f>[3]酒店主体!AA36</f>
        <v>5.4364487547391101E-2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41" s="7" customFormat="1" ht="16.5" customHeight="1">
      <c r="A37" s="125"/>
      <c r="B37" s="125"/>
      <c r="C37" s="126"/>
      <c r="D37" s="126"/>
      <c r="E37" s="127"/>
      <c r="F37" s="128"/>
      <c r="G37" s="162" t="s">
        <v>366</v>
      </c>
      <c r="H37" s="163">
        <f>[3]酒店主体!J37</f>
        <v>1.6497354165935198E-2</v>
      </c>
      <c r="I37" s="164">
        <f>[3]酒店主体!K37</f>
        <v>1.56680009492727E-2</v>
      </c>
      <c r="J37" s="163">
        <f>[3]酒店主体!M37</f>
        <v>5.2932931223811597E-2</v>
      </c>
      <c r="K37" s="164">
        <f>[3]酒店主体!N37</f>
        <v>1.20060154986794E-2</v>
      </c>
      <c r="L37" s="165">
        <f>[3]酒店主体!P37</f>
        <v>0.374090693765117</v>
      </c>
      <c r="M37" s="163">
        <f>[3]酒店主体!S37</f>
        <v>1.6497354165935198E-2</v>
      </c>
      <c r="N37" s="164">
        <f>[3]酒店主体!T37</f>
        <v>1.56680009492727E-2</v>
      </c>
      <c r="O37" s="163">
        <f>[3]酒店主体!V37</f>
        <v>5.2932931223811597E-2</v>
      </c>
      <c r="P37" s="164">
        <f>[3]酒店主体!W37</f>
        <v>1.20060154986794E-2</v>
      </c>
      <c r="Q37" s="166">
        <f>[3]酒店主体!Y37</f>
        <v>0.374090693765117</v>
      </c>
      <c r="R37" s="167">
        <f>[3]酒店主体!Z37</f>
        <v>2.34312320055097E-2</v>
      </c>
      <c r="S37" s="168">
        <f>[3]酒店主体!AA37</f>
        <v>0.70407540508565303</v>
      </c>
      <c r="T37" s="136"/>
      <c r="U37" s="136"/>
      <c r="V37" s="136"/>
      <c r="W37" s="136"/>
      <c r="X37" s="136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</row>
    <row r="38" spans="1:41" ht="16.5" customHeight="1">
      <c r="A38" s="47"/>
      <c r="B38" s="47"/>
      <c r="C38" s="48"/>
      <c r="D38" s="48"/>
      <c r="E38" s="49"/>
      <c r="G38" s="161" t="s">
        <v>367</v>
      </c>
      <c r="H38" s="51">
        <f>[3]酒店主体!J38</f>
        <v>61100.13</v>
      </c>
      <c r="I38" s="55">
        <f>[3]酒店主体!K38</f>
        <v>41072.17</v>
      </c>
      <c r="J38" s="111">
        <f>[3]酒店主体!M38</f>
        <v>0.48762848420232002</v>
      </c>
      <c r="K38" s="55">
        <f>[3]酒店主体!N38</f>
        <v>80284.83</v>
      </c>
      <c r="L38" s="112">
        <f>[3]酒店主体!P38</f>
        <v>-0.23895797001749899</v>
      </c>
      <c r="M38" s="51">
        <f>[3]酒店主体!S38</f>
        <v>61100.13</v>
      </c>
      <c r="N38" s="55">
        <f>[3]酒店主体!T38</f>
        <v>41072.17</v>
      </c>
      <c r="O38" s="111">
        <f>[3]酒店主体!V38</f>
        <v>0.48762848420232002</v>
      </c>
      <c r="P38" s="55">
        <f>[3]酒店主体!W38</f>
        <v>80284.83</v>
      </c>
      <c r="Q38" s="113">
        <f>[3]酒店主体!Y38</f>
        <v>-0.23895797001749899</v>
      </c>
      <c r="R38" s="108">
        <f>[3]酒店主体!Z38</f>
        <v>688117.27</v>
      </c>
      <c r="S38" s="109">
        <f>[3]酒店主体!AA38</f>
        <v>8.8793193636892698E-2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s="7" customFormat="1" ht="16.5" customHeight="1">
      <c r="A39" s="125"/>
      <c r="B39" s="125"/>
      <c r="C39" s="126"/>
      <c r="D39" s="126"/>
      <c r="E39" s="127"/>
      <c r="F39" s="128"/>
      <c r="G39" s="175" t="s">
        <v>368</v>
      </c>
      <c r="H39" s="176">
        <f>[3]酒店主体!J39</f>
        <v>2.1576307197172299E-2</v>
      </c>
      <c r="I39" s="177">
        <f>[3]酒店主体!K39</f>
        <v>1.5261194738745701E-2</v>
      </c>
      <c r="J39" s="176">
        <f>[3]酒店主体!M39</f>
        <v>0.413801970719471</v>
      </c>
      <c r="K39" s="177">
        <f>[3]酒店主体!N39</f>
        <v>2.7291664152560301E-2</v>
      </c>
      <c r="L39" s="178">
        <f>[3]酒店主体!P39</f>
        <v>-0.20941767872560699</v>
      </c>
      <c r="M39" s="176">
        <f>[3]酒店主体!S39</f>
        <v>2.1576307197172299E-2</v>
      </c>
      <c r="N39" s="177">
        <f>[3]酒店主体!T39</f>
        <v>1.5261194738745701E-2</v>
      </c>
      <c r="O39" s="176">
        <f>[3]酒店主体!V39</f>
        <v>0.413801970719471</v>
      </c>
      <c r="P39" s="177">
        <f>[3]酒店主体!W39</f>
        <v>2.7291664152560301E-2</v>
      </c>
      <c r="Q39" s="179">
        <f>[3]酒店主体!Y39</f>
        <v>-0.20941767872560699</v>
      </c>
      <c r="R39" s="180">
        <f>[3]酒店主体!Z39</f>
        <v>1.8762623554838698E-2</v>
      </c>
      <c r="S39" s="181">
        <f>[3]酒店主体!AA39</f>
        <v>1.14996216462532</v>
      </c>
      <c r="T39" s="136"/>
      <c r="U39" s="136"/>
      <c r="V39" s="136"/>
      <c r="W39" s="136"/>
      <c r="X39" s="136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</row>
    <row r="40" spans="1:41" ht="16.5" customHeight="1">
      <c r="A40" s="47"/>
      <c r="B40" s="47"/>
      <c r="C40" s="48"/>
      <c r="D40" s="48"/>
      <c r="E40" s="49"/>
      <c r="G40" s="182"/>
      <c r="H40" s="84"/>
      <c r="I40" s="84"/>
      <c r="J40" s="183"/>
      <c r="K40" s="84"/>
      <c r="L40" s="183"/>
      <c r="M40" s="84"/>
      <c r="N40" s="84"/>
      <c r="O40" s="183"/>
      <c r="P40" s="84"/>
      <c r="Q40" s="183"/>
      <c r="R40" s="84"/>
      <c r="S40" s="86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spans="1:41" s="3" customFormat="1" ht="16.5" customHeight="1">
      <c r="A41" s="47"/>
      <c r="B41" s="47"/>
      <c r="C41" s="48"/>
      <c r="D41" s="48"/>
      <c r="E41" s="49"/>
      <c r="F41" s="184"/>
      <c r="G41" s="185" t="s">
        <v>369</v>
      </c>
      <c r="H41" s="186" t="s">
        <v>331</v>
      </c>
      <c r="I41" s="187" t="s">
        <v>249</v>
      </c>
      <c r="J41" s="188" t="s">
        <v>332</v>
      </c>
      <c r="K41" s="187" t="s">
        <v>270</v>
      </c>
      <c r="L41" s="188" t="s">
        <v>332</v>
      </c>
      <c r="M41" s="189" t="s">
        <v>331</v>
      </c>
      <c r="N41" s="190" t="s">
        <v>249</v>
      </c>
      <c r="O41" s="191" t="s">
        <v>332</v>
      </c>
      <c r="P41" s="190" t="s">
        <v>270</v>
      </c>
      <c r="Q41" s="191" t="s">
        <v>332</v>
      </c>
      <c r="R41" s="192" t="s">
        <v>245</v>
      </c>
      <c r="S41" s="193" t="s">
        <v>11</v>
      </c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</row>
    <row r="42" spans="1:41" ht="16.5" customHeight="1">
      <c r="A42" s="47"/>
      <c r="B42" s="47"/>
      <c r="C42" s="48"/>
      <c r="D42" s="48"/>
      <c r="E42" s="49"/>
      <c r="F42" s="184"/>
      <c r="G42" s="360" t="s">
        <v>370</v>
      </c>
      <c r="H42" s="194"/>
      <c r="I42" s="194"/>
      <c r="J42" s="195"/>
      <c r="K42" s="194"/>
      <c r="L42" s="196"/>
      <c r="M42" s="194"/>
      <c r="N42" s="194"/>
      <c r="O42" s="195"/>
      <c r="P42" s="194"/>
      <c r="Q42" s="195"/>
      <c r="R42" s="197"/>
      <c r="S42" s="198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 spans="1:41" s="5" customFormat="1" ht="16.5" customHeight="1">
      <c r="A43" s="47"/>
      <c r="B43" s="47"/>
      <c r="C43" s="199"/>
      <c r="D43" s="200"/>
      <c r="E43" s="49"/>
      <c r="F43" s="184"/>
      <c r="G43" s="361" t="s">
        <v>371</v>
      </c>
      <c r="H43" s="352">
        <f>[3]酒店主体!J43</f>
        <v>1138840.1399999999</v>
      </c>
      <c r="I43" s="353">
        <f>[3]酒店主体!K43</f>
        <v>1031858.49</v>
      </c>
      <c r="J43" s="362">
        <f>[3]酒店主体!M43</f>
        <v>0.103678606162363</v>
      </c>
      <c r="K43" s="353">
        <f>[3]酒店主体!N43</f>
        <v>988137.7</v>
      </c>
      <c r="L43" s="363">
        <f>[3]酒店主体!P43</f>
        <v>0.15251157809281099</v>
      </c>
      <c r="M43" s="352">
        <f>[3]酒店主体!S43</f>
        <v>1138840.1399999999</v>
      </c>
      <c r="N43" s="353">
        <f>[3]酒店主体!T43</f>
        <v>1031858.49</v>
      </c>
      <c r="O43" s="362">
        <f>[3]酒店主体!V43</f>
        <v>0.103678606162363</v>
      </c>
      <c r="P43" s="353">
        <f>[3]酒店主体!W43</f>
        <v>988137.7</v>
      </c>
      <c r="Q43" s="364">
        <f>[3]酒店主体!Y43</f>
        <v>0.15251157809281099</v>
      </c>
      <c r="R43" s="365">
        <f>[3]酒店主体!Z43</f>
        <v>19028198.100000001</v>
      </c>
      <c r="S43" s="366">
        <f>[3]酒店主体!AA43</f>
        <v>5.98501305281239E-2</v>
      </c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</row>
    <row r="44" spans="1:41" ht="16.5" customHeight="1">
      <c r="A44" s="47"/>
      <c r="B44" s="47"/>
      <c r="C44" s="199"/>
      <c r="D44" s="200"/>
      <c r="E44" s="49"/>
      <c r="F44" s="184"/>
      <c r="G44" s="201" t="s">
        <v>372</v>
      </c>
      <c r="H44" s="103">
        <f>[3]酒店主体!J44</f>
        <v>180387.79</v>
      </c>
      <c r="I44" s="104">
        <f>[3]酒店主体!K44</f>
        <v>270048</v>
      </c>
      <c r="J44" s="105">
        <f>[3]酒店主体!M44</f>
        <v>-0.33201582681597303</v>
      </c>
      <c r="K44" s="104">
        <f>[3]酒店主体!N44</f>
        <v>171199.92</v>
      </c>
      <c r="L44" s="106">
        <f>[3]酒店主体!P44</f>
        <v>5.36674900315375E-2</v>
      </c>
      <c r="M44" s="103">
        <f>[3]酒店主体!S44</f>
        <v>180387.79</v>
      </c>
      <c r="N44" s="104">
        <f>[3]酒店主体!T44</f>
        <v>270048</v>
      </c>
      <c r="O44" s="105">
        <f>[3]酒店主体!V44</f>
        <v>-0.33201582681597303</v>
      </c>
      <c r="P44" s="104">
        <f>[3]酒店主体!W44</f>
        <v>171199.92</v>
      </c>
      <c r="Q44" s="107">
        <f>[3]酒店主体!Y44</f>
        <v>5.36674900315375E-2</v>
      </c>
      <c r="R44" s="57">
        <f>[3]酒店主体!Z44</f>
        <v>3387840</v>
      </c>
      <c r="S44" s="58">
        <f>[3]酒店主体!AA44</f>
        <v>5.3245663903844297E-2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 spans="1:41" ht="16.5" customHeight="1">
      <c r="A45" s="47"/>
      <c r="B45" s="47"/>
      <c r="C45" s="199"/>
      <c r="D45" s="200"/>
      <c r="E45" s="49"/>
      <c r="F45" s="184"/>
      <c r="G45" s="202" t="s">
        <v>373</v>
      </c>
      <c r="H45" s="51">
        <f>[3]酒店主体!J45</f>
        <v>106427.81</v>
      </c>
      <c r="I45" s="55">
        <f>[3]酒店主体!K45</f>
        <v>128041</v>
      </c>
      <c r="J45" s="111">
        <f>[3]酒店主体!M45</f>
        <v>-0.168798978452214</v>
      </c>
      <c r="K45" s="55">
        <f>[3]酒店主体!N45</f>
        <v>130063.95</v>
      </c>
      <c r="L45" s="112">
        <f>[3]酒店主体!P45</f>
        <v>-0.18172706580109199</v>
      </c>
      <c r="M45" s="51">
        <f>[3]酒店主体!S45</f>
        <v>106427.81</v>
      </c>
      <c r="N45" s="55">
        <f>[3]酒店主体!T45</f>
        <v>128041</v>
      </c>
      <c r="O45" s="111">
        <f>[3]酒店主体!V45</f>
        <v>-0.168798978452214</v>
      </c>
      <c r="P45" s="55">
        <f>[3]酒店主体!W45</f>
        <v>130063.95</v>
      </c>
      <c r="Q45" s="113">
        <f>[3]酒店主体!Y45</f>
        <v>-0.18172706580109199</v>
      </c>
      <c r="R45" s="57">
        <f>[3]酒店主体!Z45</f>
        <v>1602012</v>
      </c>
      <c r="S45" s="58">
        <f>[3]酒店主体!AA45</f>
        <v>6.6433840695325597E-2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 spans="1:41" ht="33" customHeight="1">
      <c r="A46" s="47"/>
      <c r="B46" s="47"/>
      <c r="C46" s="199"/>
      <c r="D46" s="200"/>
      <c r="E46" s="49"/>
      <c r="F46" s="184"/>
      <c r="G46" s="203" t="s">
        <v>374</v>
      </c>
      <c r="H46" s="51">
        <f>[3]酒店主体!J46</f>
        <v>203838.36</v>
      </c>
      <c r="I46" s="55">
        <f>[3]酒店主体!K46</f>
        <v>139226.4</v>
      </c>
      <c r="J46" s="111">
        <f>[3]酒店主体!M46</f>
        <v>0.464078364448122</v>
      </c>
      <c r="K46" s="55">
        <f>[3]酒店主体!N46</f>
        <v>144280.81</v>
      </c>
      <c r="L46" s="112">
        <f>[3]酒店主体!P46</f>
        <v>0.41278912975329102</v>
      </c>
      <c r="M46" s="51">
        <f>[3]酒店主体!S46</f>
        <v>203838.36</v>
      </c>
      <c r="N46" s="55">
        <f>[3]酒店主体!T46</f>
        <v>139226.4</v>
      </c>
      <c r="O46" s="111">
        <f>[3]酒店主体!V46</f>
        <v>0.464078364448122</v>
      </c>
      <c r="P46" s="55">
        <f>[3]酒店主体!W46</f>
        <v>144280.81</v>
      </c>
      <c r="Q46" s="113">
        <f>[3]酒店主体!Y46</f>
        <v>0.41278912975329102</v>
      </c>
      <c r="R46" s="57">
        <f>[3]酒店主体!Z46</f>
        <v>3206139.98</v>
      </c>
      <c r="S46" s="58">
        <f>[3]酒店主体!AA46</f>
        <v>6.3577498571974395E-2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spans="1:41" s="5" customFormat="1" ht="16.5" customHeight="1">
      <c r="A47" s="47"/>
      <c r="B47" s="47"/>
      <c r="C47" s="199"/>
      <c r="D47" s="200"/>
      <c r="E47" s="49"/>
      <c r="F47" s="184"/>
      <c r="G47" s="367" t="s">
        <v>375</v>
      </c>
      <c r="H47" s="368">
        <f>[3]酒店主体!J47</f>
        <v>490653.96</v>
      </c>
      <c r="I47" s="369">
        <f>[3]酒店主体!K47</f>
        <v>537315.4</v>
      </c>
      <c r="J47" s="370">
        <f>[3]酒店主体!M47</f>
        <v>-8.6841806506941704E-2</v>
      </c>
      <c r="K47" s="369">
        <f>[3]酒店主体!N47</f>
        <v>445544.68</v>
      </c>
      <c r="L47" s="371">
        <f>[3]酒店主体!P47</f>
        <v>0.101245244360229</v>
      </c>
      <c r="M47" s="368">
        <f>[3]酒店主体!S47</f>
        <v>490653.96</v>
      </c>
      <c r="N47" s="369">
        <f>[3]酒店主体!T47</f>
        <v>537315.4</v>
      </c>
      <c r="O47" s="370">
        <f>[3]酒店主体!V47</f>
        <v>-8.6841806506941704E-2</v>
      </c>
      <c r="P47" s="369">
        <f>[3]酒店主体!W47</f>
        <v>445544.68</v>
      </c>
      <c r="Q47" s="372">
        <f>[3]酒店主体!Y47</f>
        <v>0.101245244360229</v>
      </c>
      <c r="R47" s="373">
        <f>[3]酒店主体!Z47</f>
        <v>8195991.9800000004</v>
      </c>
      <c r="S47" s="374">
        <f>[3]酒店主体!AA47</f>
        <v>5.98651098240826E-2</v>
      </c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</row>
    <row r="48" spans="1:41" s="5" customFormat="1" ht="16.5" customHeight="1">
      <c r="A48" s="47"/>
      <c r="B48" s="47"/>
      <c r="C48" s="204"/>
      <c r="D48" s="200"/>
      <c r="E48" s="49"/>
      <c r="F48" s="184"/>
      <c r="G48" s="375" t="s">
        <v>376</v>
      </c>
      <c r="H48" s="376">
        <f>[3]酒店主体!J48</f>
        <v>648186.18000000005</v>
      </c>
      <c r="I48" s="377">
        <f>[3]酒店主体!K48</f>
        <v>494543.09</v>
      </c>
      <c r="J48" s="378">
        <f>[3]酒店主体!M48</f>
        <v>0.31067685123251898</v>
      </c>
      <c r="K48" s="377">
        <f>[3]酒店主体!N48</f>
        <v>542593.02</v>
      </c>
      <c r="L48" s="379">
        <f>[3]酒店主体!P48</f>
        <v>0.19460840097058399</v>
      </c>
      <c r="M48" s="376">
        <f>[3]酒店主体!S48</f>
        <v>648186.18000000005</v>
      </c>
      <c r="N48" s="377">
        <f>[3]酒店主体!T48</f>
        <v>494543.09</v>
      </c>
      <c r="O48" s="378">
        <f>[3]酒店主体!V48</f>
        <v>0.31067685123251898</v>
      </c>
      <c r="P48" s="377">
        <f>[3]酒店主体!W48</f>
        <v>542593.02</v>
      </c>
      <c r="Q48" s="380">
        <f>[3]酒店主体!Y48</f>
        <v>0.19460840097058399</v>
      </c>
      <c r="R48" s="381">
        <f>[3]酒店主体!Z48</f>
        <v>10832206.119999999</v>
      </c>
      <c r="S48" s="382">
        <f>[3]酒店主体!AA48</f>
        <v>5.9838796715954698E-2</v>
      </c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</row>
    <row r="49" spans="1:41" s="8" customFormat="1" ht="16.5" customHeight="1">
      <c r="A49" s="205"/>
      <c r="B49" s="205"/>
      <c r="C49" s="206"/>
      <c r="D49" s="207"/>
      <c r="E49" s="208"/>
      <c r="F49" s="209"/>
      <c r="G49" s="383" t="s">
        <v>377</v>
      </c>
      <c r="H49" s="384">
        <f>[3]酒店主体!J49</f>
        <v>0.56916344729471902</v>
      </c>
      <c r="I49" s="385">
        <f>[3]酒店主体!K49</f>
        <v>0.47927413961579202</v>
      </c>
      <c r="J49" s="386">
        <f>[3]酒店主体!M49</f>
        <v>0.187553010373116</v>
      </c>
      <c r="K49" s="387">
        <f>[3]酒店主体!N49</f>
        <v>0.54910668826824405</v>
      </c>
      <c r="L49" s="388">
        <f>[3]酒店主体!P49</f>
        <v>3.6526160498479003E-2</v>
      </c>
      <c r="M49" s="386">
        <f>[3]酒店主体!S49</f>
        <v>0.56916344729471902</v>
      </c>
      <c r="N49" s="387">
        <f>[3]酒店主体!T49</f>
        <v>0.47927413961579202</v>
      </c>
      <c r="O49" s="386">
        <f>[3]酒店主体!V49</f>
        <v>0.187553010373116</v>
      </c>
      <c r="P49" s="387">
        <f>[3]酒店主体!W49</f>
        <v>0.54910668826824405</v>
      </c>
      <c r="Q49" s="389">
        <f>[3]酒店主体!Y49</f>
        <v>3.6526160498479003E-2</v>
      </c>
      <c r="R49" s="390">
        <f>[3]酒店主体!Z49</f>
        <v>0.56927125012430901</v>
      </c>
      <c r="S49" s="391">
        <f>[3]酒店主体!AA49</f>
        <v>0.99981063011777505</v>
      </c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</row>
    <row r="50" spans="1:41" ht="16.5" customHeight="1">
      <c r="A50" s="47"/>
      <c r="B50" s="47"/>
      <c r="C50" s="48"/>
      <c r="D50" s="48"/>
      <c r="E50" s="49"/>
      <c r="G50" s="211"/>
      <c r="H50" s="212"/>
      <c r="I50" s="212"/>
      <c r="J50" s="213"/>
      <c r="K50" s="212"/>
      <c r="L50" s="63"/>
      <c r="M50" s="212"/>
      <c r="N50" s="212"/>
      <c r="O50" s="213"/>
      <c r="P50" s="212"/>
      <c r="Q50" s="65"/>
      <c r="R50" s="214"/>
      <c r="S50" s="215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 spans="1:41" ht="16.5" customHeight="1">
      <c r="A51" s="47"/>
      <c r="B51" s="47"/>
      <c r="C51" s="48"/>
      <c r="D51" s="48"/>
      <c r="E51" s="49"/>
      <c r="F51" s="184"/>
      <c r="G51" s="392" t="s">
        <v>378</v>
      </c>
      <c r="H51" s="216"/>
      <c r="I51" s="216"/>
      <c r="J51" s="217"/>
      <c r="K51" s="216"/>
      <c r="L51" s="218"/>
      <c r="M51" s="216"/>
      <c r="N51" s="216"/>
      <c r="O51" s="217"/>
      <c r="P51" s="216"/>
      <c r="Q51" s="217"/>
      <c r="R51" s="219"/>
      <c r="S51" s="220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spans="1:41" ht="16.5" customHeight="1">
      <c r="A52" s="47"/>
      <c r="B52" s="47"/>
      <c r="C52" s="204"/>
      <c r="D52" s="221"/>
      <c r="E52" s="49"/>
      <c r="F52" s="184"/>
      <c r="G52" s="222" t="s">
        <v>379</v>
      </c>
      <c r="H52" s="51">
        <f>[3]酒店主体!J52</f>
        <v>1258135.92</v>
      </c>
      <c r="I52" s="55">
        <f>[3]酒店主体!K52</f>
        <v>1408050</v>
      </c>
      <c r="J52" s="111">
        <f>[3]酒店主体!M52</f>
        <v>-0.10646928731223999</v>
      </c>
      <c r="K52" s="55">
        <f>[3]酒店主体!N52</f>
        <v>570086.41</v>
      </c>
      <c r="L52" s="112">
        <f>[3]酒店主体!P52</f>
        <v>1.2069214384535101</v>
      </c>
      <c r="M52" s="51">
        <f>[3]酒店主体!S52</f>
        <v>1258135.92</v>
      </c>
      <c r="N52" s="55">
        <f>[3]酒店主体!T52</f>
        <v>1408050</v>
      </c>
      <c r="O52" s="111">
        <f>[3]酒店主体!V52</f>
        <v>-0.10646928731223999</v>
      </c>
      <c r="P52" s="55">
        <f>[3]酒店主体!W52</f>
        <v>570086.41</v>
      </c>
      <c r="Q52" s="113">
        <f>[3]酒店主体!Y52</f>
        <v>1.2069214384535101</v>
      </c>
      <c r="R52" s="57">
        <f>[3]酒店主体!Z52</f>
        <v>12406980.189999999</v>
      </c>
      <c r="S52" s="58">
        <f>[3]酒店主体!AA52</f>
        <v>0.101405491161665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spans="1:41" ht="16.5" customHeight="1">
      <c r="A53" s="47" t="s">
        <v>380</v>
      </c>
      <c r="B53" s="47"/>
      <c r="C53" s="204"/>
      <c r="D53" s="221"/>
      <c r="E53" s="49"/>
      <c r="F53" s="184"/>
      <c r="G53" s="223" t="s">
        <v>381</v>
      </c>
      <c r="H53" s="51">
        <f>[3]酒店主体!J53</f>
        <v>34448.120000000003</v>
      </c>
      <c r="I53" s="55">
        <f>[3]酒店主体!K53</f>
        <v>0</v>
      </c>
      <c r="J53" s="111" t="str">
        <f>[3]酒店主体!M53</f>
        <v/>
      </c>
      <c r="K53" s="55">
        <f>[3]酒店主体!N53</f>
        <v>102541.49</v>
      </c>
      <c r="L53" s="112">
        <f>[3]酒店主体!P53</f>
        <v>-0.66405676375484701</v>
      </c>
      <c r="M53" s="51">
        <f>[3]酒店主体!S53</f>
        <v>34448.120000000003</v>
      </c>
      <c r="N53" s="55">
        <f>[3]酒店主体!T53</f>
        <v>0</v>
      </c>
      <c r="O53" s="111" t="str">
        <f>[3]酒店主体!V53</f>
        <v/>
      </c>
      <c r="P53" s="55">
        <f>[3]酒店主体!W53</f>
        <v>102541.49</v>
      </c>
      <c r="Q53" s="113">
        <f>[3]酒店主体!Y53</f>
        <v>-0.66405676375484701</v>
      </c>
      <c r="R53" s="57">
        <f>[3]酒店主体!Z53</f>
        <v>0</v>
      </c>
      <c r="S53" s="58" t="str">
        <f>[3]酒店主体!AA53</f>
        <v/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spans="1:41" ht="16.5" customHeight="1">
      <c r="A54" s="47"/>
      <c r="B54" s="47"/>
      <c r="C54" s="204"/>
      <c r="D54" s="221"/>
      <c r="E54" s="49"/>
      <c r="F54" s="184"/>
      <c r="G54" s="223" t="s">
        <v>382</v>
      </c>
      <c r="H54" s="51">
        <f>[3]酒店主体!J54</f>
        <v>3062.53</v>
      </c>
      <c r="I54" s="55">
        <f>[3]酒店主体!K54</f>
        <v>0</v>
      </c>
      <c r="J54" s="111" t="str">
        <f>[3]酒店主体!M54</f>
        <v/>
      </c>
      <c r="K54" s="55">
        <f>[3]酒店主体!N54</f>
        <v>4389.3599999999997</v>
      </c>
      <c r="L54" s="112">
        <f>[3]酒店主体!P54</f>
        <v>-0.30228324858293698</v>
      </c>
      <c r="M54" s="51">
        <f>[3]酒店主体!S54</f>
        <v>3062.53</v>
      </c>
      <c r="N54" s="55">
        <f>[3]酒店主体!T54</f>
        <v>0</v>
      </c>
      <c r="O54" s="111" t="str">
        <f>[3]酒店主体!V54</f>
        <v/>
      </c>
      <c r="P54" s="55">
        <f>[3]酒店主体!W54</f>
        <v>4389.3599999999997</v>
      </c>
      <c r="Q54" s="113">
        <f>[3]酒店主体!Y54</f>
        <v>-0.30228324858293698</v>
      </c>
      <c r="R54" s="57">
        <f>[3]酒店主体!Z54</f>
        <v>619469.03</v>
      </c>
      <c r="S54" s="58">
        <f>[3]酒店主体!AA54</f>
        <v>4.9437984010274102E-3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spans="1:41" ht="16.5" customHeight="1">
      <c r="A55" s="47"/>
      <c r="B55" s="47"/>
      <c r="C55" s="204"/>
      <c r="D55" s="221"/>
      <c r="E55" s="49"/>
      <c r="F55" s="184"/>
      <c r="G55" s="223" t="s">
        <v>383</v>
      </c>
      <c r="H55" s="51">
        <f>[3]酒店主体!J55</f>
        <v>257360.45</v>
      </c>
      <c r="I55" s="55">
        <f>[3]酒店主体!K55</f>
        <v>188679.25</v>
      </c>
      <c r="J55" s="111">
        <f>[3]酒店主体!M55</f>
        <v>0.36401035089974099</v>
      </c>
      <c r="K55" s="55">
        <f>[3]酒店主体!N55</f>
        <v>1159875.47</v>
      </c>
      <c r="L55" s="112">
        <f>[3]酒店主体!P55</f>
        <v>-0.77811372284647096</v>
      </c>
      <c r="M55" s="51">
        <f>[3]酒店主体!S55</f>
        <v>257360.45</v>
      </c>
      <c r="N55" s="55">
        <f>[3]酒店主体!T55</f>
        <v>188679.25</v>
      </c>
      <c r="O55" s="111">
        <f>[3]酒店主体!V55</f>
        <v>0.36401035089974099</v>
      </c>
      <c r="P55" s="55">
        <f>[3]酒店主体!W55</f>
        <v>1159875.47</v>
      </c>
      <c r="Q55" s="113">
        <f>[3]酒店主体!Y55</f>
        <v>-0.77811372284647096</v>
      </c>
      <c r="R55" s="57">
        <f>[3]酒店主体!Z55</f>
        <v>3867924.53</v>
      </c>
      <c r="S55" s="58">
        <f>[3]酒店主体!AA55</f>
        <v>6.6537091922008101E-2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spans="1:41" s="5" customFormat="1" ht="16.5" customHeight="1">
      <c r="A56" s="47"/>
      <c r="B56" s="47"/>
      <c r="C56" s="204"/>
      <c r="D56" s="200"/>
      <c r="E56" s="49"/>
      <c r="F56" s="184"/>
      <c r="G56" s="393" t="s">
        <v>384</v>
      </c>
      <c r="H56" s="394">
        <f>[3]酒店主体!J56</f>
        <v>1553007.02</v>
      </c>
      <c r="I56" s="395">
        <f>[3]酒店主体!K56</f>
        <v>1596729.25</v>
      </c>
      <c r="J56" s="396">
        <f>[3]酒店主体!M56</f>
        <v>-2.7382369302748101E-2</v>
      </c>
      <c r="K56" s="395">
        <f>[3]酒店主体!N56</f>
        <v>1836892.73</v>
      </c>
      <c r="L56" s="397">
        <f>[3]酒店主体!P56</f>
        <v>-0.154546700176662</v>
      </c>
      <c r="M56" s="394">
        <f>[3]酒店主体!S56</f>
        <v>1553007.02</v>
      </c>
      <c r="N56" s="395">
        <f>[3]酒店主体!T56</f>
        <v>1596729.25</v>
      </c>
      <c r="O56" s="396">
        <f>[3]酒店主体!V56</f>
        <v>-2.7382369302748101E-2</v>
      </c>
      <c r="P56" s="395">
        <f>[3]酒店主体!W56</f>
        <v>1836892.73</v>
      </c>
      <c r="Q56" s="398">
        <f>[3]酒店主体!Y56</f>
        <v>-0.154546700176662</v>
      </c>
      <c r="R56" s="365">
        <f>[3]酒店主体!Z56</f>
        <v>16894373.75</v>
      </c>
      <c r="S56" s="366">
        <f>[3]酒店主体!AA56</f>
        <v>9.1924509483519601E-2</v>
      </c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</row>
    <row r="57" spans="1:41" ht="16.5" customHeight="1">
      <c r="A57" s="47"/>
      <c r="B57" s="47"/>
      <c r="C57" s="204"/>
      <c r="D57" s="221"/>
      <c r="E57" s="49"/>
      <c r="F57" s="184"/>
      <c r="G57" s="222" t="s">
        <v>385</v>
      </c>
      <c r="H57" s="51">
        <f>[3]酒店主体!J57</f>
        <v>695964.34</v>
      </c>
      <c r="I57" s="55">
        <f>[3]酒店主体!K57</f>
        <v>647703</v>
      </c>
      <c r="J57" s="111">
        <f>[3]酒店主体!M57</f>
        <v>7.4511527660054006E-2</v>
      </c>
      <c r="K57" s="55">
        <f>[3]酒店主体!N57</f>
        <v>810980.13</v>
      </c>
      <c r="L57" s="112">
        <f>[3]酒店主体!P57</f>
        <v>-0.14182319115512701</v>
      </c>
      <c r="M57" s="51">
        <f>[3]酒店主体!S57</f>
        <v>695964.34</v>
      </c>
      <c r="N57" s="55">
        <f>[3]酒店主体!T57</f>
        <v>647703</v>
      </c>
      <c r="O57" s="111">
        <f>[3]酒店主体!V57</f>
        <v>7.4511527660054006E-2</v>
      </c>
      <c r="P57" s="55">
        <f>[3]酒店主体!W57</f>
        <v>810980.13</v>
      </c>
      <c r="Q57" s="113">
        <f>[3]酒店主体!Y57</f>
        <v>-0.14182319115512701</v>
      </c>
      <c r="R57" s="57">
        <f>[3]酒店主体!Z57</f>
        <v>5707210.8799999999</v>
      </c>
      <c r="S57" s="58">
        <f>[3]酒店主体!AA57</f>
        <v>0.121944738793321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spans="1:41" ht="16.5" customHeight="1">
      <c r="A58" s="47"/>
      <c r="B58" s="47"/>
      <c r="C58" s="204"/>
      <c r="D58" s="221"/>
      <c r="E58" s="49"/>
      <c r="F58" s="184"/>
      <c r="G58" s="222" t="s">
        <v>386</v>
      </c>
      <c r="H58" s="51">
        <f>[3]酒店主体!J58</f>
        <v>18352.919999999998</v>
      </c>
      <c r="I58" s="55">
        <f>[3]酒店主体!K58</f>
        <v>0</v>
      </c>
      <c r="J58" s="111" t="str">
        <f>[3]酒店主体!M58</f>
        <v/>
      </c>
      <c r="K58" s="55">
        <f>[3]酒店主体!N58</f>
        <v>57150.31</v>
      </c>
      <c r="L58" s="112">
        <f>[3]酒店主体!P58</f>
        <v>-0.67886578393013097</v>
      </c>
      <c r="M58" s="51">
        <f>[3]酒店主体!S58</f>
        <v>18352.919999999998</v>
      </c>
      <c r="N58" s="55">
        <f>[3]酒店主体!T58</f>
        <v>0</v>
      </c>
      <c r="O58" s="111" t="str">
        <f>[3]酒店主体!V58</f>
        <v/>
      </c>
      <c r="P58" s="55">
        <f>[3]酒店主体!W58</f>
        <v>57150.31</v>
      </c>
      <c r="Q58" s="113">
        <f>[3]酒店主体!Y58</f>
        <v>-0.67886578393013097</v>
      </c>
      <c r="R58" s="57">
        <f>[3]酒店主体!Z58</f>
        <v>0</v>
      </c>
      <c r="S58" s="58" t="str">
        <f>[3]酒店主体!AA58</f>
        <v/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1:41" ht="16.5" customHeight="1">
      <c r="A59" s="47"/>
      <c r="B59" s="47"/>
      <c r="C59" s="224"/>
      <c r="D59" s="221"/>
      <c r="E59" s="49"/>
      <c r="F59" s="184"/>
      <c r="G59" s="222" t="s">
        <v>387</v>
      </c>
      <c r="H59" s="51">
        <f>[3]酒店主体!J59</f>
        <v>1642.36</v>
      </c>
      <c r="I59" s="55">
        <f>[3]酒店主体!K59</f>
        <v>0</v>
      </c>
      <c r="J59" s="111" t="str">
        <f>[3]酒店主体!M59</f>
        <v/>
      </c>
      <c r="K59" s="55">
        <f>[3]酒店主体!N59</f>
        <v>2713.3</v>
      </c>
      <c r="L59" s="112">
        <f>[3]酒店主体!P59</f>
        <v>-0.39470018059189899</v>
      </c>
      <c r="M59" s="51">
        <f>[3]酒店主体!S59</f>
        <v>1642.36</v>
      </c>
      <c r="N59" s="55">
        <f>[3]酒店主体!T59</f>
        <v>0</v>
      </c>
      <c r="O59" s="111" t="str">
        <f>[3]酒店主体!V59</f>
        <v/>
      </c>
      <c r="P59" s="55">
        <f>[3]酒店主体!W59</f>
        <v>2713.3</v>
      </c>
      <c r="Q59" s="113">
        <f>[3]酒店主体!Y59</f>
        <v>-0.39470018059189899</v>
      </c>
      <c r="R59" s="57">
        <f>[3]酒店主体!Z59</f>
        <v>400617.03</v>
      </c>
      <c r="S59" s="58">
        <f>[3]酒店主体!AA59</f>
        <v>4.0995760964030901E-3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spans="1:41" s="5" customFormat="1" ht="16.5" customHeight="1">
      <c r="A60" s="47"/>
      <c r="B60" s="47"/>
      <c r="C60" s="204"/>
      <c r="D60" s="200"/>
      <c r="E60" s="49"/>
      <c r="F60" s="184"/>
      <c r="G60" s="225" t="s">
        <v>388</v>
      </c>
      <c r="H60" s="226">
        <f>[3]酒店主体!J60</f>
        <v>715959.62</v>
      </c>
      <c r="I60" s="227">
        <f>[3]酒店主体!K60</f>
        <v>647703</v>
      </c>
      <c r="J60" s="228">
        <f>[3]酒店主体!M60</f>
        <v>0.105382590477426</v>
      </c>
      <c r="K60" s="227">
        <f>[3]酒店主体!N60</f>
        <v>870843.74</v>
      </c>
      <c r="L60" s="229">
        <f>[3]酒店主体!P60</f>
        <v>-0.17785523726679101</v>
      </c>
      <c r="M60" s="230">
        <f>[3]酒店主体!S60</f>
        <v>715959.62</v>
      </c>
      <c r="N60" s="227">
        <f>[3]酒店主体!T60</f>
        <v>647703</v>
      </c>
      <c r="O60" s="228">
        <f>[3]酒店主体!V60</f>
        <v>0.105382590477426</v>
      </c>
      <c r="P60" s="227">
        <f>[3]酒店主体!W60</f>
        <v>870843.74</v>
      </c>
      <c r="Q60" s="231">
        <f>[3]酒店主体!Y60</f>
        <v>-0.17785523726679101</v>
      </c>
      <c r="R60" s="232">
        <f>[3]酒店主体!Z60</f>
        <v>6107827.9100000001</v>
      </c>
      <c r="S60" s="233">
        <f>[3]酒店主体!AA60</f>
        <v>0.117220005302998</v>
      </c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</row>
    <row r="61" spans="1:41" ht="16.5" customHeight="1">
      <c r="A61" s="47"/>
      <c r="B61" s="47"/>
      <c r="C61" s="204"/>
      <c r="D61" s="221"/>
      <c r="E61" s="49"/>
      <c r="F61" s="184"/>
      <c r="G61" s="234" t="s">
        <v>389</v>
      </c>
      <c r="H61" s="51">
        <f>[3]酒店主体!J61</f>
        <v>208742.29</v>
      </c>
      <c r="I61" s="55">
        <f>[3]酒店主体!K61</f>
        <v>198600</v>
      </c>
      <c r="J61" s="111">
        <f>[3]酒店主体!M61</f>
        <v>5.10689325276939E-2</v>
      </c>
      <c r="K61" s="55">
        <f>[3]酒店主体!N61</f>
        <v>261427.24</v>
      </c>
      <c r="L61" s="112">
        <f>[3]酒店主体!P61</f>
        <v>-0.20152815750952299</v>
      </c>
      <c r="M61" s="51">
        <f>[3]酒店主体!S61</f>
        <v>208742.29</v>
      </c>
      <c r="N61" s="55">
        <f>[3]酒店主体!T61</f>
        <v>198600</v>
      </c>
      <c r="O61" s="111">
        <f>[3]酒店主体!V61</f>
        <v>5.10689325276939E-2</v>
      </c>
      <c r="P61" s="55">
        <f>[3]酒店主体!W61</f>
        <v>261427.24</v>
      </c>
      <c r="Q61" s="113">
        <f>[3]酒店主体!Y61</f>
        <v>-0.20152815750952299</v>
      </c>
      <c r="R61" s="57">
        <f>[3]酒店主体!Z61</f>
        <v>2612400</v>
      </c>
      <c r="S61" s="58">
        <f>[3]酒店主体!AA61</f>
        <v>7.9904413566069504E-2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spans="1:41" ht="16.5" customHeight="1">
      <c r="A62" s="47"/>
      <c r="B62" s="47"/>
      <c r="C62" s="204"/>
      <c r="D62" s="221"/>
      <c r="E62" s="49"/>
      <c r="F62" s="184"/>
      <c r="G62" s="222" t="s">
        <v>390</v>
      </c>
      <c r="H62" s="51">
        <f>[3]酒店主体!J62</f>
        <v>101418.02</v>
      </c>
      <c r="I62" s="55">
        <f>[3]酒店主体!K62</f>
        <v>99357</v>
      </c>
      <c r="J62" s="111">
        <f>[3]酒店主体!M62</f>
        <v>2.0743581227292002E-2</v>
      </c>
      <c r="K62" s="55">
        <f>[3]酒店主体!N62</f>
        <v>149684.34</v>
      </c>
      <c r="L62" s="112">
        <f>[3]酒店主体!P62</f>
        <v>-0.32245403894622499</v>
      </c>
      <c r="M62" s="51">
        <f>[3]酒店主体!S62</f>
        <v>101418.02</v>
      </c>
      <c r="N62" s="55">
        <f>[3]酒店主体!T62</f>
        <v>99357</v>
      </c>
      <c r="O62" s="111">
        <f>[3]酒店主体!V62</f>
        <v>2.0743581227292002E-2</v>
      </c>
      <c r="P62" s="55">
        <f>[3]酒店主体!W62</f>
        <v>149684.34</v>
      </c>
      <c r="Q62" s="113">
        <f>[3]酒店主体!Y62</f>
        <v>-0.32245403894622499</v>
      </c>
      <c r="R62" s="57">
        <f>[3]酒店主体!Z62</f>
        <v>1279644</v>
      </c>
      <c r="S62" s="58">
        <f>[3]酒店主体!AA62</f>
        <v>7.9254870885965195E-2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spans="1:41" ht="16.5" customHeight="1">
      <c r="A63" s="47"/>
      <c r="B63" s="47"/>
      <c r="C63" s="204"/>
      <c r="D63" s="221"/>
      <c r="E63" s="49"/>
      <c r="F63" s="184"/>
      <c r="G63" s="222" t="s">
        <v>391</v>
      </c>
      <c r="H63" s="51">
        <f>[3]酒店主体!J63</f>
        <v>43645.66</v>
      </c>
      <c r="I63" s="55">
        <f>[3]酒店主体!K63</f>
        <v>26335.69</v>
      </c>
      <c r="J63" s="111">
        <f>[3]酒店主体!M63</f>
        <v>0.65728181034937705</v>
      </c>
      <c r="K63" s="55">
        <f>[3]酒店主体!N63</f>
        <v>77919.38</v>
      </c>
      <c r="L63" s="112">
        <f>[3]酒店主体!P63</f>
        <v>-0.43986130279784103</v>
      </c>
      <c r="M63" s="51">
        <f>[3]酒店主体!S63</f>
        <v>43645.66</v>
      </c>
      <c r="N63" s="55">
        <f>[3]酒店主体!T63</f>
        <v>26335.69</v>
      </c>
      <c r="O63" s="111">
        <f>[3]酒店主体!V63</f>
        <v>0.65728181034937705</v>
      </c>
      <c r="P63" s="55">
        <f>[3]酒店主体!W63</f>
        <v>77919.38</v>
      </c>
      <c r="Q63" s="113">
        <f>[3]酒店主体!Y63</f>
        <v>-0.43986130279784103</v>
      </c>
      <c r="R63" s="57">
        <f>[3]酒店主体!Z63</f>
        <v>598690.43999999994</v>
      </c>
      <c r="S63" s="58">
        <f>[3]酒店主体!AA63</f>
        <v>7.2901882315007396E-2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spans="1:41" s="5" customFormat="1" ht="16.5" customHeight="1">
      <c r="A64" s="47"/>
      <c r="B64" s="47"/>
      <c r="C64" s="204"/>
      <c r="D64" s="200"/>
      <c r="E64" s="49"/>
      <c r="F64" s="184"/>
      <c r="G64" s="399" t="s">
        <v>392</v>
      </c>
      <c r="H64" s="368">
        <f>[3]酒店主体!J64</f>
        <v>1069765.5900000001</v>
      </c>
      <c r="I64" s="369">
        <f>[3]酒店主体!K64</f>
        <v>971995.69</v>
      </c>
      <c r="J64" s="370">
        <f>[3]酒店主体!M64</f>
        <v>0.100586762889864</v>
      </c>
      <c r="K64" s="369">
        <f>[3]酒店主体!N64</f>
        <v>1359874.7</v>
      </c>
      <c r="L64" s="371">
        <f>[3]酒店主体!P64</f>
        <v>-0.213335177130658</v>
      </c>
      <c r="M64" s="368">
        <f>[3]酒店主体!S64</f>
        <v>1069765.5900000001</v>
      </c>
      <c r="N64" s="369">
        <f>[3]酒店主体!T64</f>
        <v>971995.69</v>
      </c>
      <c r="O64" s="370">
        <f>[3]酒店主体!V64</f>
        <v>0.100586762889864</v>
      </c>
      <c r="P64" s="369">
        <f>[3]酒店主体!W64</f>
        <v>1359874.7</v>
      </c>
      <c r="Q64" s="372">
        <f>[3]酒店主体!Y64</f>
        <v>-0.213335177130658</v>
      </c>
      <c r="R64" s="373">
        <f>[3]酒店主体!Z64</f>
        <v>10598562.35</v>
      </c>
      <c r="S64" s="374">
        <f>[3]酒店主体!AA64</f>
        <v>0.100934971619052</v>
      </c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</row>
    <row r="65" spans="1:41" s="5" customFormat="1" ht="16.5" customHeight="1">
      <c r="A65" s="47"/>
      <c r="B65" s="47"/>
      <c r="C65" s="204"/>
      <c r="D65" s="200"/>
      <c r="E65" s="49"/>
      <c r="F65" s="184"/>
      <c r="G65" s="400" t="s">
        <v>393</v>
      </c>
      <c r="H65" s="401">
        <f>[3]酒店主体!J65</f>
        <v>483241.43</v>
      </c>
      <c r="I65" s="402">
        <f>[3]酒店主体!K65</f>
        <v>624733.56000000006</v>
      </c>
      <c r="J65" s="403">
        <f>[3]酒店主体!M65</f>
        <v>-0.22648395901766499</v>
      </c>
      <c r="K65" s="402">
        <f>[3]酒店主体!N65</f>
        <v>477018.03</v>
      </c>
      <c r="L65" s="404">
        <f>[3]酒店主体!P65</f>
        <v>1.3046467027671701E-2</v>
      </c>
      <c r="M65" s="401">
        <f>[3]酒店主体!S65</f>
        <v>483241.43</v>
      </c>
      <c r="N65" s="402">
        <f>[3]酒店主体!T65</f>
        <v>624733.56000000006</v>
      </c>
      <c r="O65" s="403">
        <f>[3]酒店主体!V65</f>
        <v>-0.22648395901766499</v>
      </c>
      <c r="P65" s="402">
        <f>[3]酒店主体!W65</f>
        <v>477018.03</v>
      </c>
      <c r="Q65" s="405">
        <f>[3]酒店主体!Y65</f>
        <v>1.3046467027671701E-2</v>
      </c>
      <c r="R65" s="381">
        <f>[3]酒店主体!Z65</f>
        <v>6295811.4000000004</v>
      </c>
      <c r="S65" s="382">
        <f>[3]酒店主体!AA65</f>
        <v>7.6756020677493597E-2</v>
      </c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</row>
    <row r="66" spans="1:41" s="9" customFormat="1" ht="16.5" customHeight="1">
      <c r="A66" s="125"/>
      <c r="B66" s="125"/>
      <c r="C66" s="235"/>
      <c r="D66" s="126"/>
      <c r="E66" s="127"/>
      <c r="F66" s="236"/>
      <c r="G66" s="406" t="s">
        <v>394</v>
      </c>
      <c r="H66" s="384">
        <f>[3]酒店主体!J66</f>
        <v>0.31116500040032002</v>
      </c>
      <c r="I66" s="385">
        <f>[3]酒店主体!K66</f>
        <v>0.391258292537699</v>
      </c>
      <c r="J66" s="386">
        <f>[3]酒店主体!M66</f>
        <v>-0.204706951047335</v>
      </c>
      <c r="K66" s="385">
        <f>[3]酒店主体!N66</f>
        <v>0.25968747233269301</v>
      </c>
      <c r="L66" s="388">
        <f>[3]酒店主体!P66</f>
        <v>0.19822876939430401</v>
      </c>
      <c r="M66" s="384">
        <f>[3]酒店主体!S66</f>
        <v>0.31116500040032002</v>
      </c>
      <c r="N66" s="385">
        <f>[3]酒店主体!T66</f>
        <v>0.391258292537699</v>
      </c>
      <c r="O66" s="386">
        <f>[3]酒店主体!V66</f>
        <v>-0.204706951047335</v>
      </c>
      <c r="P66" s="385">
        <f>[3]酒店主体!W66</f>
        <v>0.25968747233269301</v>
      </c>
      <c r="Q66" s="389">
        <f>[3]酒店主体!Y66</f>
        <v>0.19822876939430401</v>
      </c>
      <c r="R66" s="407">
        <f>[3]酒店主体!Z66</f>
        <v>0.372657281836209</v>
      </c>
      <c r="S66" s="408">
        <f>[3]酒店主体!AA66</f>
        <v>0.83498972264034299</v>
      </c>
      <c r="T66" s="136"/>
      <c r="U66" s="136"/>
      <c r="V66" s="136"/>
      <c r="W66" s="136"/>
      <c r="X66" s="136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</row>
    <row r="67" spans="1:41" ht="16.5" customHeight="1">
      <c r="A67" s="47"/>
      <c r="B67" s="47"/>
      <c r="C67" s="48"/>
      <c r="D67" s="48"/>
      <c r="E67" s="49"/>
      <c r="F67" s="184"/>
      <c r="G67" s="238"/>
      <c r="H67" s="239"/>
      <c r="I67" s="212"/>
      <c r="J67" s="65"/>
      <c r="K67" s="212"/>
      <c r="L67" s="63"/>
      <c r="M67" s="239"/>
      <c r="N67" s="212"/>
      <c r="O67" s="65"/>
      <c r="P67" s="212"/>
      <c r="Q67" s="65"/>
      <c r="R67" s="240"/>
      <c r="S67" s="241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spans="1:41" ht="16.5" customHeight="1">
      <c r="A68" s="47"/>
      <c r="B68" s="47"/>
      <c r="C68" s="48"/>
      <c r="D68" s="48"/>
      <c r="E68" s="49"/>
      <c r="F68" s="184"/>
      <c r="G68" s="392" t="s">
        <v>395</v>
      </c>
      <c r="H68" s="216"/>
      <c r="I68" s="216"/>
      <c r="J68" s="217"/>
      <c r="K68" s="216"/>
      <c r="L68" s="218"/>
      <c r="M68" s="216"/>
      <c r="N68" s="216"/>
      <c r="O68" s="217"/>
      <c r="P68" s="216"/>
      <c r="Q68" s="217"/>
      <c r="R68" s="242"/>
      <c r="S68" s="24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spans="1:41" s="10" customFormat="1" ht="16.5" customHeight="1">
      <c r="A69" s="47"/>
      <c r="B69" s="47"/>
      <c r="C69" s="244"/>
      <c r="D69" s="14"/>
      <c r="E69" s="49"/>
      <c r="F69" s="184"/>
      <c r="G69" s="245" t="s">
        <v>396</v>
      </c>
      <c r="H69" s="51">
        <f>[3]酒店主体!J69</f>
        <v>0</v>
      </c>
      <c r="I69" s="55">
        <f>[3]酒店主体!K69</f>
        <v>0</v>
      </c>
      <c r="J69" s="246" t="str">
        <f>[3]酒店主体!M69</f>
        <v/>
      </c>
      <c r="K69" s="55">
        <f>[3]酒店主体!N69</f>
        <v>0</v>
      </c>
      <c r="L69" s="112" t="str">
        <f>[3]酒店主体!P69</f>
        <v/>
      </c>
      <c r="M69" s="51">
        <f>[3]酒店主体!S69</f>
        <v>0</v>
      </c>
      <c r="N69" s="55">
        <f>[3]酒店主体!T69</f>
        <v>0</v>
      </c>
      <c r="O69" s="111" t="str">
        <f>[3]酒店主体!V69</f>
        <v/>
      </c>
      <c r="P69" s="55">
        <f>[3]酒店主体!W69</f>
        <v>0</v>
      </c>
      <c r="Q69" s="113" t="str">
        <f>[3]酒店主体!Y69</f>
        <v/>
      </c>
      <c r="R69" s="57">
        <f>[3]酒店主体!Z69</f>
        <v>0</v>
      </c>
      <c r="S69" s="58" t="str">
        <f>[3]酒店主体!AA69</f>
        <v/>
      </c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  <c r="AM69" s="247"/>
      <c r="AN69" s="247"/>
      <c r="AO69" s="247"/>
    </row>
    <row r="70" spans="1:41" s="10" customFormat="1" ht="16.5" customHeight="1">
      <c r="A70" s="47"/>
      <c r="B70" s="47"/>
      <c r="C70" s="244"/>
      <c r="D70" s="14"/>
      <c r="E70" s="49"/>
      <c r="F70" s="184"/>
      <c r="G70" s="245" t="s">
        <v>397</v>
      </c>
      <c r="H70" s="51">
        <f>[3]酒店主体!J70</f>
        <v>0</v>
      </c>
      <c r="I70" s="55">
        <f>[3]酒店主体!K70</f>
        <v>0</v>
      </c>
      <c r="J70" s="246" t="str">
        <f>[3]酒店主体!M70</f>
        <v/>
      </c>
      <c r="K70" s="55">
        <f>[3]酒店主体!N70</f>
        <v>0</v>
      </c>
      <c r="L70" s="112" t="str">
        <f>[3]酒店主体!P70</f>
        <v/>
      </c>
      <c r="M70" s="51">
        <f>[3]酒店主体!S70</f>
        <v>0</v>
      </c>
      <c r="N70" s="55">
        <f>[3]酒店主体!T70</f>
        <v>0</v>
      </c>
      <c r="O70" s="111" t="str">
        <f>[3]酒店主体!V70</f>
        <v/>
      </c>
      <c r="P70" s="55">
        <f>[3]酒店主体!W70</f>
        <v>0</v>
      </c>
      <c r="Q70" s="113" t="str">
        <f>[3]酒店主体!Y70</f>
        <v/>
      </c>
      <c r="R70" s="57">
        <f>[3]酒店主体!Z70</f>
        <v>0</v>
      </c>
      <c r="S70" s="58" t="str">
        <f>[3]酒店主体!AA70</f>
        <v/>
      </c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7"/>
      <c r="AK70" s="247"/>
      <c r="AL70" s="247"/>
      <c r="AM70" s="247"/>
      <c r="AN70" s="247"/>
      <c r="AO70" s="247"/>
    </row>
    <row r="71" spans="1:41" s="10" customFormat="1" ht="16.5" customHeight="1">
      <c r="A71" s="47"/>
      <c r="B71" s="47"/>
      <c r="C71" s="244"/>
      <c r="D71" s="14"/>
      <c r="E71" s="49"/>
      <c r="F71" s="184"/>
      <c r="G71" s="248" t="s">
        <v>398</v>
      </c>
      <c r="H71" s="60">
        <f>[3]酒店主体!J71</f>
        <v>0</v>
      </c>
      <c r="I71" s="64">
        <f>[3]酒店主体!K71</f>
        <v>0</v>
      </c>
      <c r="J71" s="249" t="str">
        <f>[3]酒店主体!M71</f>
        <v/>
      </c>
      <c r="K71" s="64">
        <f>[3]酒店主体!N71</f>
        <v>0</v>
      </c>
      <c r="L71" s="250" t="str">
        <f>[3]酒店主体!P71</f>
        <v/>
      </c>
      <c r="M71" s="60">
        <f>[3]酒店主体!S71</f>
        <v>0</v>
      </c>
      <c r="N71" s="64">
        <f>[3]酒店主体!T71</f>
        <v>0</v>
      </c>
      <c r="O71" s="251" t="str">
        <f>[3]酒店主体!V71</f>
        <v/>
      </c>
      <c r="P71" s="64">
        <f>[3]酒店主体!W71</f>
        <v>0</v>
      </c>
      <c r="Q71" s="252" t="str">
        <f>[3]酒店主体!Y71</f>
        <v/>
      </c>
      <c r="R71" s="57">
        <f>[3]酒店主体!Z71</f>
        <v>0</v>
      </c>
      <c r="S71" s="58" t="str">
        <f>[3]酒店主体!AA71</f>
        <v/>
      </c>
      <c r="T71" s="247"/>
      <c r="U71" s="247"/>
      <c r="V71" s="247"/>
      <c r="W71" s="247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7"/>
      <c r="AM71" s="247"/>
      <c r="AN71" s="247"/>
      <c r="AO71" s="247"/>
    </row>
    <row r="72" spans="1:41" s="10" customFormat="1" ht="16.5" customHeight="1">
      <c r="A72" s="47"/>
      <c r="B72" s="47"/>
      <c r="C72" s="244"/>
      <c r="D72" s="14"/>
      <c r="E72" s="49"/>
      <c r="F72" s="184"/>
      <c r="G72" s="245" t="s">
        <v>399</v>
      </c>
      <c r="H72" s="51">
        <f>[3]酒店主体!J72</f>
        <v>0</v>
      </c>
      <c r="I72" s="55">
        <f>[3]酒店主体!K72</f>
        <v>0</v>
      </c>
      <c r="J72" s="246" t="str">
        <f>[3]酒店主体!M72</f>
        <v/>
      </c>
      <c r="K72" s="55">
        <f>[3]酒店主体!N72</f>
        <v>0</v>
      </c>
      <c r="L72" s="112" t="str">
        <f>[3]酒店主体!P72</f>
        <v/>
      </c>
      <c r="M72" s="51">
        <f>[3]酒店主体!S72</f>
        <v>0</v>
      </c>
      <c r="N72" s="55">
        <f>[3]酒店主体!T72</f>
        <v>0</v>
      </c>
      <c r="O72" s="111" t="str">
        <f>[3]酒店主体!V72</f>
        <v/>
      </c>
      <c r="P72" s="55">
        <f>[3]酒店主体!W72</f>
        <v>0</v>
      </c>
      <c r="Q72" s="113" t="str">
        <f>[3]酒店主体!Y72</f>
        <v/>
      </c>
      <c r="R72" s="57">
        <f>[3]酒店主体!Z72</f>
        <v>0</v>
      </c>
      <c r="S72" s="58" t="str">
        <f>[3]酒店主体!AA72</f>
        <v/>
      </c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</row>
    <row r="73" spans="1:41" s="10" customFormat="1" ht="16.5" customHeight="1">
      <c r="A73" s="47"/>
      <c r="B73" s="47"/>
      <c r="C73" s="244"/>
      <c r="D73" s="14"/>
      <c r="E73" s="49"/>
      <c r="F73" s="184"/>
      <c r="G73" s="245" t="s">
        <v>400</v>
      </c>
      <c r="H73" s="51">
        <f>[3]酒店主体!J73</f>
        <v>0</v>
      </c>
      <c r="I73" s="55">
        <f>[3]酒店主体!K73</f>
        <v>0</v>
      </c>
      <c r="J73" s="246" t="str">
        <f>[3]酒店主体!M73</f>
        <v/>
      </c>
      <c r="K73" s="55">
        <f>[3]酒店主体!N73</f>
        <v>0</v>
      </c>
      <c r="L73" s="112" t="str">
        <f>[3]酒店主体!P73</f>
        <v/>
      </c>
      <c r="M73" s="51">
        <f>[3]酒店主体!S73</f>
        <v>0</v>
      </c>
      <c r="N73" s="55">
        <f>[3]酒店主体!T73</f>
        <v>0</v>
      </c>
      <c r="O73" s="111" t="str">
        <f>[3]酒店主体!V73</f>
        <v/>
      </c>
      <c r="P73" s="55">
        <f>[3]酒店主体!W73</f>
        <v>0</v>
      </c>
      <c r="Q73" s="113" t="str">
        <f>[3]酒店主体!Y73</f>
        <v/>
      </c>
      <c r="R73" s="57">
        <f>[3]酒店主体!Z73</f>
        <v>0</v>
      </c>
      <c r="S73" s="58" t="str">
        <f>[3]酒店主体!AA73</f>
        <v/>
      </c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7"/>
      <c r="AM73" s="247"/>
      <c r="AN73" s="247"/>
      <c r="AO73" s="247"/>
    </row>
    <row r="74" spans="1:41" s="10" customFormat="1" ht="16.5" customHeight="1">
      <c r="A74" s="47"/>
      <c r="B74" s="47"/>
      <c r="C74" s="244"/>
      <c r="D74" s="14"/>
      <c r="E74" s="49"/>
      <c r="F74" s="184"/>
      <c r="G74" s="245" t="s">
        <v>401</v>
      </c>
      <c r="H74" s="51">
        <f>[3]酒店主体!J74</f>
        <v>0</v>
      </c>
      <c r="I74" s="55">
        <f>[3]酒店主体!K74</f>
        <v>0</v>
      </c>
      <c r="J74" s="246" t="str">
        <f>[3]酒店主体!M74</f>
        <v/>
      </c>
      <c r="K74" s="55">
        <f>[3]酒店主体!N74</f>
        <v>58.49</v>
      </c>
      <c r="L74" s="112">
        <f>[3]酒店主体!P74</f>
        <v>-1</v>
      </c>
      <c r="M74" s="51">
        <f>[3]酒店主体!S74</f>
        <v>0</v>
      </c>
      <c r="N74" s="55">
        <f>[3]酒店主体!T74</f>
        <v>0</v>
      </c>
      <c r="O74" s="111" t="str">
        <f>[3]酒店主体!V74</f>
        <v/>
      </c>
      <c r="P74" s="55">
        <f>[3]酒店主体!W74</f>
        <v>58.49</v>
      </c>
      <c r="Q74" s="113">
        <f>[3]酒店主体!Y74</f>
        <v>-1</v>
      </c>
      <c r="R74" s="57">
        <f>[3]酒店主体!Z74</f>
        <v>0</v>
      </c>
      <c r="S74" s="58" t="str">
        <f>[3]酒店主体!AA74</f>
        <v/>
      </c>
      <c r="T74" s="247"/>
      <c r="U74" s="247"/>
      <c r="V74" s="247"/>
      <c r="W74" s="247"/>
      <c r="X74" s="247"/>
      <c r="Y74" s="247"/>
      <c r="Z74" s="247"/>
      <c r="AA74" s="247"/>
      <c r="AB74" s="247"/>
      <c r="AC74" s="247"/>
      <c r="AD74" s="247"/>
      <c r="AE74" s="247"/>
      <c r="AF74" s="247"/>
      <c r="AG74" s="247"/>
      <c r="AH74" s="247"/>
      <c r="AI74" s="247"/>
      <c r="AJ74" s="247"/>
      <c r="AK74" s="247"/>
      <c r="AL74" s="247"/>
      <c r="AM74" s="247"/>
      <c r="AN74" s="247"/>
      <c r="AO74" s="247"/>
    </row>
    <row r="75" spans="1:41" s="10" customFormat="1" ht="16.5" customHeight="1">
      <c r="A75" s="47"/>
      <c r="B75" s="47"/>
      <c r="C75" s="244"/>
      <c r="D75" s="14"/>
      <c r="E75" s="49"/>
      <c r="F75" s="184"/>
      <c r="G75" s="245" t="s">
        <v>402</v>
      </c>
      <c r="H75" s="51">
        <f>[3]酒店主体!J75</f>
        <v>69952.73</v>
      </c>
      <c r="I75" s="55">
        <f>[3]酒店主体!K75</f>
        <v>48543.69</v>
      </c>
      <c r="J75" s="246">
        <f>[3]酒店主体!M75</f>
        <v>0.441026217825633</v>
      </c>
      <c r="K75" s="55">
        <f>[3]酒店主体!N75</f>
        <v>47126.04</v>
      </c>
      <c r="L75" s="112">
        <f>[3]酒店主体!P75</f>
        <v>0.48437530503305598</v>
      </c>
      <c r="M75" s="51">
        <f>[3]酒店主体!S75</f>
        <v>69952.73</v>
      </c>
      <c r="N75" s="55">
        <f>[3]酒店主体!T75</f>
        <v>48543.69</v>
      </c>
      <c r="O75" s="111">
        <f>[3]酒店主体!V75</f>
        <v>0.441026217825633</v>
      </c>
      <c r="P75" s="55">
        <f>[3]酒店主体!W75</f>
        <v>47126.04</v>
      </c>
      <c r="Q75" s="113">
        <f>[3]酒店主体!Y75</f>
        <v>0.48437530503305598</v>
      </c>
      <c r="R75" s="57">
        <f>[3]酒店主体!Z75</f>
        <v>582524.28</v>
      </c>
      <c r="S75" s="58">
        <f>[3]酒店主体!AA75</f>
        <v>0.120085518152136</v>
      </c>
      <c r="T75" s="247"/>
      <c r="U75" s="247"/>
      <c r="V75" s="247"/>
      <c r="W75" s="247"/>
      <c r="X75" s="247"/>
      <c r="Y75" s="247"/>
      <c r="Z75" s="247"/>
      <c r="AA75" s="247"/>
      <c r="AB75" s="247"/>
      <c r="AC75" s="247"/>
      <c r="AD75" s="247"/>
      <c r="AE75" s="247"/>
      <c r="AF75" s="247"/>
      <c r="AG75" s="247"/>
      <c r="AH75" s="247"/>
      <c r="AI75" s="247"/>
      <c r="AJ75" s="247"/>
      <c r="AK75" s="247"/>
      <c r="AL75" s="247"/>
      <c r="AM75" s="247"/>
      <c r="AN75" s="247"/>
      <c r="AO75" s="247"/>
    </row>
    <row r="76" spans="1:41" s="10" customFormat="1" ht="16.5" customHeight="1">
      <c r="A76" s="47"/>
      <c r="B76" s="47"/>
      <c r="C76" s="244"/>
      <c r="D76" s="14"/>
      <c r="E76" s="49"/>
      <c r="F76" s="184"/>
      <c r="G76" s="245" t="s">
        <v>403</v>
      </c>
      <c r="H76" s="51">
        <f>[3]酒店主体!J76</f>
        <v>70016.02</v>
      </c>
      <c r="I76" s="55">
        <f>[3]酒店主体!K76</f>
        <v>14150</v>
      </c>
      <c r="J76" s="246">
        <f>[3]酒店主体!M76</f>
        <v>3.94812862190813</v>
      </c>
      <c r="K76" s="55">
        <f>[3]酒店主体!N76</f>
        <v>69519.539999999994</v>
      </c>
      <c r="L76" s="112">
        <f>[3]酒店主体!P76</f>
        <v>7.14158925677602E-3</v>
      </c>
      <c r="M76" s="51">
        <f>[3]酒店主体!S76</f>
        <v>70016.02</v>
      </c>
      <c r="N76" s="55">
        <f>[3]酒店主体!T76</f>
        <v>14150</v>
      </c>
      <c r="O76" s="111">
        <f>[3]酒店主体!V76</f>
        <v>3.94812862190813</v>
      </c>
      <c r="P76" s="55">
        <f>[3]酒店主体!W76</f>
        <v>69519.539999999994</v>
      </c>
      <c r="Q76" s="113">
        <f>[3]酒店主体!Y76</f>
        <v>7.14158925677602E-3</v>
      </c>
      <c r="R76" s="57">
        <f>[3]酒店主体!Z76</f>
        <v>169800</v>
      </c>
      <c r="S76" s="58">
        <f>[3]酒店主体!AA76</f>
        <v>0.41234405182567702</v>
      </c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</row>
    <row r="77" spans="1:41" s="5" customFormat="1" ht="16.5" customHeight="1">
      <c r="A77" s="253"/>
      <c r="B77" s="253"/>
      <c r="C77" s="204"/>
      <c r="D77" s="200"/>
      <c r="E77" s="254"/>
      <c r="F77" s="184"/>
      <c r="G77" s="409" t="s">
        <v>404</v>
      </c>
      <c r="H77" s="394">
        <f>[3]酒店主体!J77</f>
        <v>139968.75</v>
      </c>
      <c r="I77" s="395">
        <f>[3]酒店主体!K77</f>
        <v>62693.69</v>
      </c>
      <c r="J77" s="410">
        <f>[3]酒店主体!M77</f>
        <v>1.23258114173851</v>
      </c>
      <c r="K77" s="395">
        <f>[3]酒店主体!N77</f>
        <v>116704.07</v>
      </c>
      <c r="L77" s="397">
        <f>[3]酒店主体!P77</f>
        <v>0.199347632006322</v>
      </c>
      <c r="M77" s="394">
        <f>[3]酒店主体!S77</f>
        <v>139968.75</v>
      </c>
      <c r="N77" s="395">
        <f>[3]酒店主体!T77</f>
        <v>62693.69</v>
      </c>
      <c r="O77" s="396">
        <f>[3]酒店主体!V77</f>
        <v>1.23258114173851</v>
      </c>
      <c r="P77" s="395">
        <f>[3]酒店主体!W77</f>
        <v>116704.07</v>
      </c>
      <c r="Q77" s="398">
        <f>[3]酒店主体!Y77</f>
        <v>0.199347632006322</v>
      </c>
      <c r="R77" s="365">
        <f>[3]酒店主体!Z77</f>
        <v>752324.28</v>
      </c>
      <c r="S77" s="366">
        <f>[3]酒店主体!AA77</f>
        <v>0.18604842847820899</v>
      </c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</row>
    <row r="78" spans="1:41" s="10" customFormat="1" ht="16.5" customHeight="1">
      <c r="A78" s="47"/>
      <c r="B78" s="47"/>
      <c r="C78" s="244"/>
      <c r="D78" s="14"/>
      <c r="E78" s="49"/>
      <c r="F78" s="184"/>
      <c r="G78" s="255" t="s">
        <v>405</v>
      </c>
      <c r="H78" s="230">
        <f>[3]酒店主体!J78</f>
        <v>0</v>
      </c>
      <c r="I78" s="227">
        <f>[3]酒店主体!K78</f>
        <v>0</v>
      </c>
      <c r="J78" s="256" t="str">
        <f>[3]酒店主体!M78</f>
        <v/>
      </c>
      <c r="K78" s="227">
        <f>[3]酒店主体!N78</f>
        <v>0</v>
      </c>
      <c r="L78" s="229" t="str">
        <f>[3]酒店主体!P78</f>
        <v/>
      </c>
      <c r="M78" s="230">
        <f>[3]酒店主体!S78</f>
        <v>0</v>
      </c>
      <c r="N78" s="227">
        <f>[3]酒店主体!T78</f>
        <v>0</v>
      </c>
      <c r="O78" s="228" t="str">
        <f>[3]酒店主体!V78</f>
        <v/>
      </c>
      <c r="P78" s="227">
        <f>[3]酒店主体!W78</f>
        <v>0</v>
      </c>
      <c r="Q78" s="231" t="str">
        <f>[3]酒店主体!Y78</f>
        <v/>
      </c>
      <c r="R78" s="232">
        <f>[3]酒店主体!Z78</f>
        <v>0</v>
      </c>
      <c r="S78" s="233" t="str">
        <f>[3]酒店主体!AA78</f>
        <v/>
      </c>
      <c r="T78" s="247"/>
      <c r="U78" s="247"/>
      <c r="V78" s="247"/>
      <c r="W78" s="247"/>
      <c r="X78" s="247"/>
      <c r="Y78" s="247"/>
      <c r="Z78" s="247"/>
      <c r="AA78" s="247"/>
      <c r="AB78" s="247"/>
      <c r="AC78" s="247"/>
      <c r="AD78" s="247"/>
      <c r="AE78" s="247"/>
      <c r="AF78" s="247"/>
      <c r="AG78" s="247"/>
      <c r="AH78" s="247"/>
      <c r="AI78" s="247"/>
      <c r="AJ78" s="247"/>
      <c r="AK78" s="247"/>
      <c r="AL78" s="247"/>
      <c r="AM78" s="247"/>
      <c r="AN78" s="247"/>
      <c r="AO78" s="247"/>
    </row>
    <row r="79" spans="1:41" s="10" customFormat="1" ht="16.5" customHeight="1">
      <c r="A79" s="47"/>
      <c r="B79" s="47"/>
      <c r="C79" s="244"/>
      <c r="D79" s="14"/>
      <c r="E79" s="49"/>
      <c r="F79" s="184"/>
      <c r="G79" s="234" t="s">
        <v>372</v>
      </c>
      <c r="H79" s="51">
        <f>[3]酒店主体!J79</f>
        <v>0</v>
      </c>
      <c r="I79" s="55">
        <f>[3]酒店主体!K79</f>
        <v>0</v>
      </c>
      <c r="J79" s="246" t="str">
        <f>[3]酒店主体!M79</f>
        <v/>
      </c>
      <c r="K79" s="55">
        <f>[3]酒店主体!N79</f>
        <v>0</v>
      </c>
      <c r="L79" s="112" t="str">
        <f>[3]酒店主体!P79</f>
        <v/>
      </c>
      <c r="M79" s="51">
        <f>[3]酒店主体!S79</f>
        <v>0</v>
      </c>
      <c r="N79" s="55">
        <f>[3]酒店主体!T79</f>
        <v>0</v>
      </c>
      <c r="O79" s="111" t="str">
        <f>[3]酒店主体!V79</f>
        <v/>
      </c>
      <c r="P79" s="55">
        <f>[3]酒店主体!W79</f>
        <v>0</v>
      </c>
      <c r="Q79" s="113" t="str">
        <f>[3]酒店主体!Y79</f>
        <v/>
      </c>
      <c r="R79" s="57">
        <f>[3]酒店主体!Z79</f>
        <v>0</v>
      </c>
      <c r="S79" s="58" t="str">
        <f>[3]酒店主体!AA79</f>
        <v/>
      </c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7"/>
      <c r="AL79" s="247"/>
      <c r="AM79" s="247"/>
      <c r="AN79" s="247"/>
      <c r="AO79" s="247"/>
    </row>
    <row r="80" spans="1:41" s="10" customFormat="1" ht="16.5" customHeight="1">
      <c r="A80" s="47"/>
      <c r="B80" s="47"/>
      <c r="C80" s="244"/>
      <c r="D80" s="14"/>
      <c r="E80" s="49"/>
      <c r="F80" s="184"/>
      <c r="G80" s="222" t="s">
        <v>373</v>
      </c>
      <c r="H80" s="51">
        <f>[3]酒店主体!J80</f>
        <v>0</v>
      </c>
      <c r="I80" s="55">
        <f>[3]酒店主体!K80</f>
        <v>0</v>
      </c>
      <c r="J80" s="246" t="str">
        <f>[3]酒店主体!M80</f>
        <v/>
      </c>
      <c r="K80" s="55">
        <f>[3]酒店主体!N80</f>
        <v>0</v>
      </c>
      <c r="L80" s="112" t="str">
        <f>[3]酒店主体!P80</f>
        <v/>
      </c>
      <c r="M80" s="51">
        <f>[3]酒店主体!S80</f>
        <v>0</v>
      </c>
      <c r="N80" s="55">
        <f>[3]酒店主体!T80</f>
        <v>0</v>
      </c>
      <c r="O80" s="111" t="str">
        <f>[3]酒店主体!V80</f>
        <v/>
      </c>
      <c r="P80" s="55">
        <f>[3]酒店主体!W80</f>
        <v>0</v>
      </c>
      <c r="Q80" s="113" t="str">
        <f>[3]酒店主体!Y80</f>
        <v/>
      </c>
      <c r="R80" s="57">
        <f>[3]酒店主体!Z80</f>
        <v>0</v>
      </c>
      <c r="S80" s="58" t="str">
        <f>[3]酒店主体!AA80</f>
        <v/>
      </c>
      <c r="T80" s="247"/>
      <c r="U80" s="247"/>
      <c r="V80" s="247"/>
      <c r="W80" s="247"/>
      <c r="X80" s="247"/>
      <c r="Y80" s="247"/>
      <c r="Z80" s="247"/>
      <c r="AA80" s="247"/>
      <c r="AB80" s="247"/>
      <c r="AC80" s="247"/>
      <c r="AD80" s="247"/>
      <c r="AE80" s="247"/>
      <c r="AF80" s="247"/>
      <c r="AG80" s="247"/>
      <c r="AH80" s="247"/>
      <c r="AI80" s="247"/>
      <c r="AJ80" s="247"/>
      <c r="AK80" s="247"/>
      <c r="AL80" s="247"/>
      <c r="AM80" s="247"/>
      <c r="AN80" s="247"/>
      <c r="AO80" s="247"/>
    </row>
    <row r="81" spans="1:41" s="10" customFormat="1" ht="16.5" customHeight="1">
      <c r="A81" s="47"/>
      <c r="B81" s="47"/>
      <c r="C81" s="244"/>
      <c r="D81" s="14"/>
      <c r="E81" s="49"/>
      <c r="F81" s="184"/>
      <c r="G81" s="234" t="s">
        <v>406</v>
      </c>
      <c r="H81" s="51">
        <f>[3]酒店主体!J81</f>
        <v>29017.75</v>
      </c>
      <c r="I81" s="55">
        <f>[3]酒店主体!K81</f>
        <v>0</v>
      </c>
      <c r="J81" s="111" t="str">
        <f>[3]酒店主体!M81</f>
        <v/>
      </c>
      <c r="K81" s="55">
        <f>[3]酒店主体!N81</f>
        <v>37080.26</v>
      </c>
      <c r="L81" s="112">
        <f>[3]酒店主体!P81</f>
        <v>-0.21743402014980501</v>
      </c>
      <c r="M81" s="51">
        <f>[3]酒店主体!S81</f>
        <v>29017.75</v>
      </c>
      <c r="N81" s="55">
        <f>[3]酒店主体!T81</f>
        <v>0</v>
      </c>
      <c r="O81" s="111" t="str">
        <f>[3]酒店主体!V81</f>
        <v/>
      </c>
      <c r="P81" s="55">
        <f>[3]酒店主体!W81</f>
        <v>37080.26</v>
      </c>
      <c r="Q81" s="113">
        <f>[3]酒店主体!Y81</f>
        <v>-0.21743402014980501</v>
      </c>
      <c r="R81" s="57">
        <f>[3]酒店主体!Z81</f>
        <v>0</v>
      </c>
      <c r="S81" s="58" t="str">
        <f>[3]酒店主体!AA81</f>
        <v/>
      </c>
      <c r="T81" s="247"/>
      <c r="U81" s="247"/>
      <c r="V81" s="247"/>
      <c r="W81" s="247"/>
      <c r="X81" s="247"/>
      <c r="Y81" s="247"/>
      <c r="Z81" s="247"/>
      <c r="AA81" s="247"/>
      <c r="AB81" s="247"/>
      <c r="AC81" s="247"/>
      <c r="AD81" s="247"/>
      <c r="AE81" s="247"/>
      <c r="AF81" s="247"/>
      <c r="AG81" s="247"/>
      <c r="AH81" s="247"/>
      <c r="AI81" s="247"/>
      <c r="AJ81" s="247"/>
      <c r="AK81" s="247"/>
      <c r="AL81" s="247"/>
      <c r="AM81" s="247"/>
      <c r="AN81" s="247"/>
      <c r="AO81" s="247"/>
    </row>
    <row r="82" spans="1:41" s="5" customFormat="1" ht="16.5" customHeight="1">
      <c r="A82" s="253"/>
      <c r="B82" s="253"/>
      <c r="C82" s="204"/>
      <c r="D82" s="200"/>
      <c r="E82" s="254"/>
      <c r="F82" s="184"/>
      <c r="G82" s="411" t="s">
        <v>407</v>
      </c>
      <c r="H82" s="368">
        <f>[3]酒店主体!J82</f>
        <v>29017.75</v>
      </c>
      <c r="I82" s="369">
        <f>[3]酒店主体!K82</f>
        <v>0</v>
      </c>
      <c r="J82" s="370" t="str">
        <f>[3]酒店主体!M82</f>
        <v/>
      </c>
      <c r="K82" s="369">
        <f>[3]酒店主体!N82</f>
        <v>37080.26</v>
      </c>
      <c r="L82" s="371">
        <f>[3]酒店主体!P82</f>
        <v>-0.21743402014980501</v>
      </c>
      <c r="M82" s="368">
        <f>[3]酒店主体!S82</f>
        <v>29017.75</v>
      </c>
      <c r="N82" s="369">
        <f>[3]酒店主体!T82</f>
        <v>0</v>
      </c>
      <c r="O82" s="370" t="str">
        <f>[3]酒店主体!V82</f>
        <v/>
      </c>
      <c r="P82" s="369">
        <f>[3]酒店主体!W82</f>
        <v>37080.26</v>
      </c>
      <c r="Q82" s="372">
        <f>[3]酒店主体!Y82</f>
        <v>-0.21743402014980501</v>
      </c>
      <c r="R82" s="373">
        <f>[3]酒店主体!Z82</f>
        <v>0</v>
      </c>
      <c r="S82" s="374" t="str">
        <f>[3]酒店主体!AA82</f>
        <v/>
      </c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</row>
    <row r="83" spans="1:41" s="5" customFormat="1" ht="16.5" customHeight="1">
      <c r="A83" s="253"/>
      <c r="B83" s="253"/>
      <c r="C83" s="204"/>
      <c r="D83" s="200"/>
      <c r="E83" s="254"/>
      <c r="F83" s="184"/>
      <c r="G83" s="412" t="s">
        <v>408</v>
      </c>
      <c r="H83" s="413">
        <f>[3]酒店主体!J83</f>
        <v>110951</v>
      </c>
      <c r="I83" s="414">
        <f>[3]酒店主体!K83</f>
        <v>62693.69</v>
      </c>
      <c r="J83" s="415">
        <f>[3]酒店主体!M83</f>
        <v>0.76973153119556403</v>
      </c>
      <c r="K83" s="414">
        <f>[3]酒店主体!N83</f>
        <v>79623.81</v>
      </c>
      <c r="L83" s="416">
        <f>[3]酒店主体!P83</f>
        <v>0.39343997731331898</v>
      </c>
      <c r="M83" s="413">
        <f>[3]酒店主体!S83</f>
        <v>110951</v>
      </c>
      <c r="N83" s="414">
        <f>[3]酒店主体!T83</f>
        <v>62693.69</v>
      </c>
      <c r="O83" s="415">
        <f>[3]酒店主体!V83</f>
        <v>0.76973153119556403</v>
      </c>
      <c r="P83" s="414">
        <f>[3]酒店主体!W83</f>
        <v>79623.81</v>
      </c>
      <c r="Q83" s="417">
        <f>[3]酒店主体!Y83</f>
        <v>0.39343997731331898</v>
      </c>
      <c r="R83" s="418">
        <f>[3]酒店主体!Z83</f>
        <v>752324.28</v>
      </c>
      <c r="S83" s="419">
        <f>[3]酒店主体!AA83</f>
        <v>0.14747762759963001</v>
      </c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</row>
    <row r="84" spans="1:41" ht="16.5" customHeight="1">
      <c r="A84" s="47"/>
      <c r="B84" s="47"/>
      <c r="C84" s="48"/>
      <c r="D84" s="48"/>
      <c r="E84" s="49"/>
      <c r="F84" s="184"/>
      <c r="G84" s="257"/>
      <c r="H84" s="258"/>
      <c r="I84" s="258"/>
      <c r="J84" s="259"/>
      <c r="K84" s="258"/>
      <c r="L84" s="260"/>
      <c r="M84" s="258"/>
      <c r="N84" s="258"/>
      <c r="O84" s="259"/>
      <c r="P84" s="258"/>
      <c r="Q84" s="259"/>
      <c r="R84" s="261"/>
      <c r="S84" s="262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spans="1:41" ht="16.5" customHeight="1">
      <c r="A85" s="253"/>
      <c r="B85" s="253"/>
      <c r="C85" s="204"/>
      <c r="D85" s="200"/>
      <c r="E85" s="254"/>
      <c r="F85" s="184"/>
      <c r="G85" s="420" t="s">
        <v>409</v>
      </c>
      <c r="H85" s="421">
        <f>[3]酒店主体!J85</f>
        <v>2831815.91</v>
      </c>
      <c r="I85" s="422">
        <f>[3]酒店主体!K85</f>
        <v>2691281.43</v>
      </c>
      <c r="J85" s="423">
        <f>[3]酒店主体!M85</f>
        <v>5.2218425926566898E-2</v>
      </c>
      <c r="K85" s="424">
        <f>[3]酒店主体!N85</f>
        <v>2941734.5</v>
      </c>
      <c r="L85" s="425">
        <f>[3]酒店主体!P85</f>
        <v>-3.7365231294666297E-2</v>
      </c>
      <c r="M85" s="421">
        <f>[3]酒店主体!S85</f>
        <v>2831815.91</v>
      </c>
      <c r="N85" s="422">
        <f>[3]酒店主体!T85</f>
        <v>2691281.43</v>
      </c>
      <c r="O85" s="423">
        <f>[3]酒店主体!V85</f>
        <v>5.2218425926566898E-2</v>
      </c>
      <c r="P85" s="424">
        <f>[3]酒店主体!W85</f>
        <v>2941734.5</v>
      </c>
      <c r="Q85" s="426">
        <f>[3]酒店主体!Y85</f>
        <v>-3.7365231294666297E-2</v>
      </c>
      <c r="R85" s="427">
        <f>[3]酒店主体!Z85</f>
        <v>36674896.130000003</v>
      </c>
      <c r="S85" s="428">
        <f>[3]酒店主体!AA85</f>
        <v>7.7214013093920703E-2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spans="1:41" ht="16.5" customHeight="1">
      <c r="A86" s="253"/>
      <c r="B86" s="253"/>
      <c r="C86" s="204"/>
      <c r="D86" s="200"/>
      <c r="E86" s="254"/>
      <c r="F86" s="184"/>
      <c r="G86" s="429" t="s">
        <v>410</v>
      </c>
      <c r="H86" s="430">
        <f>[3]酒店主体!J86</f>
        <v>1242378.6100000001</v>
      </c>
      <c r="I86" s="431">
        <f>[3]酒店主体!K86</f>
        <v>1181970.3400000001</v>
      </c>
      <c r="J86" s="432">
        <f>[3]酒店主体!M86</f>
        <v>5.1108109870168401E-2</v>
      </c>
      <c r="K86" s="433">
        <f>[3]酒店主体!N86</f>
        <v>1099234.8600000001</v>
      </c>
      <c r="L86" s="434">
        <f>[3]酒店主体!P86</f>
        <v>0.13022126135992401</v>
      </c>
      <c r="M86" s="430">
        <f>[3]酒店主体!S86</f>
        <v>1242378.6100000001</v>
      </c>
      <c r="N86" s="431">
        <f>[3]酒店主体!T86</f>
        <v>1181970.3400000001</v>
      </c>
      <c r="O86" s="432">
        <f>[3]酒店主体!V86</f>
        <v>5.1108109870168401E-2</v>
      </c>
      <c r="P86" s="433">
        <f>[3]酒店主体!W86</f>
        <v>1099234.8600000001</v>
      </c>
      <c r="Q86" s="435">
        <f>[3]酒店主体!Y86</f>
        <v>0.13022126135992401</v>
      </c>
      <c r="R86" s="436">
        <f>[3]酒店主体!Z86</f>
        <v>17880341.800000001</v>
      </c>
      <c r="S86" s="437">
        <f>[3]酒店主体!AA86</f>
        <v>6.9482934045477798E-2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spans="1:41" s="7" customFormat="1" ht="16.5" customHeight="1">
      <c r="A87" s="263"/>
      <c r="B87" s="263"/>
      <c r="C87" s="235"/>
      <c r="D87" s="264"/>
      <c r="E87" s="265"/>
      <c r="F87" s="236"/>
      <c r="G87" s="438" t="s">
        <v>411</v>
      </c>
      <c r="H87" s="439">
        <f>[3]酒店主体!J87</f>
        <v>0.43872153045428702</v>
      </c>
      <c r="I87" s="440">
        <f>[3]酒店主体!K87</f>
        <v>0.43918496476230601</v>
      </c>
      <c r="J87" s="439">
        <f>[3]酒店主体!M87</f>
        <v>-1.0552144203526601E-3</v>
      </c>
      <c r="K87" s="441">
        <f>[3]酒店主体!N87</f>
        <v>0.37366895618894203</v>
      </c>
      <c r="L87" s="442">
        <f>[3]酒店主体!P87</f>
        <v>0.17409146033649001</v>
      </c>
      <c r="M87" s="439">
        <f>[3]酒店主体!S87</f>
        <v>0.43872153045428702</v>
      </c>
      <c r="N87" s="440">
        <f>[3]酒店主体!T87</f>
        <v>0.43918496476230601</v>
      </c>
      <c r="O87" s="439">
        <f>[3]酒店主体!V87</f>
        <v>-1.0552144203526601E-3</v>
      </c>
      <c r="P87" s="441">
        <f>[3]酒店主体!W87</f>
        <v>0.37366895618894203</v>
      </c>
      <c r="Q87" s="443">
        <f>[3]酒店主体!Y87</f>
        <v>0.17409146033649001</v>
      </c>
      <c r="R87" s="444">
        <f>[3]酒店主体!Z87</f>
        <v>0.48753626286003099</v>
      </c>
      <c r="S87" s="445">
        <f>[3]酒店主体!AA87</f>
        <v>0.89987466343655798</v>
      </c>
      <c r="T87" s="136"/>
      <c r="U87" s="136"/>
      <c r="V87" s="136"/>
      <c r="W87" s="136"/>
      <c r="X87" s="136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</row>
    <row r="88" spans="1:41" ht="16.5" customHeight="1">
      <c r="A88" s="47"/>
      <c r="B88" s="47"/>
      <c r="C88" s="48"/>
      <c r="D88" s="48"/>
      <c r="E88" s="49"/>
      <c r="F88" s="184"/>
      <c r="G88" s="266"/>
      <c r="H88" s="239"/>
      <c r="I88" s="239"/>
      <c r="J88" s="65"/>
      <c r="K88" s="239"/>
      <c r="L88" s="63"/>
      <c r="M88" s="239"/>
      <c r="N88" s="239"/>
      <c r="O88" s="65"/>
      <c r="P88" s="239"/>
      <c r="Q88" s="63"/>
      <c r="R88" s="239"/>
      <c r="S88" s="267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spans="1:41" ht="16.5" customHeight="1">
      <c r="A89" s="47"/>
      <c r="B89" s="47"/>
      <c r="C89" s="48"/>
      <c r="D89" s="48"/>
      <c r="E89" s="49"/>
      <c r="F89" s="184"/>
      <c r="G89" s="446" t="s">
        <v>412</v>
      </c>
      <c r="H89" s="268"/>
      <c r="I89" s="269"/>
      <c r="J89" s="270"/>
      <c r="K89" s="269"/>
      <c r="L89" s="271"/>
      <c r="M89" s="268"/>
      <c r="N89" s="269"/>
      <c r="O89" s="270"/>
      <c r="P89" s="269"/>
      <c r="Q89" s="270"/>
      <c r="R89" s="272"/>
      <c r="S89" s="27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spans="1:41" s="5" customFormat="1" ht="16.5" customHeight="1">
      <c r="A90" s="47"/>
      <c r="B90" s="47"/>
      <c r="C90" s="204"/>
      <c r="D90" s="221"/>
      <c r="E90" s="49"/>
      <c r="F90" s="184"/>
      <c r="G90" s="447" t="s">
        <v>413</v>
      </c>
      <c r="H90" s="448">
        <f>[3]酒店主体!J90</f>
        <v>267035.52000000002</v>
      </c>
      <c r="I90" s="449">
        <f>[3]酒店主体!K90</f>
        <v>298671.59999999998</v>
      </c>
      <c r="J90" s="450">
        <f>[3]酒店主体!M90</f>
        <v>-0.105922625385206</v>
      </c>
      <c r="K90" s="449">
        <f>[3]酒店主体!N90</f>
        <v>311903.34000000003</v>
      </c>
      <c r="L90" s="451">
        <f>[3]酒店主体!P90</f>
        <v>-0.143851681742171</v>
      </c>
      <c r="M90" s="448">
        <f>[3]酒店主体!S90</f>
        <v>267035.52000000002</v>
      </c>
      <c r="N90" s="449">
        <f>[3]酒店主体!T90</f>
        <v>298671.59999999998</v>
      </c>
      <c r="O90" s="450">
        <f>[3]酒店主体!V90</f>
        <v>-0.105922625385206</v>
      </c>
      <c r="P90" s="452">
        <f>[3]酒店主体!W90</f>
        <v>311903.34000000003</v>
      </c>
      <c r="Q90" s="453">
        <f>[3]酒店主体!Y90</f>
        <v>-0.143851681742171</v>
      </c>
      <c r="R90" s="454">
        <f>[3]酒店主体!Z90</f>
        <v>3852748.07</v>
      </c>
      <c r="S90" s="455">
        <f>[3]酒店主体!AA90</f>
        <v>6.9310402639433402E-2</v>
      </c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</row>
    <row r="91" spans="1:41" ht="16.5" customHeight="1">
      <c r="A91" s="47"/>
      <c r="B91" s="47"/>
      <c r="C91" s="204"/>
      <c r="D91" s="221"/>
      <c r="E91" s="49"/>
      <c r="F91" s="184"/>
      <c r="G91" s="274" t="s">
        <v>372</v>
      </c>
      <c r="H91" s="60">
        <f>[3]酒店主体!J91</f>
        <v>153583</v>
      </c>
      <c r="I91" s="64">
        <f>[3]酒店主体!K91</f>
        <v>141644</v>
      </c>
      <c r="J91" s="251">
        <f>[3]酒店主体!M91</f>
        <v>8.4288780322498702E-2</v>
      </c>
      <c r="K91" s="64">
        <f>[3]酒店主体!N91</f>
        <v>145163.07</v>
      </c>
      <c r="L91" s="250">
        <f>[3]酒店主体!P91</f>
        <v>5.80032511023637E-2</v>
      </c>
      <c r="M91" s="60">
        <f>[3]酒店主体!S91</f>
        <v>153583</v>
      </c>
      <c r="N91" s="64">
        <f>[3]酒店主体!T91</f>
        <v>141644</v>
      </c>
      <c r="O91" s="251">
        <f>[3]酒店主体!V91</f>
        <v>8.4288780322498702E-2</v>
      </c>
      <c r="P91" s="61">
        <f>[3]酒店主体!W91</f>
        <v>145163.07</v>
      </c>
      <c r="Q91" s="252">
        <f>[3]酒店主体!Y91</f>
        <v>5.80032511023637E-2</v>
      </c>
      <c r="R91" s="57">
        <f>[3]酒店主体!Z91</f>
        <v>1699728</v>
      </c>
      <c r="S91" s="58">
        <f>[3]酒店主体!AA91</f>
        <v>9.0357398360208202E-2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spans="1:41" ht="16.5" customHeight="1">
      <c r="A92" s="47"/>
      <c r="B92" s="47"/>
      <c r="C92" s="204"/>
      <c r="D92" s="221"/>
      <c r="E92" s="49"/>
      <c r="F92" s="184"/>
      <c r="G92" s="234" t="s">
        <v>373</v>
      </c>
      <c r="H92" s="51">
        <f>[3]酒店主体!J92</f>
        <v>77402.86</v>
      </c>
      <c r="I92" s="55">
        <f>[3]酒店主体!K92</f>
        <v>59424</v>
      </c>
      <c r="J92" s="111">
        <f>[3]酒店主体!M92</f>
        <v>0.30255216747442099</v>
      </c>
      <c r="K92" s="55">
        <f>[3]酒店主体!N92</f>
        <v>98929.75</v>
      </c>
      <c r="L92" s="112">
        <f>[3]酒店主体!P92</f>
        <v>-0.21759773981031999</v>
      </c>
      <c r="M92" s="51">
        <f>[3]酒店主体!S92</f>
        <v>77402.86</v>
      </c>
      <c r="N92" s="55">
        <f>[3]酒店主体!T92</f>
        <v>59424</v>
      </c>
      <c r="O92" s="111">
        <f>[3]酒店主体!V92</f>
        <v>0.30255216747442099</v>
      </c>
      <c r="P92" s="52">
        <f>[3]酒店主体!W92</f>
        <v>98929.75</v>
      </c>
      <c r="Q92" s="113">
        <f>[3]酒店主体!Y92</f>
        <v>-0.21759773981031999</v>
      </c>
      <c r="R92" s="57">
        <f>[3]酒店主体!Z92</f>
        <v>929088</v>
      </c>
      <c r="S92" s="58">
        <f>[3]酒店主体!AA92</f>
        <v>8.3310579837431994E-2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spans="1:41" ht="16.5" customHeight="1">
      <c r="A93" s="47"/>
      <c r="B93" s="47"/>
      <c r="C93" s="204"/>
      <c r="D93" s="221"/>
      <c r="E93" s="49"/>
      <c r="F93" s="184"/>
      <c r="G93" s="274" t="s">
        <v>406</v>
      </c>
      <c r="H93" s="60">
        <f>[3]酒店主体!J93</f>
        <v>22579.47</v>
      </c>
      <c r="I93" s="64">
        <f>[3]酒店主体!K93</f>
        <v>83873</v>
      </c>
      <c r="J93" s="251">
        <f>[3]酒店主体!M93</f>
        <v>-0.73078976547875996</v>
      </c>
      <c r="K93" s="64">
        <f>[3]酒店主体!N93</f>
        <v>66677.42</v>
      </c>
      <c r="L93" s="250">
        <f>[3]酒店主体!P93</f>
        <v>-0.66136257221710104</v>
      </c>
      <c r="M93" s="60">
        <f>[3]酒店主体!S93</f>
        <v>22579.47</v>
      </c>
      <c r="N93" s="64">
        <f>[3]酒店主体!T93</f>
        <v>83873</v>
      </c>
      <c r="O93" s="251">
        <f>[3]酒店主体!V93</f>
        <v>-0.73078976547875996</v>
      </c>
      <c r="P93" s="61">
        <f>[3]酒店主体!W93</f>
        <v>66677.42</v>
      </c>
      <c r="Q93" s="252">
        <f>[3]酒店主体!Y93</f>
        <v>-0.66136257221710104</v>
      </c>
      <c r="R93" s="57">
        <f>[3]酒店主体!Z93</f>
        <v>1049996</v>
      </c>
      <c r="S93" s="58">
        <f>[3]酒店主体!AA93</f>
        <v>2.1504339064148802E-2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spans="1:41" ht="16.5" customHeight="1">
      <c r="A94" s="47"/>
      <c r="B94" s="47"/>
      <c r="C94" s="204"/>
      <c r="D94" s="221"/>
      <c r="E94" s="49"/>
      <c r="F94" s="184"/>
      <c r="G94" s="234" t="s">
        <v>414</v>
      </c>
      <c r="H94" s="51">
        <f>[3]酒店主体!J94</f>
        <v>4301.3500000000004</v>
      </c>
      <c r="I94" s="55">
        <f>[3]酒店主体!K94</f>
        <v>3767.79</v>
      </c>
      <c r="J94" s="111">
        <f>[3]酒店主体!M94</f>
        <v>0.141610864724414</v>
      </c>
      <c r="K94" s="55">
        <f>[3]酒店主体!N94</f>
        <v>4541.32</v>
      </c>
      <c r="L94" s="112">
        <f>[3]酒店主体!P94</f>
        <v>-5.2841464596196597E-2</v>
      </c>
      <c r="M94" s="51">
        <f>[3]酒店主体!S94</f>
        <v>4301.3500000000004</v>
      </c>
      <c r="N94" s="55">
        <f>[3]酒店主体!T94</f>
        <v>3767.79</v>
      </c>
      <c r="O94" s="111">
        <f>[3]酒店主体!V94</f>
        <v>0.141610864724414</v>
      </c>
      <c r="P94" s="52">
        <f>[3]酒店主体!W94</f>
        <v>4541.32</v>
      </c>
      <c r="Q94" s="113">
        <f>[3]酒店主体!Y94</f>
        <v>-5.2841464596196597E-2</v>
      </c>
      <c r="R94" s="57">
        <f>[3]酒店主体!Z94</f>
        <v>51344.86</v>
      </c>
      <c r="S94" s="58">
        <f>[3]酒店主体!AA94</f>
        <v>8.3773721459168504E-2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spans="1:41" ht="16.5" customHeight="1">
      <c r="A95" s="47"/>
      <c r="B95" s="47"/>
      <c r="C95" s="204"/>
      <c r="D95" s="221"/>
      <c r="E95" s="49"/>
      <c r="F95" s="184"/>
      <c r="G95" s="274" t="s">
        <v>415</v>
      </c>
      <c r="H95" s="60">
        <f>[3]酒店主体!J95</f>
        <v>9059</v>
      </c>
      <c r="I95" s="64">
        <f>[3]酒店主体!K95</f>
        <v>3500</v>
      </c>
      <c r="J95" s="251">
        <f>[3]酒店主体!M95</f>
        <v>1.5882857142857101</v>
      </c>
      <c r="K95" s="64">
        <f>[3]酒店主体!N95</f>
        <v>-3747</v>
      </c>
      <c r="L95" s="250">
        <f>[3]酒店主体!P95</f>
        <v>3.4176674673071799</v>
      </c>
      <c r="M95" s="60">
        <f>[3]酒店主体!S95</f>
        <v>9059</v>
      </c>
      <c r="N95" s="64">
        <f>[3]酒店主体!T95</f>
        <v>3500</v>
      </c>
      <c r="O95" s="251">
        <f>[3]酒店主体!V95</f>
        <v>1.5882857142857101</v>
      </c>
      <c r="P95" s="61">
        <f>[3]酒店主体!W95</f>
        <v>-3747</v>
      </c>
      <c r="Q95" s="252">
        <f>[3]酒店主体!Y95</f>
        <v>3.4176674673071799</v>
      </c>
      <c r="R95" s="57">
        <f>[3]酒店主体!Z95</f>
        <v>44000</v>
      </c>
      <c r="S95" s="58">
        <f>[3]酒店主体!AA95</f>
        <v>0.20588636363636401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spans="1:41" ht="16.5" customHeight="1">
      <c r="A96" s="47"/>
      <c r="B96" s="47"/>
      <c r="C96" s="204"/>
      <c r="D96" s="221"/>
      <c r="E96" s="49"/>
      <c r="F96" s="184"/>
      <c r="G96" s="234" t="s">
        <v>416</v>
      </c>
      <c r="H96" s="51">
        <f>[3]酒店主体!J96</f>
        <v>109.84</v>
      </c>
      <c r="I96" s="55">
        <f>[3]酒店主体!K96</f>
        <v>6462.81</v>
      </c>
      <c r="J96" s="111">
        <f>[3]酒店主体!M96</f>
        <v>-0.983004296892528</v>
      </c>
      <c r="K96" s="55">
        <f>[3]酒店主体!N96</f>
        <v>338.78</v>
      </c>
      <c r="L96" s="112">
        <f>[3]酒店主体!P96</f>
        <v>-0.67577779089674705</v>
      </c>
      <c r="M96" s="51">
        <f>[3]酒店主体!S96</f>
        <v>109.84</v>
      </c>
      <c r="N96" s="55">
        <f>[3]酒店主体!T96</f>
        <v>6462.81</v>
      </c>
      <c r="O96" s="111">
        <f>[3]酒店主体!V96</f>
        <v>-0.983004296892528</v>
      </c>
      <c r="P96" s="52">
        <f>[3]酒店主体!W96</f>
        <v>338.78</v>
      </c>
      <c r="Q96" s="113">
        <f>[3]酒店主体!Y96</f>
        <v>-0.67577779089674705</v>
      </c>
      <c r="R96" s="57">
        <f>[3]酒店主体!Z96</f>
        <v>78591.210000000006</v>
      </c>
      <c r="S96" s="58">
        <f>[3]酒店主体!AA96</f>
        <v>1.3976117685425601E-3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spans="1:41" s="5" customFormat="1" ht="16.5" customHeight="1">
      <c r="A97" s="275"/>
      <c r="B97" s="275"/>
      <c r="C97" s="204"/>
      <c r="D97" s="221"/>
      <c r="E97" s="276"/>
      <c r="F97" s="184"/>
      <c r="G97" s="456" t="s">
        <v>417</v>
      </c>
      <c r="H97" s="457">
        <f>[3]酒店主体!J97</f>
        <v>170084.34</v>
      </c>
      <c r="I97" s="458">
        <f>[3]酒店主体!K97</f>
        <v>132119</v>
      </c>
      <c r="J97" s="459">
        <f>[3]酒店主体!M97</f>
        <v>0.28735715529181999</v>
      </c>
      <c r="K97" s="458">
        <f>[3]酒店主体!N97</f>
        <v>165331.75</v>
      </c>
      <c r="L97" s="460">
        <f>[3]酒店主体!P97</f>
        <v>2.8745779319459E-2</v>
      </c>
      <c r="M97" s="457">
        <f>[3]酒店主体!S97</f>
        <v>170084.34</v>
      </c>
      <c r="N97" s="458">
        <f>[3]酒店主体!T97</f>
        <v>132119</v>
      </c>
      <c r="O97" s="459">
        <f>[3]酒店主体!V97</f>
        <v>0.28735715529181999</v>
      </c>
      <c r="P97" s="461">
        <f>[3]酒店主体!W97</f>
        <v>165331.75</v>
      </c>
      <c r="Q97" s="462">
        <f>[3]酒店主体!Y97</f>
        <v>2.8745779319459E-2</v>
      </c>
      <c r="R97" s="454">
        <f>[3]酒店主体!Z97</f>
        <v>1841308</v>
      </c>
      <c r="S97" s="455">
        <f>[3]酒店主体!AA97</f>
        <v>9.2371477232489105E-2</v>
      </c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</row>
    <row r="98" spans="1:41" ht="16.5" customHeight="1">
      <c r="A98" s="47"/>
      <c r="B98" s="47"/>
      <c r="C98" s="204"/>
      <c r="D98" s="221"/>
      <c r="E98" s="49"/>
      <c r="F98" s="184"/>
      <c r="G98" s="234" t="s">
        <v>372</v>
      </c>
      <c r="H98" s="51">
        <f>[3]酒店主体!J98</f>
        <v>116304.88</v>
      </c>
      <c r="I98" s="55">
        <f>[3]酒店主体!K98</f>
        <v>84620</v>
      </c>
      <c r="J98" s="111">
        <f>[3]酒店主体!M98</f>
        <v>0.37443724887733398</v>
      </c>
      <c r="K98" s="55">
        <f>[3]酒店主体!N98</f>
        <v>103034.66</v>
      </c>
      <c r="L98" s="112">
        <f>[3]酒店主体!P98</f>
        <v>0.128793747657342</v>
      </c>
      <c r="M98" s="51">
        <f>[3]酒店主体!S98</f>
        <v>116304.88</v>
      </c>
      <c r="N98" s="55">
        <f>[3]酒店主体!T98</f>
        <v>84620</v>
      </c>
      <c r="O98" s="111">
        <f>[3]酒店主体!V98</f>
        <v>0.37443724887733398</v>
      </c>
      <c r="P98" s="52">
        <f>[3]酒店主体!W98</f>
        <v>103034.66</v>
      </c>
      <c r="Q98" s="113">
        <f>[3]酒店主体!Y98</f>
        <v>0.128793747657342</v>
      </c>
      <c r="R98" s="57">
        <f>[3]酒店主体!Z98</f>
        <v>1015440</v>
      </c>
      <c r="S98" s="58">
        <f>[3]酒店主体!AA98</f>
        <v>0.11453643740644499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spans="1:41" ht="16.5" customHeight="1">
      <c r="A99" s="47"/>
      <c r="B99" s="47"/>
      <c r="C99" s="204"/>
      <c r="D99" s="221"/>
      <c r="E99" s="49"/>
      <c r="F99" s="184"/>
      <c r="G99" s="274" t="s">
        <v>373</v>
      </c>
      <c r="H99" s="60">
        <f>[3]酒店主体!J99</f>
        <v>30817.09</v>
      </c>
      <c r="I99" s="64">
        <f>[3]酒店主体!K99</f>
        <v>27880</v>
      </c>
      <c r="J99" s="251">
        <f>[3]酒店主体!M99</f>
        <v>0.10534756097561</v>
      </c>
      <c r="K99" s="64">
        <f>[3]酒店主体!N99</f>
        <v>29706.36</v>
      </c>
      <c r="L99" s="250">
        <f>[3]酒店主体!P99</f>
        <v>3.7390309684524302E-2</v>
      </c>
      <c r="M99" s="60">
        <f>[3]酒店主体!S99</f>
        <v>30817.09</v>
      </c>
      <c r="N99" s="64">
        <f>[3]酒店主体!T99</f>
        <v>27880</v>
      </c>
      <c r="O99" s="251">
        <f>[3]酒店主体!V99</f>
        <v>0.10534756097561</v>
      </c>
      <c r="P99" s="61">
        <f>[3]酒店主体!W99</f>
        <v>29706.36</v>
      </c>
      <c r="Q99" s="252">
        <f>[3]酒店主体!Y99</f>
        <v>3.7390309684524302E-2</v>
      </c>
      <c r="R99" s="57">
        <f>[3]酒店主体!Z99</f>
        <v>334560</v>
      </c>
      <c r="S99" s="58">
        <f>[3]酒店主体!AA99</f>
        <v>9.2112296747967504E-2</v>
      </c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spans="1:41" ht="16.5" customHeight="1">
      <c r="A100" s="47"/>
      <c r="B100" s="47"/>
      <c r="C100" s="204"/>
      <c r="D100" s="221"/>
      <c r="E100" s="49"/>
      <c r="F100" s="184"/>
      <c r="G100" s="234" t="s">
        <v>406</v>
      </c>
      <c r="H100" s="51">
        <f>[3]酒店主体!J100</f>
        <v>22962.37</v>
      </c>
      <c r="I100" s="55">
        <f>[3]酒店主体!K100</f>
        <v>19619</v>
      </c>
      <c r="J100" s="111">
        <f>[3]酒店主体!M100</f>
        <v>0.17041490391967001</v>
      </c>
      <c r="K100" s="55">
        <f>[3]酒店主体!N100</f>
        <v>32590.73</v>
      </c>
      <c r="L100" s="112">
        <f>[3]酒店主体!P100</f>
        <v>-0.29543247420355401</v>
      </c>
      <c r="M100" s="51">
        <f>[3]酒店主体!S100</f>
        <v>22962.37</v>
      </c>
      <c r="N100" s="55">
        <f>[3]酒店主体!T100</f>
        <v>19619</v>
      </c>
      <c r="O100" s="111">
        <f>[3]酒店主体!V100</f>
        <v>0.17041490391967001</v>
      </c>
      <c r="P100" s="52">
        <f>[3]酒店主体!W100</f>
        <v>32590.73</v>
      </c>
      <c r="Q100" s="113">
        <f>[3]酒店主体!Y100</f>
        <v>-0.29543247420355401</v>
      </c>
      <c r="R100" s="57">
        <f>[3]酒店主体!Z100</f>
        <v>491308</v>
      </c>
      <c r="S100" s="58">
        <f>[3]酒店主体!AA100</f>
        <v>4.6737219829516299E-2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spans="1:41" s="5" customFormat="1" ht="16.5" customHeight="1">
      <c r="A101" s="275"/>
      <c r="B101" s="275"/>
      <c r="C101" s="204"/>
      <c r="D101" s="221"/>
      <c r="E101" s="276"/>
      <c r="F101" s="184"/>
      <c r="G101" s="463" t="s">
        <v>418</v>
      </c>
      <c r="H101" s="457">
        <f>[3]酒店主体!J101</f>
        <v>939636.01</v>
      </c>
      <c r="I101" s="458">
        <f>[3]酒店主体!K101</f>
        <v>780583.94</v>
      </c>
      <c r="J101" s="464">
        <f>[3]酒店主体!M101</f>
        <v>0.20376036688636001</v>
      </c>
      <c r="K101" s="458">
        <f>[3]酒店主体!N101</f>
        <v>962610.95</v>
      </c>
      <c r="L101" s="465">
        <f>[3]酒店主体!P101</f>
        <v>-2.3867316281826999E-2</v>
      </c>
      <c r="M101" s="457">
        <f>[3]酒店主体!S101</f>
        <v>939636.01</v>
      </c>
      <c r="N101" s="458">
        <f>[3]酒店主体!T101</f>
        <v>780583.94</v>
      </c>
      <c r="O101" s="464">
        <f>[3]酒店主体!V101</f>
        <v>0.20376036688636001</v>
      </c>
      <c r="P101" s="461">
        <f>[3]酒店主体!W101</f>
        <v>962610.95</v>
      </c>
      <c r="Q101" s="466">
        <f>[3]酒店主体!Y101</f>
        <v>-2.3867316281826999E-2</v>
      </c>
      <c r="R101" s="454">
        <f>[3]酒店主体!Z101</f>
        <v>5803093.7400000002</v>
      </c>
      <c r="S101" s="455">
        <f>[3]酒店主体!AA101</f>
        <v>0.16191984001967899</v>
      </c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</row>
    <row r="102" spans="1:41" s="5" customFormat="1" ht="16.5" customHeight="1">
      <c r="A102" s="275"/>
      <c r="B102" s="275"/>
      <c r="C102" s="204"/>
      <c r="D102" s="221"/>
      <c r="E102" s="276"/>
      <c r="F102" s="184"/>
      <c r="G102" s="456" t="s">
        <v>419</v>
      </c>
      <c r="H102" s="448">
        <f>[3]酒店主体!J102</f>
        <v>208670.48</v>
      </c>
      <c r="I102" s="449">
        <f>[3]酒店主体!K102</f>
        <v>222506</v>
      </c>
      <c r="J102" s="467">
        <f>[3]酒店主体!M102</f>
        <v>-6.2180435583759498E-2</v>
      </c>
      <c r="K102" s="449">
        <f>[3]酒店主体!N102</f>
        <v>216055.2</v>
      </c>
      <c r="L102" s="468">
        <f>[3]酒店主体!P102</f>
        <v>-3.4179783684910203E-2</v>
      </c>
      <c r="M102" s="448">
        <f>[3]酒店主体!S102</f>
        <v>208670.48</v>
      </c>
      <c r="N102" s="469">
        <f>[3]酒店主体!T102</f>
        <v>222506</v>
      </c>
      <c r="O102" s="467">
        <f>[3]酒店主体!V102</f>
        <v>-6.2180435583759498E-2</v>
      </c>
      <c r="P102" s="469">
        <f>[3]酒店主体!W102</f>
        <v>216055.2</v>
      </c>
      <c r="Q102" s="470">
        <f>[3]酒店主体!Y102</f>
        <v>-3.4179783684910203E-2</v>
      </c>
      <c r="R102" s="454">
        <f>[3]酒店主体!Z102</f>
        <v>3083192</v>
      </c>
      <c r="S102" s="455">
        <f>[3]酒店主体!AA102</f>
        <v>6.7680014737972902E-2</v>
      </c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</row>
    <row r="103" spans="1:41" ht="16.5" customHeight="1">
      <c r="A103" s="47"/>
      <c r="B103" s="47"/>
      <c r="C103" s="204"/>
      <c r="D103" s="221"/>
      <c r="E103" s="49"/>
      <c r="F103" s="184"/>
      <c r="G103" s="277" t="s">
        <v>372</v>
      </c>
      <c r="H103" s="60">
        <f>[3]酒店主体!J103</f>
        <v>96350.82</v>
      </c>
      <c r="I103" s="64">
        <f>[3]酒店主体!K103</f>
        <v>101400</v>
      </c>
      <c r="J103" s="251">
        <f>[3]酒店主体!M103</f>
        <v>-4.9794674556212899E-2</v>
      </c>
      <c r="K103" s="64">
        <f>[3]酒店主体!N103</f>
        <v>103725.44</v>
      </c>
      <c r="L103" s="250">
        <f>[3]酒店主体!P103</f>
        <v>-7.1097505105786898E-2</v>
      </c>
      <c r="M103" s="60">
        <f>[3]酒店主体!S103</f>
        <v>96350.82</v>
      </c>
      <c r="N103" s="64">
        <f>[3]酒店主体!T103</f>
        <v>101400</v>
      </c>
      <c r="O103" s="251">
        <f>[3]酒店主体!V103</f>
        <v>-4.9794674556212899E-2</v>
      </c>
      <c r="P103" s="61">
        <f>[3]酒店主体!W103</f>
        <v>103725.44</v>
      </c>
      <c r="Q103" s="252">
        <f>[3]酒店主体!Y103</f>
        <v>-7.1097505105786898E-2</v>
      </c>
      <c r="R103" s="57">
        <f>[3]酒店主体!Z103</f>
        <v>1239600</v>
      </c>
      <c r="S103" s="58">
        <f>[3]酒店主体!AA103</f>
        <v>7.7727347531461793E-2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spans="1:41" ht="16.5" customHeight="1">
      <c r="A104" s="47"/>
      <c r="B104" s="47"/>
      <c r="C104" s="204"/>
      <c r="D104" s="221"/>
      <c r="E104" s="49"/>
      <c r="F104" s="184"/>
      <c r="G104" s="234" t="s">
        <v>373</v>
      </c>
      <c r="H104" s="51">
        <f>[3]酒店主体!J104</f>
        <v>40154.199999999997</v>
      </c>
      <c r="I104" s="55">
        <f>[3]酒店主体!K104</f>
        <v>57704</v>
      </c>
      <c r="J104" s="111">
        <f>[3]酒店主体!M104</f>
        <v>-0.30413489532788002</v>
      </c>
      <c r="K104" s="55">
        <f>[3]酒店主体!N104</f>
        <v>48172.7</v>
      </c>
      <c r="L104" s="112">
        <f>[3]酒店主体!P104</f>
        <v>-0.166453198595885</v>
      </c>
      <c r="M104" s="51">
        <f>[3]酒店主体!S104</f>
        <v>40154.199999999997</v>
      </c>
      <c r="N104" s="55">
        <f>[3]酒店主体!T104</f>
        <v>57704</v>
      </c>
      <c r="O104" s="111">
        <f>[3]酒店主体!V104</f>
        <v>-0.30413489532788002</v>
      </c>
      <c r="P104" s="52">
        <f>[3]酒店主体!W104</f>
        <v>48172.7</v>
      </c>
      <c r="Q104" s="113">
        <f>[3]酒店主体!Y104</f>
        <v>-0.166453198595885</v>
      </c>
      <c r="R104" s="57">
        <f>[3]酒店主体!Z104</f>
        <v>703368</v>
      </c>
      <c r="S104" s="58">
        <f>[3]酒店主体!AA104</f>
        <v>5.7088465781781401E-2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spans="1:41" ht="16.5" customHeight="1">
      <c r="A105" s="47"/>
      <c r="B105" s="47"/>
      <c r="C105" s="204"/>
      <c r="D105" s="221"/>
      <c r="E105" s="49"/>
      <c r="F105" s="184"/>
      <c r="G105" s="274" t="s">
        <v>406</v>
      </c>
      <c r="H105" s="60">
        <f>[3]酒店主体!J105</f>
        <v>72165.460000000006</v>
      </c>
      <c r="I105" s="64">
        <f>[3]酒店主体!K105</f>
        <v>63402</v>
      </c>
      <c r="J105" s="251">
        <f>[3]酒店主体!M105</f>
        <v>0.13822056086558801</v>
      </c>
      <c r="K105" s="64">
        <f>[3]酒店主体!N105</f>
        <v>64157.06</v>
      </c>
      <c r="L105" s="250">
        <f>[3]酒店主体!P105</f>
        <v>0.124824921840246</v>
      </c>
      <c r="M105" s="60">
        <f>[3]酒店主体!S105</f>
        <v>72165.460000000006</v>
      </c>
      <c r="N105" s="278">
        <f>[3]酒店主体!T105</f>
        <v>63402</v>
      </c>
      <c r="O105" s="251">
        <f>[3]酒店主体!V105</f>
        <v>0.13822056086558801</v>
      </c>
      <c r="P105" s="61">
        <f>[3]酒店主体!W105</f>
        <v>64157.06</v>
      </c>
      <c r="Q105" s="252">
        <f>[3]酒店主体!Y105</f>
        <v>0.124824921840246</v>
      </c>
      <c r="R105" s="57">
        <f>[3]酒店主体!Z105</f>
        <v>1140224</v>
      </c>
      <c r="S105" s="58">
        <f>[3]酒店主体!AA105</f>
        <v>6.3290599040188605E-2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spans="1:41" s="5" customFormat="1" ht="16.5" customHeight="1">
      <c r="A106" s="253"/>
      <c r="B106" s="253"/>
      <c r="C106" s="204"/>
      <c r="D106" s="200"/>
      <c r="E106" s="254"/>
      <c r="F106" s="184"/>
      <c r="G106" s="399" t="s">
        <v>420</v>
      </c>
      <c r="H106" s="368">
        <f>[3]酒店主体!J106</f>
        <v>1585426.35</v>
      </c>
      <c r="I106" s="369">
        <f>[3]酒店主体!K106</f>
        <v>1433880.54</v>
      </c>
      <c r="J106" s="370">
        <f>[3]酒店主体!M106</f>
        <v>0.10568928566392299</v>
      </c>
      <c r="K106" s="369">
        <f>[3]酒店主体!N106</f>
        <v>1655901.24</v>
      </c>
      <c r="L106" s="371">
        <f>[3]酒店主体!P106</f>
        <v>-4.2559838894739799E-2</v>
      </c>
      <c r="M106" s="368">
        <f>[3]酒店主体!S106</f>
        <v>1585426.35</v>
      </c>
      <c r="N106" s="369">
        <f>[3]酒店主体!T106</f>
        <v>1433880.54</v>
      </c>
      <c r="O106" s="370">
        <f>[3]酒店主体!V106</f>
        <v>0.10568928566392299</v>
      </c>
      <c r="P106" s="369">
        <f>[3]酒店主体!W106</f>
        <v>1655901.24</v>
      </c>
      <c r="Q106" s="372">
        <f>[3]酒店主体!Y106</f>
        <v>-4.2559838894739799E-2</v>
      </c>
      <c r="R106" s="373">
        <f>[3]酒店主体!Z106</f>
        <v>14580341.810000001</v>
      </c>
      <c r="S106" s="374">
        <f>[3]酒店主体!AA106</f>
        <v>0.108737255316787</v>
      </c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</row>
    <row r="107" spans="1:41" s="11" customFormat="1" ht="16.5" customHeight="1">
      <c r="A107" s="125"/>
      <c r="B107" s="125"/>
      <c r="C107" s="235"/>
      <c r="D107" s="279"/>
      <c r="E107" s="127"/>
      <c r="F107" s="236"/>
      <c r="G107" s="280" t="s">
        <v>421</v>
      </c>
      <c r="H107" s="281">
        <f>[3]酒店主体!J107</f>
        <v>0.55986208157153805</v>
      </c>
      <c r="I107" s="282">
        <f>[3]酒店主体!K107</f>
        <v>0.53278729010514503</v>
      </c>
      <c r="J107" s="67">
        <f>[3]酒店主体!M107</f>
        <v>5.0817262290641201E-2</v>
      </c>
      <c r="K107" s="282">
        <f>[3]酒店主体!N107</f>
        <v>0.56289962265459403</v>
      </c>
      <c r="L107" s="69">
        <f>[3]酒店主体!P107</f>
        <v>-5.3962393307899498E-3</v>
      </c>
      <c r="M107" s="281">
        <f>[3]酒店主体!S107</f>
        <v>0.55986208157153805</v>
      </c>
      <c r="N107" s="282">
        <f>[3]酒店主体!T107</f>
        <v>0.53278729010514503</v>
      </c>
      <c r="O107" s="67">
        <f>[3]酒店主体!V107</f>
        <v>5.0817262290641201E-2</v>
      </c>
      <c r="P107" s="282">
        <f>[3]酒店主体!W107</f>
        <v>0.56289962265459403</v>
      </c>
      <c r="Q107" s="71">
        <f>[3]酒店主体!Y107</f>
        <v>-5.3962393307899498E-3</v>
      </c>
      <c r="R107" s="283">
        <f>[3]酒店主体!Z107</f>
        <v>0.39755645819193802</v>
      </c>
      <c r="S107" s="284">
        <f>[3]酒店主体!AA107</f>
        <v>1.40825804746766</v>
      </c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</row>
    <row r="108" spans="1:41" s="3" customFormat="1" ht="16.5" customHeight="1">
      <c r="A108" s="253"/>
      <c r="B108" s="253"/>
      <c r="C108" s="221"/>
      <c r="D108" s="221"/>
      <c r="E108" s="254"/>
      <c r="F108" s="184"/>
      <c r="G108" s="471" t="s">
        <v>422</v>
      </c>
      <c r="H108" s="472">
        <f>[3]酒店主体!J108</f>
        <v>-343047.74</v>
      </c>
      <c r="I108" s="473">
        <f>[3]酒店主体!K108</f>
        <v>-251910.2</v>
      </c>
      <c r="J108" s="474">
        <f>[3]酒店主体!M108</f>
        <v>-0.36178582685417199</v>
      </c>
      <c r="K108" s="473">
        <f>[3]酒店主体!N108</f>
        <v>-556666.38</v>
      </c>
      <c r="L108" s="475">
        <f>[3]酒店主体!P108</f>
        <v>0.38374625749807301</v>
      </c>
      <c r="M108" s="472">
        <f>[3]酒店主体!S108</f>
        <v>-343047.74</v>
      </c>
      <c r="N108" s="473">
        <f>[3]酒店主体!T108</f>
        <v>-251910.2</v>
      </c>
      <c r="O108" s="474">
        <f>[3]酒店主体!V108</f>
        <v>-0.36178582685417199</v>
      </c>
      <c r="P108" s="473">
        <f>[3]酒店主体!W108</f>
        <v>-556666.38</v>
      </c>
      <c r="Q108" s="476">
        <f>[3]酒店主体!Y108</f>
        <v>0.38374625749807301</v>
      </c>
      <c r="R108" s="477">
        <f>[3]酒店主体!Z108</f>
        <v>3299999.99</v>
      </c>
      <c r="S108" s="478">
        <f>[3]酒店主体!AA108</f>
        <v>-0.10395386092107201</v>
      </c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</row>
    <row r="109" spans="1:41" s="9" customFormat="1" ht="16.5" customHeight="1">
      <c r="A109" s="125"/>
      <c r="B109" s="125"/>
      <c r="C109" s="235"/>
      <c r="D109" s="279"/>
      <c r="E109" s="127"/>
      <c r="F109" s="236"/>
      <c r="G109" s="285" t="s">
        <v>423</v>
      </c>
      <c r="H109" s="286">
        <f>[3]酒店主体!J109</f>
        <v>-0.121140551117251</v>
      </c>
      <c r="I109" s="287">
        <f>[3]酒店主体!K109</f>
        <v>-9.3602325342838702E-2</v>
      </c>
      <c r="J109" s="130">
        <f>[3]酒店主体!M109</f>
        <v>-0.29420450478711602</v>
      </c>
      <c r="K109" s="287">
        <f>[3]酒店主体!N109</f>
        <v>-0.18923066646565101</v>
      </c>
      <c r="L109" s="132">
        <f>[3]酒店主体!P109</f>
        <v>0.35982600822663102</v>
      </c>
      <c r="M109" s="286">
        <f>[3]酒店主体!S109</f>
        <v>-0.121140551117251</v>
      </c>
      <c r="N109" s="287">
        <f>[3]酒店主体!T109</f>
        <v>-9.3602325342838702E-2</v>
      </c>
      <c r="O109" s="130">
        <f>[3]酒店主体!V109</f>
        <v>-0.29420450478711602</v>
      </c>
      <c r="P109" s="287">
        <f>[3]酒店主体!W109</f>
        <v>-0.18923066646565101</v>
      </c>
      <c r="Q109" s="133">
        <f>[3]酒店主体!Y109</f>
        <v>0.35982600822663102</v>
      </c>
      <c r="R109" s="288">
        <f>[3]酒店主体!Z109</f>
        <v>8.9979804668093105E-2</v>
      </c>
      <c r="S109" s="289">
        <f>[3]酒店主体!AA109</f>
        <v>-1.34630822509673</v>
      </c>
      <c r="T109" s="136"/>
      <c r="U109" s="136"/>
      <c r="V109" s="136"/>
      <c r="W109" s="136"/>
      <c r="X109" s="136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</row>
    <row r="110" spans="1:41" ht="16.5" customHeight="1">
      <c r="A110" s="47"/>
      <c r="B110" s="47"/>
      <c r="C110" s="204"/>
      <c r="D110" s="221"/>
      <c r="E110" s="49"/>
      <c r="F110" s="184"/>
      <c r="G110" s="222" t="s">
        <v>424</v>
      </c>
      <c r="H110" s="51">
        <f>[3]酒店主体!J110</f>
        <v>70069.05</v>
      </c>
      <c r="I110" s="55">
        <f>[3]酒店主体!K110</f>
        <v>72447.73</v>
      </c>
      <c r="J110" s="53">
        <f>[3]酒店主体!M110</f>
        <v>-3.2833050807803001E-2</v>
      </c>
      <c r="K110" s="55">
        <f>[3]酒店主体!N110</f>
        <v>65525.04</v>
      </c>
      <c r="L110" s="54">
        <f>[3]酒店主体!P110</f>
        <v>6.9347687540518899E-2</v>
      </c>
      <c r="M110" s="51">
        <f>[3]酒店主体!S110</f>
        <v>70069.05</v>
      </c>
      <c r="N110" s="55">
        <f>[3]酒店主体!T110</f>
        <v>72447.73</v>
      </c>
      <c r="O110" s="53">
        <f>[3]酒店主体!V110</f>
        <v>-3.2833050807803001E-2</v>
      </c>
      <c r="P110" s="55">
        <f>[3]酒店主体!W110</f>
        <v>65525.04</v>
      </c>
      <c r="Q110" s="56">
        <f>[3]酒店主体!Y110</f>
        <v>6.9347687540518899E-2</v>
      </c>
      <c r="R110" s="57">
        <f>[3]酒店主体!Z110</f>
        <v>988388.35</v>
      </c>
      <c r="S110" s="58">
        <f>[3]酒店主体!AA110</f>
        <v>7.0892225712696794E-2</v>
      </c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spans="1:41" s="3" customFormat="1" ht="16.5" customHeight="1">
      <c r="A111" s="275"/>
      <c r="B111" s="275"/>
      <c r="C111" s="221"/>
      <c r="D111" s="221"/>
      <c r="E111" s="276"/>
      <c r="F111" s="184"/>
      <c r="G111" s="471" t="s">
        <v>425</v>
      </c>
      <c r="H111" s="472">
        <f>[3]酒店主体!J111</f>
        <v>-413116.79</v>
      </c>
      <c r="I111" s="473">
        <f>[3]酒店主体!K111</f>
        <v>-324357.93</v>
      </c>
      <c r="J111" s="474">
        <f>[3]酒店主体!M111</f>
        <v>-0.27364479727688401</v>
      </c>
      <c r="K111" s="473">
        <f>[3]酒店主体!N111</f>
        <v>-622191.42000000004</v>
      </c>
      <c r="L111" s="475">
        <f>[3]酒店主体!P111</f>
        <v>0.33602943287131798</v>
      </c>
      <c r="M111" s="472">
        <f>[3]酒店主体!S111</f>
        <v>-413116.79</v>
      </c>
      <c r="N111" s="473">
        <f>[3]酒店主体!T111</f>
        <v>-324357.93</v>
      </c>
      <c r="O111" s="474">
        <f>[3]酒店主体!V111</f>
        <v>-0.27364479727688401</v>
      </c>
      <c r="P111" s="473">
        <f>[3]酒店主体!W111</f>
        <v>-622191.42000000004</v>
      </c>
      <c r="Q111" s="476">
        <f>[3]酒店主体!Y111</f>
        <v>0.33602943287131798</v>
      </c>
      <c r="R111" s="477">
        <f>[3]酒店主体!Z111</f>
        <v>2311611.64</v>
      </c>
      <c r="S111" s="478">
        <f>[3]酒店主体!AA111</f>
        <v>-0.17871375228063799</v>
      </c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</row>
    <row r="112" spans="1:41" ht="16.5" customHeight="1">
      <c r="A112" s="47"/>
      <c r="B112" s="47"/>
      <c r="C112" s="204"/>
      <c r="D112" s="221"/>
      <c r="E112" s="49"/>
      <c r="F112" s="184"/>
      <c r="G112" s="290" t="s">
        <v>426</v>
      </c>
      <c r="H112" s="51">
        <f>[3]酒店主体!J112</f>
        <v>0</v>
      </c>
      <c r="I112" s="55">
        <f>[3]酒店主体!K112</f>
        <v>0</v>
      </c>
      <c r="J112" s="53" t="str">
        <f>[3]酒店主体!M112</f>
        <v/>
      </c>
      <c r="K112" s="55">
        <f>[3]酒店主体!N112</f>
        <v>0</v>
      </c>
      <c r="L112" s="54" t="str">
        <f>[3]酒店主体!P112</f>
        <v/>
      </c>
      <c r="M112" s="51">
        <f>[3]酒店主体!S112</f>
        <v>0</v>
      </c>
      <c r="N112" s="55">
        <f>[3]酒店主体!T112</f>
        <v>0</v>
      </c>
      <c r="O112" s="53" t="str">
        <f>[3]酒店主体!V112</f>
        <v/>
      </c>
      <c r="P112" s="55">
        <f>[3]酒店主体!W112</f>
        <v>0</v>
      </c>
      <c r="Q112" s="56" t="str">
        <f>[3]酒店主体!Y112</f>
        <v/>
      </c>
      <c r="R112" s="57">
        <f>[3]酒店主体!Z112</f>
        <v>0</v>
      </c>
      <c r="S112" s="58" t="str">
        <f>[3]酒店主体!AA112</f>
        <v/>
      </c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spans="1:41" s="12" customFormat="1" ht="33" customHeight="1">
      <c r="A113" s="221"/>
      <c r="B113" s="221"/>
      <c r="C113" s="221"/>
      <c r="D113" s="221"/>
      <c r="E113" s="291"/>
      <c r="F113" s="184"/>
      <c r="G113" s="471" t="s">
        <v>427</v>
      </c>
      <c r="H113" s="472">
        <f>[3]酒店主体!J113</f>
        <v>-413116.79</v>
      </c>
      <c r="I113" s="473">
        <f>[3]酒店主体!K113</f>
        <v>-324357.93</v>
      </c>
      <c r="J113" s="474">
        <f>[3]酒店主体!M113</f>
        <v>-0.27364479727688401</v>
      </c>
      <c r="K113" s="473">
        <f>[3]酒店主体!N113</f>
        <v>-622191.42000000004</v>
      </c>
      <c r="L113" s="475">
        <f>[3]酒店主体!P113</f>
        <v>0.33602943287131798</v>
      </c>
      <c r="M113" s="472">
        <f>[3]酒店主体!S113</f>
        <v>-413116.79</v>
      </c>
      <c r="N113" s="473">
        <f>[3]酒店主体!T113</f>
        <v>-324357.93</v>
      </c>
      <c r="O113" s="474">
        <f>[3]酒店主体!V113</f>
        <v>-0.27364479727688401</v>
      </c>
      <c r="P113" s="473">
        <f>[3]酒店主体!W113</f>
        <v>-622191.42000000004</v>
      </c>
      <c r="Q113" s="476">
        <f>[3]酒店主体!Y113</f>
        <v>0.33602943287131798</v>
      </c>
      <c r="R113" s="477">
        <f>[3]酒店主体!Z113</f>
        <v>2311611.64</v>
      </c>
      <c r="S113" s="478">
        <f>[3]酒店主体!AA113</f>
        <v>-0.17871375228063799</v>
      </c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  <c r="AO113" s="221"/>
    </row>
    <row r="114" spans="1:41" s="5" customFormat="1" ht="16.5" customHeight="1">
      <c r="A114" s="292"/>
      <c r="B114" s="292"/>
      <c r="C114" s="204"/>
      <c r="D114" s="200"/>
      <c r="E114" s="291"/>
      <c r="F114" s="184"/>
      <c r="G114" s="479" t="s">
        <v>352</v>
      </c>
      <c r="H114" s="448">
        <f>[3]酒店主体!J114</f>
        <v>-416992.64</v>
      </c>
      <c r="I114" s="449">
        <f>[3]酒店主体!K114</f>
        <v>-384468.78</v>
      </c>
      <c r="J114" s="467">
        <f>[3]酒店主体!M114</f>
        <v>-8.4594280971266506E-2</v>
      </c>
      <c r="K114" s="449">
        <f>[3]酒店主体!N114</f>
        <v>-720957.83</v>
      </c>
      <c r="L114" s="468">
        <f>[3]酒店主体!P114</f>
        <v>0.42161299503467498</v>
      </c>
      <c r="M114" s="448">
        <f>[3]酒店主体!S114</f>
        <v>-416992.64</v>
      </c>
      <c r="N114" s="449">
        <f>[3]酒店主体!T114</f>
        <v>-384468.78</v>
      </c>
      <c r="O114" s="467">
        <f>[3]酒店主体!V114</f>
        <v>-8.4594280971266506E-2</v>
      </c>
      <c r="P114" s="449">
        <f>[3]酒店主体!W114</f>
        <v>-720957.83</v>
      </c>
      <c r="Q114" s="470">
        <f>[3]酒店主体!Y114</f>
        <v>0.42161299503467498</v>
      </c>
      <c r="R114" s="454">
        <f>[3]酒店主体!Z114</f>
        <v>-5239270.87</v>
      </c>
      <c r="S114" s="455">
        <f>[3]酒店主体!AA114</f>
        <v>1.9204101772275799</v>
      </c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</row>
    <row r="115" spans="1:41" ht="16.5" customHeight="1">
      <c r="C115" s="204"/>
      <c r="D115" s="221"/>
      <c r="F115" s="184"/>
      <c r="G115" s="222" t="s">
        <v>428</v>
      </c>
      <c r="H115" s="51">
        <f>[3]酒店主体!J115</f>
        <v>1293.29</v>
      </c>
      <c r="I115" s="55">
        <f>[3]酒店主体!K115</f>
        <v>0</v>
      </c>
      <c r="J115" s="111" t="str">
        <f>[3]酒店主体!M115</f>
        <v/>
      </c>
      <c r="K115" s="55">
        <f>[3]酒店主体!N115</f>
        <v>23562.07</v>
      </c>
      <c r="L115" s="112">
        <f>[3]酒店主体!P115</f>
        <v>-0.94511135906140697</v>
      </c>
      <c r="M115" s="51">
        <f>[3]酒店主体!S115</f>
        <v>1293.29</v>
      </c>
      <c r="N115" s="55">
        <f>[3]酒店主体!T115</f>
        <v>0</v>
      </c>
      <c r="O115" s="111" t="str">
        <f>[3]酒店主体!V115</f>
        <v/>
      </c>
      <c r="P115" s="55">
        <f>[3]酒店主体!W115</f>
        <v>23562.07</v>
      </c>
      <c r="Q115" s="113">
        <f>[3]酒店主体!Y115</f>
        <v>-0.94511135906140697</v>
      </c>
      <c r="R115" s="57">
        <f>[3]酒店主体!Z115</f>
        <v>0</v>
      </c>
      <c r="S115" s="58" t="str">
        <f>[3]酒店主体!AA115</f>
        <v/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spans="1:41" ht="16.5" customHeight="1">
      <c r="C116" s="204"/>
      <c r="D116" s="221"/>
      <c r="F116" s="184"/>
      <c r="G116" s="293" t="s">
        <v>429</v>
      </c>
      <c r="H116" s="103">
        <f>[3]酒店主体!J116</f>
        <v>418282.09</v>
      </c>
      <c r="I116" s="104">
        <f>[3]酒店主体!K116</f>
        <v>384468.78</v>
      </c>
      <c r="J116" s="105">
        <f>[3]酒店主体!M116</f>
        <v>8.7948129364366107E-2</v>
      </c>
      <c r="K116" s="104">
        <f>[3]酒店主体!N116</f>
        <v>717711.92</v>
      </c>
      <c r="L116" s="106">
        <f>[3]酒店主体!P116</f>
        <v>-0.41720058097962198</v>
      </c>
      <c r="M116" s="103">
        <f>[3]酒店主体!S116</f>
        <v>418282.09</v>
      </c>
      <c r="N116" s="104">
        <f>[3]酒店主体!T116</f>
        <v>384468.78</v>
      </c>
      <c r="O116" s="105">
        <f>[3]酒店主体!V116</f>
        <v>8.7948129364366107E-2</v>
      </c>
      <c r="P116" s="104">
        <f>[3]酒店主体!W116</f>
        <v>717711.92</v>
      </c>
      <c r="Q116" s="107">
        <f>[3]酒店主体!Y116</f>
        <v>-0.41720058097962198</v>
      </c>
      <c r="R116" s="57">
        <f>[3]酒店主体!Z116</f>
        <v>5239270.87</v>
      </c>
      <c r="S116" s="58">
        <f>[3]酒店主体!AA116</f>
        <v>7.98359352624958E-2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spans="1:41" ht="16.5" customHeight="1">
      <c r="C117" s="204"/>
      <c r="D117" s="221"/>
      <c r="F117" s="184"/>
      <c r="G117" s="222" t="s">
        <v>430</v>
      </c>
      <c r="H117" s="51">
        <f>[3]酒店主体!J117</f>
        <v>0</v>
      </c>
      <c r="I117" s="55">
        <f>[3]酒店主体!K117</f>
        <v>0</v>
      </c>
      <c r="J117" s="111" t="str">
        <f>[3]酒店主体!M117</f>
        <v/>
      </c>
      <c r="K117" s="55">
        <f>[3]酒店主体!N117</f>
        <v>0</v>
      </c>
      <c r="L117" s="112" t="str">
        <f>[3]酒店主体!P117</f>
        <v/>
      </c>
      <c r="M117" s="51">
        <f>[3]酒店主体!S117</f>
        <v>0</v>
      </c>
      <c r="N117" s="55">
        <f>[3]酒店主体!T117</f>
        <v>0</v>
      </c>
      <c r="O117" s="111" t="str">
        <f>[3]酒店主体!V117</f>
        <v/>
      </c>
      <c r="P117" s="55">
        <f>[3]酒店主体!W117</f>
        <v>0</v>
      </c>
      <c r="Q117" s="113" t="str">
        <f>[3]酒店主体!Y117</f>
        <v/>
      </c>
      <c r="R117" s="57">
        <f>[3]酒店主体!Z117</f>
        <v>0</v>
      </c>
      <c r="S117" s="58" t="str">
        <f>[3]酒店主体!AA117</f>
        <v/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spans="1:41" ht="16.5" customHeight="1">
      <c r="C118" s="204"/>
      <c r="D118" s="221"/>
      <c r="F118" s="184"/>
      <c r="G118" s="222" t="s">
        <v>431</v>
      </c>
      <c r="H118" s="51">
        <f>[3]酒店主体!J118</f>
        <v>0</v>
      </c>
      <c r="I118" s="55">
        <f>[3]酒店主体!K118</f>
        <v>0</v>
      </c>
      <c r="J118" s="111" t="str">
        <f>[3]酒店主体!M118</f>
        <v/>
      </c>
      <c r="K118" s="55">
        <f>[3]酒店主体!N118</f>
        <v>0</v>
      </c>
      <c r="L118" s="112" t="str">
        <f>[3]酒店主体!P118</f>
        <v/>
      </c>
      <c r="M118" s="51">
        <f>[3]酒店主体!S118</f>
        <v>0</v>
      </c>
      <c r="N118" s="55">
        <f>[3]酒店主体!T118</f>
        <v>0</v>
      </c>
      <c r="O118" s="111" t="str">
        <f>[3]酒店主体!V118</f>
        <v/>
      </c>
      <c r="P118" s="55">
        <f>[3]酒店主体!W118</f>
        <v>0</v>
      </c>
      <c r="Q118" s="113" t="str">
        <f>[3]酒店主体!Y118</f>
        <v/>
      </c>
      <c r="R118" s="57">
        <f>[3]酒店主体!Z118</f>
        <v>0</v>
      </c>
      <c r="S118" s="58" t="str">
        <f>[3]酒店主体!AA118</f>
        <v/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spans="1:41" ht="16.5" customHeight="1">
      <c r="C119" s="204"/>
      <c r="D119" s="221"/>
      <c r="F119" s="184"/>
      <c r="G119" s="222" t="s">
        <v>432</v>
      </c>
      <c r="H119" s="51">
        <f>[3]酒店主体!J119</f>
        <v>0</v>
      </c>
      <c r="I119" s="55">
        <f>[3]酒店主体!K119</f>
        <v>0</v>
      </c>
      <c r="J119" s="111" t="str">
        <f>[3]酒店主体!M119</f>
        <v/>
      </c>
      <c r="K119" s="55">
        <f>[3]酒店主体!N119</f>
        <v>26387.98</v>
      </c>
      <c r="L119" s="112">
        <f>[3]酒店主体!P119</f>
        <v>-1</v>
      </c>
      <c r="M119" s="51">
        <f>[3]酒店主体!S119</f>
        <v>0</v>
      </c>
      <c r="N119" s="55">
        <f>[3]酒店主体!T119</f>
        <v>0</v>
      </c>
      <c r="O119" s="111" t="str">
        <f>[3]酒店主体!V119</f>
        <v/>
      </c>
      <c r="P119" s="55">
        <f>[3]酒店主体!W119</f>
        <v>26387.98</v>
      </c>
      <c r="Q119" s="113">
        <f>[3]酒店主体!Y119</f>
        <v>-1</v>
      </c>
      <c r="R119" s="57">
        <f>[3]酒店主体!Z119</f>
        <v>0</v>
      </c>
      <c r="S119" s="58" t="str">
        <f>[3]酒店主体!AA119</f>
        <v/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spans="1:41" ht="16.5" customHeight="1">
      <c r="C120" s="204"/>
      <c r="D120" s="221"/>
      <c r="F120" s="184"/>
      <c r="G120" s="222" t="s">
        <v>433</v>
      </c>
      <c r="H120" s="51">
        <f>[3]酒店主体!J120</f>
        <v>3.84</v>
      </c>
      <c r="I120" s="55">
        <f>[3]酒店主体!K120</f>
        <v>0</v>
      </c>
      <c r="J120" s="111" t="str">
        <f>[3]酒店主体!M120</f>
        <v/>
      </c>
      <c r="K120" s="55">
        <f>[3]酒店主体!N120</f>
        <v>420</v>
      </c>
      <c r="L120" s="112">
        <f>[3]酒店主体!P120</f>
        <v>-0.99085714285714299</v>
      </c>
      <c r="M120" s="51">
        <f>[3]酒店主体!S120</f>
        <v>3.84</v>
      </c>
      <c r="N120" s="55">
        <f>[3]酒店主体!T120</f>
        <v>0</v>
      </c>
      <c r="O120" s="111" t="str">
        <f>[3]酒店主体!V120</f>
        <v/>
      </c>
      <c r="P120" s="55">
        <f>[3]酒店主体!W120</f>
        <v>420</v>
      </c>
      <c r="Q120" s="113">
        <f>[3]酒店主体!Y120</f>
        <v>-0.99085714285714299</v>
      </c>
      <c r="R120" s="57">
        <f>[3]酒店主体!Z120</f>
        <v>0</v>
      </c>
      <c r="S120" s="58" t="str">
        <f>[3]酒店主体!AA120</f>
        <v/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spans="1:41" ht="16.5" customHeight="1">
      <c r="A121" s="221"/>
      <c r="B121" s="221"/>
      <c r="C121" s="204"/>
      <c r="D121" s="221"/>
      <c r="E121" s="291"/>
      <c r="F121" s="184"/>
      <c r="G121" s="471" t="s">
        <v>434</v>
      </c>
      <c r="H121" s="472">
        <f>[3]酒店主体!J121</f>
        <v>-830109.43</v>
      </c>
      <c r="I121" s="473">
        <f>[3]酒店主体!K121</f>
        <v>-708826.71</v>
      </c>
      <c r="J121" s="474">
        <f>[3]酒店主体!M121</f>
        <v>-0.17110348451739299</v>
      </c>
      <c r="K121" s="473">
        <f>[3]酒店主体!N121</f>
        <v>-1343149.25</v>
      </c>
      <c r="L121" s="475">
        <f>[3]酒店主体!P121</f>
        <v>0.38196784162296199</v>
      </c>
      <c r="M121" s="472">
        <f>[3]酒店主体!S121</f>
        <v>-830109.43</v>
      </c>
      <c r="N121" s="473">
        <f>[3]酒店主体!T121</f>
        <v>-708826.71</v>
      </c>
      <c r="O121" s="474">
        <f>[3]酒店主体!V121</f>
        <v>-0.17110348451739299</v>
      </c>
      <c r="P121" s="473">
        <f>[3]酒店主体!W121</f>
        <v>-1343149.25</v>
      </c>
      <c r="Q121" s="476">
        <f>[3]酒店主体!Y121</f>
        <v>0.38196784162296199</v>
      </c>
      <c r="R121" s="477">
        <f>[3]酒店主体!Z121</f>
        <v>-2927659.23</v>
      </c>
      <c r="S121" s="478">
        <f>[3]酒店主体!AA121</f>
        <v>1.7164596816822799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spans="1:41" s="9" customFormat="1" ht="16.5" customHeight="1">
      <c r="A122" s="294"/>
      <c r="B122" s="294"/>
      <c r="C122" s="235"/>
      <c r="D122" s="279"/>
      <c r="E122" s="295"/>
      <c r="F122" s="236"/>
      <c r="G122" s="480" t="s">
        <v>435</v>
      </c>
      <c r="H122" s="481">
        <f>[3]酒店主体!J122</f>
        <v>-0.29313679150845701</v>
      </c>
      <c r="I122" s="482">
        <f>[3]酒店主体!K122</f>
        <v>-0.26337888787795799</v>
      </c>
      <c r="J122" s="483">
        <f>[3]酒店主体!M122</f>
        <v>-0.11298515181022201</v>
      </c>
      <c r="K122" s="482">
        <f>[3]酒店主体!N122</f>
        <v>-0.45658411729542597</v>
      </c>
      <c r="L122" s="484">
        <f>[3]酒店主体!P122</f>
        <v>0.35797856209968199</v>
      </c>
      <c r="M122" s="481">
        <f>[3]酒店主体!S122</f>
        <v>-0.29313679150845701</v>
      </c>
      <c r="N122" s="482">
        <f>[3]酒店主体!T122</f>
        <v>-0.26337888787795799</v>
      </c>
      <c r="O122" s="483">
        <f>[3]酒店主体!V122</f>
        <v>-0.11298515181022201</v>
      </c>
      <c r="P122" s="482">
        <f>[3]酒店主体!W122</f>
        <v>-0.45658411729542597</v>
      </c>
      <c r="Q122" s="485">
        <f>[3]酒店主体!Y122</f>
        <v>0.35797856209968199</v>
      </c>
      <c r="R122" s="486">
        <f>[3]酒店主体!Z122</f>
        <v>-7.9827335287397702E-2</v>
      </c>
      <c r="S122" s="487">
        <f>[3]酒店主体!AA122</f>
        <v>-1.67213549660769</v>
      </c>
      <c r="T122" s="136"/>
      <c r="U122" s="136"/>
      <c r="V122" s="136"/>
      <c r="W122" s="136"/>
      <c r="X122" s="136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7"/>
      <c r="AL122" s="237"/>
      <c r="AM122" s="237"/>
      <c r="AN122" s="237"/>
      <c r="AO122" s="237"/>
    </row>
    <row r="123" spans="1:41" ht="16.5" customHeight="1">
      <c r="C123" s="204"/>
      <c r="D123" s="221"/>
      <c r="F123" s="184"/>
      <c r="G123" s="248" t="s">
        <v>436</v>
      </c>
      <c r="H123" s="60">
        <f>[3]酒店主体!J123</f>
        <v>103771.03694999999</v>
      </c>
      <c r="I123" s="64">
        <f>[3]酒店主体!K123</f>
        <v>99829.550449999995</v>
      </c>
      <c r="J123" s="251">
        <f>[3]酒店主体!M123</f>
        <v>3.9482162167745201E-2</v>
      </c>
      <c r="K123" s="64">
        <f>[3]酒店主体!N123</f>
        <v>107941.5876</v>
      </c>
      <c r="L123" s="250">
        <f>[3]酒店主体!P123</f>
        <v>-3.8637106816094197E-2</v>
      </c>
      <c r="M123" s="60">
        <f>[3]酒店主体!S123</f>
        <v>103771.03694999999</v>
      </c>
      <c r="N123" s="64">
        <f>[3]酒店主体!T123</f>
        <v>99829.550449999995</v>
      </c>
      <c r="O123" s="296">
        <f>[3]酒店主体!V123</f>
        <v>3.9482162167745201E-2</v>
      </c>
      <c r="P123" s="64">
        <f>[3]酒店主体!W123</f>
        <v>107941.5876</v>
      </c>
      <c r="Q123" s="297">
        <f>[3]酒店主体!Y123</f>
        <v>-3.8637106816094197E-2</v>
      </c>
      <c r="R123" s="57">
        <f>[3]酒店主体!Z123</f>
        <v>1361952.4604</v>
      </c>
      <c r="S123" s="58">
        <f>[3]酒店主体!AA123</f>
        <v>7.6192848111249697E-2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spans="1:41" s="5" customFormat="1" ht="16.5" customHeight="1">
      <c r="A124" s="292"/>
      <c r="B124" s="292"/>
      <c r="C124" s="204"/>
      <c r="D124" s="221"/>
      <c r="E124" s="291"/>
      <c r="F124" s="184"/>
      <c r="G124" s="488" t="s">
        <v>355</v>
      </c>
      <c r="H124" s="489">
        <f>[3]酒店主体!J124</f>
        <v>-933880.46695000003</v>
      </c>
      <c r="I124" s="490">
        <f>[3]酒店主体!K124</f>
        <v>-808656.26044999994</v>
      </c>
      <c r="J124" s="491">
        <f>[3]酒店主体!M124</f>
        <v>-0.15485468007174699</v>
      </c>
      <c r="K124" s="490">
        <f>[3]酒店主体!N124</f>
        <v>-1451090.8376</v>
      </c>
      <c r="L124" s="492">
        <f>[3]酒店主体!P124</f>
        <v>0.35642866542071799</v>
      </c>
      <c r="M124" s="489">
        <f>[3]酒店主体!S124</f>
        <v>-933880.46695000003</v>
      </c>
      <c r="N124" s="490">
        <f>[3]酒店主体!T124</f>
        <v>-808656.26044999994</v>
      </c>
      <c r="O124" s="491">
        <f>[3]酒店主体!V124</f>
        <v>-0.15485468007174699</v>
      </c>
      <c r="P124" s="490">
        <f>[3]酒店主体!W124</f>
        <v>-1451090.8376</v>
      </c>
      <c r="Q124" s="493">
        <f>[3]酒店主体!Y124</f>
        <v>0.35642866542071799</v>
      </c>
      <c r="R124" s="477">
        <f>[3]酒店主体!Z124</f>
        <v>-4289611.6903999997</v>
      </c>
      <c r="S124" s="478">
        <f>[3]酒店主体!AA124</f>
        <v>1.78229253966274</v>
      </c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</row>
    <row r="125" spans="1:41" s="5" customFormat="1" ht="16.5" customHeight="1">
      <c r="A125" s="298"/>
      <c r="B125" s="298"/>
      <c r="C125" s="204"/>
      <c r="D125" s="221"/>
      <c r="E125" s="15"/>
      <c r="F125" s="184"/>
      <c r="G125" s="479" t="s">
        <v>356</v>
      </c>
      <c r="H125" s="448">
        <f>[3]酒店主体!J125</f>
        <v>191741.14</v>
      </c>
      <c r="I125" s="449">
        <f>[3]酒店主体!K125</f>
        <v>202888.32000000001</v>
      </c>
      <c r="J125" s="467">
        <f>[3]酒店主体!M125</f>
        <v>-5.4942443212107998E-2</v>
      </c>
      <c r="K125" s="449">
        <f>[3]酒店主体!N125</f>
        <v>216043.94</v>
      </c>
      <c r="L125" s="468">
        <f>[3]酒店主体!P125</f>
        <v>-0.11249007956437</v>
      </c>
      <c r="M125" s="448">
        <f>[3]酒店主体!S125</f>
        <v>191741.14</v>
      </c>
      <c r="N125" s="449">
        <f>[3]酒店主体!T125</f>
        <v>202888.32000000001</v>
      </c>
      <c r="O125" s="467">
        <f>[3]酒店主体!V125</f>
        <v>-5.4942443212107998E-2</v>
      </c>
      <c r="P125" s="449">
        <f>[3]酒店主体!W125</f>
        <v>216043.94</v>
      </c>
      <c r="Q125" s="470">
        <f>[3]酒店主体!Y125</f>
        <v>-0.11249007956437</v>
      </c>
      <c r="R125" s="454">
        <f>[3]酒店主体!Z125</f>
        <v>2238154.92</v>
      </c>
      <c r="S125" s="455">
        <f>[3]酒店主体!AA125</f>
        <v>8.5669288701427301E-2</v>
      </c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</row>
    <row r="126" spans="1:41" ht="16.5" customHeight="1">
      <c r="C126" s="204"/>
      <c r="D126" s="221"/>
      <c r="F126" s="184"/>
      <c r="G126" s="222" t="s">
        <v>437</v>
      </c>
      <c r="H126" s="51">
        <f>[3]酒店主体!J126</f>
        <v>0</v>
      </c>
      <c r="I126" s="55">
        <f>[3]酒店主体!K126</f>
        <v>0</v>
      </c>
      <c r="J126" s="111" t="str">
        <f>[3]酒店主体!M126</f>
        <v/>
      </c>
      <c r="K126" s="55">
        <f>[3]酒店主体!N126</f>
        <v>0</v>
      </c>
      <c r="L126" s="112" t="str">
        <f>[3]酒店主体!P126</f>
        <v/>
      </c>
      <c r="M126" s="51">
        <f>[3]酒店主体!S126</f>
        <v>0</v>
      </c>
      <c r="N126" s="55">
        <f>[3]酒店主体!T126</f>
        <v>0</v>
      </c>
      <c r="O126" s="111" t="str">
        <f>[3]酒店主体!V126</f>
        <v/>
      </c>
      <c r="P126" s="55">
        <f>[3]酒店主体!W126</f>
        <v>0</v>
      </c>
      <c r="Q126" s="113" t="str">
        <f>[3]酒店主体!Y126</f>
        <v/>
      </c>
      <c r="R126" s="57">
        <f>[3]酒店主体!Z126</f>
        <v>0</v>
      </c>
      <c r="S126" s="58" t="str">
        <f>[3]酒店主体!AA126</f>
        <v/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spans="1:41" ht="16.5" customHeight="1">
      <c r="C127" s="204"/>
      <c r="D127" s="221"/>
      <c r="F127" s="184"/>
      <c r="G127" s="222" t="s">
        <v>438</v>
      </c>
      <c r="H127" s="51">
        <f>[3]酒店主体!J127</f>
        <v>0</v>
      </c>
      <c r="I127" s="55">
        <f>[3]酒店主体!K127</f>
        <v>0</v>
      </c>
      <c r="J127" s="111" t="str">
        <f>[3]酒店主体!M127</f>
        <v/>
      </c>
      <c r="K127" s="55">
        <f>[3]酒店主体!N127</f>
        <v>0</v>
      </c>
      <c r="L127" s="112" t="str">
        <f>[3]酒店主体!P127</f>
        <v/>
      </c>
      <c r="M127" s="51">
        <f>[3]酒店主体!S127</f>
        <v>0</v>
      </c>
      <c r="N127" s="55">
        <f>[3]酒店主体!T127</f>
        <v>0</v>
      </c>
      <c r="O127" s="111" t="str">
        <f>[3]酒店主体!V127</f>
        <v/>
      </c>
      <c r="P127" s="55">
        <f>[3]酒店主体!W127</f>
        <v>0</v>
      </c>
      <c r="Q127" s="113" t="str">
        <f>[3]酒店主体!Y127</f>
        <v/>
      </c>
      <c r="R127" s="57">
        <f>[3]酒店主体!Z127</f>
        <v>0</v>
      </c>
      <c r="S127" s="58" t="str">
        <f>[3]酒店主体!AA127</f>
        <v/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spans="1:41" ht="16.5" customHeight="1">
      <c r="C128" s="204"/>
      <c r="D128" s="221"/>
      <c r="F128" s="184"/>
      <c r="G128" s="299" t="s">
        <v>439</v>
      </c>
      <c r="H128" s="60">
        <f>[3]酒店主体!J128</f>
        <v>17506.46</v>
      </c>
      <c r="I128" s="64">
        <f>[3]酒店主体!K128</f>
        <v>15043</v>
      </c>
      <c r="J128" s="251">
        <f>[3]酒店主体!M128</f>
        <v>0.163761217842186</v>
      </c>
      <c r="K128" s="104">
        <f>[3]酒店主体!N128</f>
        <v>16628.66</v>
      </c>
      <c r="L128" s="250">
        <f>[3]酒店主体!P128</f>
        <v>5.2788378618601597E-2</v>
      </c>
      <c r="M128" s="60">
        <f>[3]酒店主体!S128</f>
        <v>17506.46</v>
      </c>
      <c r="N128" s="64">
        <f>[3]酒店主体!T128</f>
        <v>15043</v>
      </c>
      <c r="O128" s="251">
        <f>[3]酒店主体!V128</f>
        <v>0.163761217842186</v>
      </c>
      <c r="P128" s="64">
        <f>[3]酒店主体!W128</f>
        <v>16628.66</v>
      </c>
      <c r="Q128" s="252">
        <f>[3]酒店主体!Y128</f>
        <v>5.2788378618601597E-2</v>
      </c>
      <c r="R128" s="57">
        <f>[3]酒店主体!Z128</f>
        <v>171869</v>
      </c>
      <c r="S128" s="58">
        <f>[3]酒店主体!AA128</f>
        <v>0.101859323089097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spans="1:41" ht="16.5" customHeight="1">
      <c r="C129" s="204"/>
      <c r="D129" s="221"/>
      <c r="F129" s="184"/>
      <c r="G129" s="222" t="s">
        <v>440</v>
      </c>
      <c r="H129" s="51">
        <f>[3]酒店主体!J129</f>
        <v>174234.68</v>
      </c>
      <c r="I129" s="55">
        <f>[3]酒店主体!K129</f>
        <v>187845.32</v>
      </c>
      <c r="J129" s="246">
        <f>[3]酒店主体!M129</f>
        <v>-7.2456636130194693E-2</v>
      </c>
      <c r="K129" s="55">
        <f>[3]酒店主体!N129</f>
        <v>199415.28</v>
      </c>
      <c r="L129" s="112">
        <f>[3]酒店主体!P129</f>
        <v>-0.12627216931420701</v>
      </c>
      <c r="M129" s="51">
        <f>[3]酒店主体!S129</f>
        <v>174234.68</v>
      </c>
      <c r="N129" s="55">
        <f>[3]酒店主体!T129</f>
        <v>187845.32</v>
      </c>
      <c r="O129" s="111">
        <f>[3]酒店主体!V129</f>
        <v>-7.2456636130194693E-2</v>
      </c>
      <c r="P129" s="55">
        <f>[3]酒店主体!W129</f>
        <v>199415.28</v>
      </c>
      <c r="Q129" s="113">
        <f>[3]酒店主体!Y129</f>
        <v>-0.12627216931420701</v>
      </c>
      <c r="R129" s="57">
        <f>[3]酒店主体!Z129</f>
        <v>2066285.92</v>
      </c>
      <c r="S129" s="58">
        <f>[3]酒店主体!AA129</f>
        <v>8.4322638175843595E-2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spans="1:41" ht="16.5" customHeight="1">
      <c r="A130" s="221"/>
      <c r="B130" s="221"/>
      <c r="C130" s="204"/>
      <c r="D130" s="221"/>
      <c r="E130" s="291"/>
      <c r="F130" s="184"/>
      <c r="G130" s="471" t="s">
        <v>441</v>
      </c>
      <c r="H130" s="494">
        <f>[3]酒店主体!J130</f>
        <v>-1021850.57</v>
      </c>
      <c r="I130" s="495">
        <f>[3]酒店主体!K130</f>
        <v>-911715.03</v>
      </c>
      <c r="J130" s="496">
        <f>[3]酒店主体!M130</f>
        <v>-0.120800399659968</v>
      </c>
      <c r="K130" s="473">
        <f>[3]酒店主体!N130</f>
        <v>-1559193.19</v>
      </c>
      <c r="L130" s="475">
        <f>[3]酒店主体!P130</f>
        <v>0.34462863450551601</v>
      </c>
      <c r="M130" s="497">
        <f>[3]酒店主体!S130</f>
        <v>-1021850.57</v>
      </c>
      <c r="N130" s="473">
        <f>[3]酒店主体!T130</f>
        <v>-911715.03</v>
      </c>
      <c r="O130" s="474">
        <f>[3]酒店主体!V130</f>
        <v>-0.120800399659968</v>
      </c>
      <c r="P130" s="473">
        <f>[3]酒店主体!W130</f>
        <v>-1559193.19</v>
      </c>
      <c r="Q130" s="476">
        <f>[3]酒店主体!Y130</f>
        <v>0.34462863450551601</v>
      </c>
      <c r="R130" s="477">
        <f>[3]酒店主体!Z130</f>
        <v>-5165814.1500000004</v>
      </c>
      <c r="S130" s="478">
        <f>[3]酒店主体!AA130</f>
        <v>1.8021898310066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spans="1:41" ht="16.5" customHeight="1">
      <c r="C131" s="204"/>
      <c r="D131" s="221"/>
      <c r="F131" s="184"/>
      <c r="G131" s="300" t="s">
        <v>442</v>
      </c>
      <c r="H131" s="301">
        <f>[3]酒店主体!J131</f>
        <v>0</v>
      </c>
      <c r="I131" s="302">
        <f>[3]酒店主体!K131</f>
        <v>0</v>
      </c>
      <c r="J131" s="246" t="str">
        <f>[3]酒店主体!M131</f>
        <v/>
      </c>
      <c r="K131" s="55">
        <f>[3]酒店主体!N131</f>
        <v>0</v>
      </c>
      <c r="L131" s="106" t="str">
        <f>[3]酒店主体!P131</f>
        <v/>
      </c>
      <c r="M131" s="103">
        <f>[3]酒店主体!S131</f>
        <v>0</v>
      </c>
      <c r="N131" s="302">
        <f>[3]酒店主体!T131</f>
        <v>0</v>
      </c>
      <c r="O131" s="246" t="str">
        <f>[3]酒店主体!V131</f>
        <v/>
      </c>
      <c r="P131" s="303">
        <f>[3]酒店主体!W131</f>
        <v>0</v>
      </c>
      <c r="Q131" s="107" t="str">
        <f>[3]酒店主体!Y131</f>
        <v/>
      </c>
      <c r="R131" s="57">
        <f>[3]酒店主体!Z131</f>
        <v>0</v>
      </c>
      <c r="S131" s="58" t="str">
        <f>[3]酒店主体!AA131</f>
        <v/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spans="1:41" ht="16.5" customHeight="1">
      <c r="C132" s="204"/>
      <c r="D132" s="221"/>
      <c r="F132" s="184"/>
      <c r="G132" s="498" t="s">
        <v>443</v>
      </c>
      <c r="H132" s="499">
        <f>[3]酒店主体!J132</f>
        <v>-1021850.57</v>
      </c>
      <c r="I132" s="500">
        <f>[3]酒店主体!K132</f>
        <v>-911715.03</v>
      </c>
      <c r="J132" s="501">
        <f>[3]酒店主体!M132</f>
        <v>-0.120800399659968</v>
      </c>
      <c r="K132" s="502">
        <f>[3]酒店主体!N132</f>
        <v>-1559193.19</v>
      </c>
      <c r="L132" s="503">
        <f>[3]酒店主体!P132</f>
        <v>0.34462863450551601</v>
      </c>
      <c r="M132" s="504">
        <f>[3]酒店主体!S132</f>
        <v>-1021850.57</v>
      </c>
      <c r="N132" s="500">
        <f>[3]酒店主体!T132</f>
        <v>-911715.03</v>
      </c>
      <c r="O132" s="501">
        <f>[3]酒店主体!V132</f>
        <v>-0.120800399659968</v>
      </c>
      <c r="P132" s="505">
        <f>[3]酒店主体!W132</f>
        <v>-1559193.19</v>
      </c>
      <c r="Q132" s="506">
        <f>[3]酒店主体!Y132</f>
        <v>0.34462863450551601</v>
      </c>
      <c r="R132" s="507">
        <f>[3]酒店主体!Z132</f>
        <v>-5165814.1500000004</v>
      </c>
      <c r="S132" s="445">
        <f>[3]酒店主体!AA132</f>
        <v>1.8021898310066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spans="1:41" s="5" customFormat="1" ht="16.5" customHeight="1">
      <c r="A133" s="292"/>
      <c r="B133" s="292"/>
      <c r="C133" s="14"/>
      <c r="D133" s="14"/>
      <c r="E133" s="15"/>
      <c r="F133" s="184"/>
      <c r="G133" s="508" t="s">
        <v>444</v>
      </c>
      <c r="H133" s="509">
        <f>[3]酒店主体!J133</f>
        <v>0</v>
      </c>
      <c r="I133" s="510">
        <f>[3]酒店主体!K133</f>
        <v>0</v>
      </c>
      <c r="J133" s="511" t="str">
        <f>[3]酒店主体!M133</f>
        <v/>
      </c>
      <c r="K133" s="512">
        <f>[3]酒店主体!N133</f>
        <v>0</v>
      </c>
      <c r="L133" s="513" t="str">
        <f>[3]酒店主体!P133</f>
        <v/>
      </c>
      <c r="M133" s="509">
        <f>[3]酒店主体!S133</f>
        <v>0</v>
      </c>
      <c r="N133" s="510">
        <f>[3]酒店主体!T133</f>
        <v>0</v>
      </c>
      <c r="O133" s="511" t="str">
        <f>[3]酒店主体!V133</f>
        <v/>
      </c>
      <c r="P133" s="512">
        <f>[3]酒店主体!W133</f>
        <v>0</v>
      </c>
      <c r="Q133" s="514" t="str">
        <f>[3]酒店主体!Y133</f>
        <v/>
      </c>
      <c r="R133" s="515">
        <f>[3]酒店主体!Z133</f>
        <v>0</v>
      </c>
      <c r="S133" s="516">
        <f>[3]酒店主体!AA133</f>
        <v>0</v>
      </c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</row>
    <row r="134" spans="1:41" s="5" customFormat="1" ht="16.5" customHeight="1">
      <c r="A134" s="292"/>
      <c r="B134" s="304" t="s">
        <v>446</v>
      </c>
      <c r="C134" s="292" t="s">
        <v>447</v>
      </c>
      <c r="D134" s="124"/>
      <c r="E134" s="101" t="s">
        <v>448</v>
      </c>
      <c r="F134" s="184"/>
      <c r="G134" s="517" t="s">
        <v>449</v>
      </c>
      <c r="H134" s="518">
        <f>[3]酒店主体!J134</f>
        <v>-1021850.57</v>
      </c>
      <c r="I134" s="519">
        <f>[3]酒店主体!K134</f>
        <v>0</v>
      </c>
      <c r="J134" s="520" t="str">
        <f>[3]酒店主体!M134</f>
        <v/>
      </c>
      <c r="K134" s="521">
        <f>[3]酒店主体!N134</f>
        <v>0</v>
      </c>
      <c r="L134" s="522" t="str">
        <f>[3]酒店主体!P134</f>
        <v/>
      </c>
      <c r="M134" s="518">
        <f>[3]酒店主体!S134</f>
        <v>-1021850.57</v>
      </c>
      <c r="N134" s="519">
        <f>[3]酒店主体!T134</f>
        <v>0</v>
      </c>
      <c r="O134" s="520" t="str">
        <f>[3]酒店主体!V134</f>
        <v/>
      </c>
      <c r="P134" s="521">
        <f>[3]酒店主体!W134</f>
        <v>0</v>
      </c>
      <c r="Q134" s="523" t="str">
        <f>[3]酒店主体!Y134</f>
        <v/>
      </c>
      <c r="R134" s="524">
        <f>[3]酒店主体!Z134</f>
        <v>0</v>
      </c>
      <c r="S134" s="525">
        <f>[3]酒店主体!AA134</f>
        <v>0</v>
      </c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</row>
    <row r="135" spans="1:41" ht="16.5" customHeight="1">
      <c r="F135" s="184"/>
      <c r="G135" s="526" t="s">
        <v>309</v>
      </c>
      <c r="H135" s="527">
        <f>[3]酒店主体!J135</f>
        <v>0</v>
      </c>
      <c r="I135" s="528">
        <f>[3]酒店主体!K135</f>
        <v>0</v>
      </c>
      <c r="J135" s="529" t="str">
        <f>[3]酒店主体!M135</f>
        <v/>
      </c>
      <c r="K135" s="530">
        <f>[3]酒店主体!N135</f>
        <v>0</v>
      </c>
      <c r="L135" s="531" t="str">
        <f>[3]酒店主体!P135</f>
        <v/>
      </c>
      <c r="M135" s="532">
        <f>[3]酒店主体!S135</f>
        <v>0</v>
      </c>
      <c r="N135" s="533">
        <f>[3]酒店主体!T135</f>
        <v>0</v>
      </c>
      <c r="O135" s="529" t="str">
        <f>[3]酒店主体!V135</f>
        <v/>
      </c>
      <c r="P135" s="530">
        <f>[3]酒店主体!W135</f>
        <v>0</v>
      </c>
      <c r="Q135" s="534" t="str">
        <f>[3]酒店主体!Y135</f>
        <v/>
      </c>
      <c r="R135" s="535">
        <f>[3]酒店主体!Z135</f>
        <v>0</v>
      </c>
      <c r="S135" s="536">
        <f>[3]酒店主体!AA135</f>
        <v>0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spans="1:41">
      <c r="G136" s="266"/>
      <c r="H136" s="84"/>
      <c r="I136" s="84"/>
      <c r="J136" s="84"/>
      <c r="K136" s="84"/>
      <c r="L136" s="84"/>
      <c r="M136" s="84"/>
      <c r="N136" s="305"/>
      <c r="O136" s="84"/>
      <c r="P136" s="84"/>
      <c r="Q136" s="84"/>
      <c r="R136" s="305"/>
      <c r="S136" s="84"/>
      <c r="T136" s="84"/>
      <c r="U136" s="305"/>
      <c r="V136" s="84"/>
      <c r="W136" s="306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spans="1:41">
      <c r="G137" s="266"/>
      <c r="H137" s="307"/>
      <c r="I137" s="84"/>
      <c r="J137" s="84"/>
      <c r="K137" s="84"/>
      <c r="L137" s="84"/>
      <c r="M137" s="84"/>
      <c r="N137" s="305"/>
      <c r="O137" s="84"/>
      <c r="P137" s="84"/>
      <c r="Q137" s="84"/>
      <c r="R137" s="305"/>
      <c r="S137" s="84"/>
      <c r="T137" s="84"/>
      <c r="U137" s="305"/>
      <c r="V137" s="84"/>
      <c r="W137" s="306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spans="1:41">
      <c r="G138" s="925" t="s">
        <v>450</v>
      </c>
      <c r="H138" s="948" t="s">
        <v>328</v>
      </c>
      <c r="I138" s="949"/>
      <c r="J138" s="949"/>
      <c r="K138" s="949"/>
      <c r="L138" s="950"/>
      <c r="M138" s="951" t="s">
        <v>451</v>
      </c>
      <c r="N138" s="952"/>
      <c r="O138" s="952"/>
      <c r="P138" s="952"/>
      <c r="Q138" s="953"/>
      <c r="R138" s="954" t="s">
        <v>330</v>
      </c>
      <c r="S138" s="955"/>
      <c r="T138" s="305"/>
      <c r="U138" s="84"/>
      <c r="V138" s="84"/>
      <c r="W138" s="84"/>
      <c r="X138" s="84"/>
      <c r="Y138" s="84"/>
      <c r="Z138" s="305"/>
      <c r="AA138" s="84"/>
      <c r="AB138" s="84"/>
      <c r="AC138" s="305"/>
      <c r="AD138" s="13"/>
      <c r="AE138" s="31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spans="1:41">
      <c r="G139" s="926"/>
      <c r="H139" s="308" t="s">
        <v>331</v>
      </c>
      <c r="I139" s="309" t="s">
        <v>249</v>
      </c>
      <c r="J139" s="309" t="s">
        <v>332</v>
      </c>
      <c r="K139" s="309" t="s">
        <v>270</v>
      </c>
      <c r="L139" s="310" t="s">
        <v>332</v>
      </c>
      <c r="M139" s="311" t="s">
        <v>331</v>
      </c>
      <c r="N139" s="311" t="s">
        <v>249</v>
      </c>
      <c r="O139" s="311" t="s">
        <v>332</v>
      </c>
      <c r="P139" s="311" t="s">
        <v>270</v>
      </c>
      <c r="Q139" s="312" t="s">
        <v>332</v>
      </c>
      <c r="R139" s="313" t="s">
        <v>245</v>
      </c>
      <c r="S139" s="314" t="s">
        <v>11</v>
      </c>
      <c r="T139" s="305"/>
      <c r="U139" s="84"/>
      <c r="V139" s="84"/>
      <c r="W139" s="84"/>
      <c r="X139" s="84"/>
      <c r="Y139" s="84"/>
      <c r="Z139" s="305"/>
      <c r="AA139" s="84"/>
      <c r="AB139" s="84"/>
      <c r="AC139" s="305"/>
      <c r="AD139" s="13"/>
      <c r="AE139" s="31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spans="1:41">
      <c r="G140" s="537" t="s">
        <v>452</v>
      </c>
      <c r="H140" s="538">
        <f>[3]酒店主体!J140</f>
        <v>-933880.46695000003</v>
      </c>
      <c r="I140" s="539">
        <f>[3]酒店主体!K140</f>
        <v>-808656.26044999994</v>
      </c>
      <c r="J140" s="540">
        <f>[3]酒店主体!M140</f>
        <v>-0.15485468007174699</v>
      </c>
      <c r="K140" s="539">
        <f>[3]酒店主体!N140</f>
        <v>-1451090.8376</v>
      </c>
      <c r="L140" s="541">
        <f>[3]酒店主体!P140</f>
        <v>0.35642866542071799</v>
      </c>
      <c r="M140" s="539">
        <f>[3]酒店主体!S140</f>
        <v>-933880.46695000003</v>
      </c>
      <c r="N140" s="539">
        <f>[3]酒店主体!T140</f>
        <v>-808656.26044999994</v>
      </c>
      <c r="O140" s="540">
        <f>[3]酒店主体!V140</f>
        <v>-0.15485468007174699</v>
      </c>
      <c r="P140" s="539">
        <f>[3]酒店主体!W140</f>
        <v>-1451090.8376</v>
      </c>
      <c r="Q140" s="541">
        <f>[3]酒店主体!Y140</f>
        <v>0.35642866542071799</v>
      </c>
      <c r="R140" s="538">
        <f>[3]酒店主体!Z140</f>
        <v>-4289611.6903999997</v>
      </c>
      <c r="S140" s="542">
        <f>[3]酒店主体!AA140</f>
        <v>1.78229253966274</v>
      </c>
      <c r="T140" s="305"/>
      <c r="U140" s="84"/>
      <c r="V140" s="84"/>
      <c r="W140" s="84"/>
      <c r="X140" s="84"/>
      <c r="Y140" s="84"/>
      <c r="Z140" s="305"/>
      <c r="AA140" s="84"/>
      <c r="AB140" s="84"/>
      <c r="AC140" s="305"/>
      <c r="AD140" s="13"/>
      <c r="AE140" s="31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spans="1:41">
      <c r="E141" s="315" t="s">
        <v>453</v>
      </c>
      <c r="G141" s="316" t="s">
        <v>454</v>
      </c>
      <c r="H141" s="108">
        <f>[3]酒店主体!J141</f>
        <v>0</v>
      </c>
      <c r="I141" s="52">
        <f>[3]酒店主体!K141</f>
        <v>0</v>
      </c>
      <c r="J141" s="317" t="str">
        <f>[3]酒店主体!M141</f>
        <v/>
      </c>
      <c r="K141" s="52">
        <f>[3]酒店主体!N141</f>
        <v>0</v>
      </c>
      <c r="L141" s="318" t="str">
        <f>[3]酒店主体!P141</f>
        <v/>
      </c>
      <c r="M141" s="52">
        <f>[3]酒店主体!S141</f>
        <v>0</v>
      </c>
      <c r="N141" s="52">
        <f>[3]酒店主体!T141</f>
        <v>0</v>
      </c>
      <c r="O141" s="317" t="str">
        <f>[3]酒店主体!V141</f>
        <v/>
      </c>
      <c r="P141" s="52">
        <f>[3]酒店主体!W141</f>
        <v>0</v>
      </c>
      <c r="Q141" s="318" t="str">
        <f>[3]酒店主体!Y141</f>
        <v/>
      </c>
      <c r="R141" s="108">
        <f>[3]酒店主体!Z141</f>
        <v>0</v>
      </c>
      <c r="S141" s="318" t="str">
        <f>[3]酒店主体!AA141</f>
        <v/>
      </c>
      <c r="T141" s="305"/>
      <c r="U141" s="84"/>
      <c r="V141" s="84"/>
      <c r="W141" s="84"/>
      <c r="X141" s="84"/>
      <c r="Y141" s="84"/>
      <c r="Z141" s="305"/>
      <c r="AA141" s="84"/>
      <c r="AB141" s="84"/>
      <c r="AC141" s="305"/>
      <c r="AD141" s="13"/>
      <c r="AE141" s="31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spans="1:41">
      <c r="E142" s="315" t="s">
        <v>453</v>
      </c>
      <c r="G142" s="316" t="s">
        <v>455</v>
      </c>
      <c r="H142" s="108">
        <f>[3]酒店主体!J142</f>
        <v>418282.09</v>
      </c>
      <c r="I142" s="52">
        <f>[3]酒店主体!K142</f>
        <v>384468.78</v>
      </c>
      <c r="J142" s="317">
        <f>[3]酒店主体!M142</f>
        <v>8.7948129364366107E-2</v>
      </c>
      <c r="K142" s="52">
        <f>[3]酒店主体!N142</f>
        <v>717711.92</v>
      </c>
      <c r="L142" s="318">
        <f>[3]酒店主体!P142</f>
        <v>-0.41720058097962198</v>
      </c>
      <c r="M142" s="52">
        <f>[3]酒店主体!S142</f>
        <v>418282.09</v>
      </c>
      <c r="N142" s="52">
        <f>[3]酒店主体!T142</f>
        <v>384468.78</v>
      </c>
      <c r="O142" s="317">
        <f>[3]酒店主体!V142</f>
        <v>8.7948129364366107E-2</v>
      </c>
      <c r="P142" s="52">
        <f>[3]酒店主体!W142</f>
        <v>717711.92</v>
      </c>
      <c r="Q142" s="318">
        <f>[3]酒店主体!Y142</f>
        <v>-0.41720058097962198</v>
      </c>
      <c r="R142" s="108">
        <f>[3]酒店主体!Z142</f>
        <v>5239270.87</v>
      </c>
      <c r="S142" s="318">
        <f>[3]酒店主体!AA142</f>
        <v>7.98359352624958E-2</v>
      </c>
      <c r="T142" s="305"/>
      <c r="U142" s="84"/>
      <c r="V142" s="84"/>
      <c r="W142" s="84"/>
      <c r="X142" s="84"/>
      <c r="Y142" s="84"/>
      <c r="Z142" s="305"/>
      <c r="AA142" s="84"/>
      <c r="AB142" s="84"/>
      <c r="AC142" s="305"/>
      <c r="AD142" s="13"/>
      <c r="AE142" s="31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spans="1:41">
      <c r="E143" s="315" t="s">
        <v>453</v>
      </c>
      <c r="G143" s="316" t="s">
        <v>456</v>
      </c>
      <c r="H143" s="108">
        <f>[3]酒店主体!J143</f>
        <v>103771.03694999999</v>
      </c>
      <c r="I143" s="52">
        <f>[3]酒店主体!K143</f>
        <v>99829.550449999995</v>
      </c>
      <c r="J143" s="317">
        <f>[3]酒店主体!M143</f>
        <v>3.9482162167745201E-2</v>
      </c>
      <c r="K143" s="52">
        <f>[3]酒店主体!N143</f>
        <v>107941.5876</v>
      </c>
      <c r="L143" s="318">
        <f>[3]酒店主体!P143</f>
        <v>-3.8637106816094197E-2</v>
      </c>
      <c r="M143" s="52">
        <f>[3]酒店主体!S143</f>
        <v>103771.03694999999</v>
      </c>
      <c r="N143" s="52">
        <f>[3]酒店主体!T143</f>
        <v>99829.550449999995</v>
      </c>
      <c r="O143" s="317">
        <f>[3]酒店主体!V143</f>
        <v>3.9482162167745201E-2</v>
      </c>
      <c r="P143" s="52">
        <f>[3]酒店主体!W143</f>
        <v>107941.5876</v>
      </c>
      <c r="Q143" s="318">
        <f>[3]酒店主体!Y143</f>
        <v>-3.8637106816094197E-2</v>
      </c>
      <c r="R143" s="108">
        <f>[3]酒店主体!Z143</f>
        <v>1361952.4604</v>
      </c>
      <c r="S143" s="318">
        <f>[3]酒店主体!AA143</f>
        <v>7.6192848111249697E-2</v>
      </c>
      <c r="T143" s="305"/>
      <c r="U143" s="84"/>
      <c r="V143" s="84"/>
      <c r="W143" s="84"/>
      <c r="X143" s="84"/>
      <c r="Y143" s="84"/>
      <c r="Z143" s="305"/>
      <c r="AA143" s="84"/>
      <c r="AB143" s="84"/>
      <c r="AC143" s="305"/>
      <c r="AD143" s="13"/>
      <c r="AE143" s="31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spans="1:41">
      <c r="E144" s="315" t="s">
        <v>457</v>
      </c>
      <c r="G144" s="316" t="s">
        <v>458</v>
      </c>
      <c r="H144" s="108">
        <f>[3]酒店主体!J144</f>
        <v>3.84</v>
      </c>
      <c r="I144" s="52">
        <f>[3]酒店主体!K144</f>
        <v>0</v>
      </c>
      <c r="J144" s="317" t="str">
        <f>[3]酒店主体!M144</f>
        <v/>
      </c>
      <c r="K144" s="52">
        <f>[3]酒店主体!N144</f>
        <v>420</v>
      </c>
      <c r="L144" s="318">
        <f>[3]酒店主体!P144</f>
        <v>-0.99085714285714299</v>
      </c>
      <c r="M144" s="52">
        <f>[3]酒店主体!S144</f>
        <v>3.84</v>
      </c>
      <c r="N144" s="52">
        <f>[3]酒店主体!T144</f>
        <v>0</v>
      </c>
      <c r="O144" s="317" t="str">
        <f>[3]酒店主体!V144</f>
        <v/>
      </c>
      <c r="P144" s="52">
        <f>[3]酒店主体!W144</f>
        <v>420</v>
      </c>
      <c r="Q144" s="318">
        <f>[3]酒店主体!Y144</f>
        <v>-0.99085714285714299</v>
      </c>
      <c r="R144" s="108">
        <f>[3]酒店主体!Z144</f>
        <v>0</v>
      </c>
      <c r="S144" s="318" t="str">
        <f>[3]酒店主体!AA144</f>
        <v/>
      </c>
      <c r="T144" s="305"/>
      <c r="U144" s="84"/>
      <c r="V144" s="84"/>
      <c r="W144" s="84"/>
      <c r="X144" s="84"/>
      <c r="Y144" s="84"/>
      <c r="Z144" s="305"/>
      <c r="AA144" s="84"/>
      <c r="AB144" s="84"/>
      <c r="AC144" s="305"/>
      <c r="AD144" s="13"/>
      <c r="AE144" s="31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spans="1:45">
      <c r="E145" s="315" t="s">
        <v>457</v>
      </c>
      <c r="G145" s="316" t="s">
        <v>459</v>
      </c>
      <c r="H145" s="108">
        <f>[3]酒店主体!J145</f>
        <v>1293.29</v>
      </c>
      <c r="I145" s="52">
        <f>[3]酒店主体!K145</f>
        <v>0</v>
      </c>
      <c r="J145" s="317" t="str">
        <f>[3]酒店主体!M145</f>
        <v/>
      </c>
      <c r="K145" s="52">
        <f>[3]酒店主体!N145</f>
        <v>23562.07</v>
      </c>
      <c r="L145" s="318">
        <f>[3]酒店主体!P145</f>
        <v>-0.94511135906140697</v>
      </c>
      <c r="M145" s="52">
        <f>[3]酒店主体!S145</f>
        <v>1293.29</v>
      </c>
      <c r="N145" s="52">
        <f>[3]酒店主体!T145</f>
        <v>0</v>
      </c>
      <c r="O145" s="317" t="str">
        <f>[3]酒店主体!V145</f>
        <v/>
      </c>
      <c r="P145" s="52">
        <f>[3]酒店主体!W145</f>
        <v>23562.07</v>
      </c>
      <c r="Q145" s="318">
        <f>[3]酒店主体!Y145</f>
        <v>-0.94511135906140697</v>
      </c>
      <c r="R145" s="108">
        <f>[3]酒店主体!Z145</f>
        <v>0</v>
      </c>
      <c r="S145" s="318" t="str">
        <f>[3]酒店主体!AA145</f>
        <v/>
      </c>
      <c r="T145" s="305"/>
      <c r="U145" s="84"/>
      <c r="V145" s="84"/>
      <c r="W145" s="84"/>
      <c r="X145" s="84"/>
      <c r="Y145" s="84"/>
      <c r="Z145" s="305"/>
      <c r="AA145" s="84"/>
      <c r="AB145" s="84"/>
      <c r="AC145" s="305"/>
      <c r="AD145" s="13"/>
      <c r="AE145" s="31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spans="1:45">
      <c r="E146" s="315" t="s">
        <v>453</v>
      </c>
      <c r="G146" s="316" t="s">
        <v>460</v>
      </c>
      <c r="H146" s="108">
        <f>[3]酒店主体!J146</f>
        <v>174234.68</v>
      </c>
      <c r="I146" s="52">
        <f>[3]酒店主体!K146</f>
        <v>187845.32</v>
      </c>
      <c r="J146" s="317">
        <f>[3]酒店主体!M146</f>
        <v>-7.2456636130194693E-2</v>
      </c>
      <c r="K146" s="52">
        <f>[3]酒店主体!N146</f>
        <v>199415.28</v>
      </c>
      <c r="L146" s="318">
        <f>[3]酒店主体!P146</f>
        <v>-0.12627216931420701</v>
      </c>
      <c r="M146" s="52">
        <f>[3]酒店主体!S146</f>
        <v>174234.68</v>
      </c>
      <c r="N146" s="52">
        <f>[3]酒店主体!T146</f>
        <v>187845.32</v>
      </c>
      <c r="O146" s="317">
        <f>[3]酒店主体!V146</f>
        <v>-7.2456636130194693E-2</v>
      </c>
      <c r="P146" s="52">
        <f>[3]酒店主体!W146</f>
        <v>199415.28</v>
      </c>
      <c r="Q146" s="318">
        <f>[3]酒店主体!Y146</f>
        <v>-0.12627216931420701</v>
      </c>
      <c r="R146" s="108">
        <f>[3]酒店主体!Z146</f>
        <v>2066285.92</v>
      </c>
      <c r="S146" s="318">
        <f>[3]酒店主体!AA146</f>
        <v>8.4322638175843595E-2</v>
      </c>
      <c r="T146" s="305"/>
      <c r="U146" s="84"/>
      <c r="V146" s="84"/>
      <c r="W146" s="84"/>
      <c r="X146" s="84"/>
      <c r="Y146" s="84"/>
      <c r="Z146" s="305"/>
      <c r="AA146" s="84"/>
      <c r="AB146" s="84"/>
      <c r="AC146" s="305"/>
      <c r="AD146" s="13"/>
      <c r="AE146" s="31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spans="1:45">
      <c r="E147" s="315" t="s">
        <v>461</v>
      </c>
      <c r="G147" s="316" t="s">
        <v>462</v>
      </c>
      <c r="H147" s="108">
        <f>[3]酒店主体!J147</f>
        <v>0</v>
      </c>
      <c r="I147" s="52">
        <f>[3]酒店主体!K147</f>
        <v>0</v>
      </c>
      <c r="J147" s="317" t="str">
        <f>[3]酒店主体!M147</f>
        <v/>
      </c>
      <c r="K147" s="52">
        <f>[3]酒店主体!N147</f>
        <v>0</v>
      </c>
      <c r="L147" s="318" t="str">
        <f>[3]酒店主体!P147</f>
        <v/>
      </c>
      <c r="M147" s="52">
        <f>[3]酒店主体!S147</f>
        <v>0</v>
      </c>
      <c r="N147" s="52">
        <f>[3]酒店主体!T147</f>
        <v>0</v>
      </c>
      <c r="O147" s="317" t="str">
        <f>[3]酒店主体!V147</f>
        <v/>
      </c>
      <c r="P147" s="52">
        <f>[3]酒店主体!W147</f>
        <v>0</v>
      </c>
      <c r="Q147" s="318" t="str">
        <f>[3]酒店主体!Y147</f>
        <v/>
      </c>
      <c r="R147" s="108">
        <f>[3]酒店主体!Z147</f>
        <v>0</v>
      </c>
      <c r="S147" s="318" t="str">
        <f>[3]酒店主体!AA147</f>
        <v/>
      </c>
      <c r="T147" s="305"/>
      <c r="U147" s="84"/>
      <c r="V147" s="84"/>
      <c r="W147" s="84"/>
      <c r="X147" s="84"/>
      <c r="Y147" s="84"/>
      <c r="Z147" s="305"/>
      <c r="AA147" s="84"/>
      <c r="AB147" s="84"/>
      <c r="AC147" s="305"/>
      <c r="AD147" s="13"/>
      <c r="AE147" s="31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spans="1:45">
      <c r="G148" s="543" t="s">
        <v>463</v>
      </c>
      <c r="H148" s="544">
        <f>[3]酒店主体!J148</f>
        <v>-587351.47</v>
      </c>
      <c r="I148" s="545">
        <f>[3]酒店主体!K148</f>
        <v>-512203.25</v>
      </c>
      <c r="J148" s="546">
        <f>[3]酒店主体!M148</f>
        <v>-0.14671562509609201</v>
      </c>
      <c r="K148" s="545">
        <f>[3]酒店主体!N148</f>
        <v>-847994.68</v>
      </c>
      <c r="L148" s="547">
        <f>[3]酒店主体!P148</f>
        <v>0.30736420421882799</v>
      </c>
      <c r="M148" s="545">
        <f>[3]酒店主体!S148</f>
        <v>-587351.47</v>
      </c>
      <c r="N148" s="545">
        <f>[3]酒店主体!T148</f>
        <v>-512203.25</v>
      </c>
      <c r="O148" s="546">
        <f>[3]酒店主体!V148</f>
        <v>-0.14671562509609201</v>
      </c>
      <c r="P148" s="545">
        <f>[3]酒店主体!W148</f>
        <v>-847994.68</v>
      </c>
      <c r="Q148" s="547">
        <f>[3]酒店主体!Y148</f>
        <v>0.30736420421882799</v>
      </c>
      <c r="R148" s="544">
        <f>[3]酒店主体!Z148</f>
        <v>245325.72000000399</v>
      </c>
      <c r="S148" s="547">
        <f>[3]酒店主体!AA148</f>
        <v>-2.3941699631004401</v>
      </c>
      <c r="T148" s="305"/>
      <c r="U148" s="84"/>
      <c r="V148" s="84"/>
      <c r="W148" s="84"/>
      <c r="X148" s="84"/>
      <c r="Y148" s="84"/>
      <c r="Z148" s="305"/>
      <c r="AA148" s="84"/>
      <c r="AB148" s="84"/>
      <c r="AC148" s="305"/>
      <c r="AD148" s="13"/>
      <c r="AE148" s="31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spans="1:45">
      <c r="G149" s="266"/>
      <c r="H149" s="84"/>
      <c r="I149" s="84"/>
      <c r="J149" s="84"/>
      <c r="K149" s="84"/>
      <c r="L149" s="84"/>
      <c r="M149" s="305"/>
      <c r="N149" s="84"/>
      <c r="O149" s="84"/>
      <c r="P149" s="305"/>
      <c r="Q149" s="84"/>
      <c r="R149" s="84"/>
      <c r="S149" s="84"/>
      <c r="T149" s="84"/>
      <c r="U149" s="84"/>
      <c r="V149" s="305"/>
      <c r="W149" s="84"/>
      <c r="X149" s="84"/>
      <c r="Y149" s="305"/>
      <c r="Z149" s="13"/>
      <c r="AA149" s="31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</row>
    <row r="150" spans="1:45">
      <c r="G150" s="266"/>
      <c r="H150" s="84"/>
      <c r="I150" s="84"/>
      <c r="J150" s="84"/>
      <c r="K150" s="84"/>
      <c r="L150" s="84"/>
      <c r="M150" s="305"/>
      <c r="N150" s="84"/>
      <c r="O150" s="84"/>
      <c r="P150" s="305"/>
      <c r="Q150" s="84"/>
      <c r="R150" s="84"/>
      <c r="S150" s="84"/>
      <c r="T150" s="84"/>
      <c r="U150" s="84"/>
      <c r="V150" s="305"/>
      <c r="W150" s="84"/>
      <c r="X150" s="84"/>
      <c r="Y150" s="305"/>
      <c r="Z150" s="13"/>
      <c r="AA150" s="31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spans="1:45">
      <c r="G151" s="925" t="s">
        <v>464</v>
      </c>
      <c r="H151" s="928" t="s">
        <v>465</v>
      </c>
      <c r="I151" s="932" t="s">
        <v>328</v>
      </c>
      <c r="J151" s="933"/>
      <c r="K151" s="934" t="s">
        <v>329</v>
      </c>
      <c r="L151" s="935"/>
      <c r="M151" s="930" t="s">
        <v>466</v>
      </c>
      <c r="N151" s="84"/>
      <c r="O151" s="84"/>
      <c r="P151" s="305"/>
      <c r="Q151" s="84"/>
      <c r="R151" s="84"/>
      <c r="S151" s="84"/>
      <c r="T151" s="84"/>
      <c r="U151" s="84"/>
      <c r="V151" s="305"/>
      <c r="W151" s="84"/>
      <c r="X151" s="84"/>
      <c r="Y151" s="305"/>
      <c r="Z151" s="13"/>
      <c r="AA151" s="31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spans="1:45" ht="15.65" customHeight="1">
      <c r="G152" s="926"/>
      <c r="H152" s="929"/>
      <c r="I152" s="309" t="s">
        <v>467</v>
      </c>
      <c r="J152" s="309" t="s">
        <v>468</v>
      </c>
      <c r="K152" s="311" t="s">
        <v>469</v>
      </c>
      <c r="L152" s="311" t="s">
        <v>470</v>
      </c>
      <c r="M152" s="931"/>
      <c r="N152" s="84"/>
      <c r="O152" s="84"/>
      <c r="P152" s="305"/>
      <c r="Q152" s="84"/>
      <c r="R152" s="84"/>
      <c r="S152" s="84"/>
      <c r="T152" s="84"/>
      <c r="U152" s="84"/>
      <c r="V152" s="305"/>
      <c r="W152" s="84"/>
      <c r="X152" s="84"/>
      <c r="Y152" s="305"/>
      <c r="Z152" s="13"/>
      <c r="AA152" s="31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</row>
    <row r="153" spans="1:45">
      <c r="G153" s="319" t="s">
        <v>354</v>
      </c>
      <c r="H153" s="320">
        <f>[3]酒店主体!H153</f>
        <v>0</v>
      </c>
      <c r="I153" s="321">
        <f>[3]酒店主体!I153</f>
        <v>0</v>
      </c>
      <c r="J153" s="322">
        <f>[3]酒店主体!J153</f>
        <v>0</v>
      </c>
      <c r="K153" s="321">
        <f>[3]酒店主体!K153</f>
        <v>0</v>
      </c>
      <c r="L153" s="321">
        <f>[3]酒店主体!L153</f>
        <v>0</v>
      </c>
      <c r="M153" s="322">
        <f>[3]酒店主体!M153</f>
        <v>0</v>
      </c>
      <c r="N153" s="84"/>
      <c r="O153" s="84"/>
      <c r="P153" s="305"/>
      <c r="Q153" s="84"/>
      <c r="R153" s="84"/>
      <c r="S153" s="84"/>
      <c r="T153" s="84"/>
      <c r="U153" s="84"/>
      <c r="V153" s="305"/>
      <c r="W153" s="84"/>
      <c r="X153" s="84"/>
      <c r="Y153" s="305"/>
      <c r="Z153" s="13"/>
      <c r="AA153" s="31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spans="1:45">
      <c r="G154" s="266"/>
      <c r="H154" s="84"/>
      <c r="I154" s="84"/>
      <c r="J154" s="84"/>
      <c r="K154" s="84"/>
      <c r="L154" s="84"/>
      <c r="M154" s="305"/>
      <c r="N154" s="84"/>
      <c r="O154" s="84"/>
      <c r="P154" s="305"/>
      <c r="Q154" s="84"/>
      <c r="R154" s="84"/>
      <c r="S154" s="84"/>
      <c r="T154" s="84"/>
      <c r="U154" s="84"/>
      <c r="V154" s="305"/>
      <c r="W154" s="84"/>
      <c r="X154" s="84"/>
      <c r="Y154" s="305"/>
      <c r="Z154" s="84"/>
      <c r="AA154" s="306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spans="1:45">
      <c r="G155" s="266"/>
      <c r="H155" s="84"/>
      <c r="I155" s="84"/>
      <c r="J155" s="84"/>
      <c r="K155" s="84"/>
      <c r="L155" s="84"/>
      <c r="M155" s="305"/>
      <c r="N155" s="84"/>
      <c r="O155" s="84"/>
      <c r="P155" s="305"/>
      <c r="Q155" s="84"/>
      <c r="R155" s="84"/>
      <c r="S155" s="84"/>
      <c r="T155" s="84"/>
      <c r="U155" s="84"/>
      <c r="V155" s="305"/>
      <c r="W155" s="84"/>
      <c r="X155" s="84"/>
      <c r="Y155" s="305"/>
      <c r="Z155" s="84"/>
      <c r="AA155" s="306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spans="1:45" ht="17.149999999999999">
      <c r="G156" s="925" t="s">
        <v>471</v>
      </c>
      <c r="H156" s="936" t="s">
        <v>2</v>
      </c>
      <c r="I156" s="937"/>
      <c r="J156" s="937"/>
      <c r="K156" s="937"/>
      <c r="L156" s="937"/>
      <c r="M156" s="938" t="s">
        <v>210</v>
      </c>
      <c r="N156" s="939"/>
      <c r="O156" s="939"/>
      <c r="P156" s="939"/>
      <c r="Q156" s="939"/>
      <c r="R156" s="936" t="s">
        <v>241</v>
      </c>
      <c r="S156" s="937"/>
      <c r="T156" s="937"/>
      <c r="U156" s="937"/>
      <c r="V156" s="937"/>
      <c r="W156" s="914" t="s">
        <v>5</v>
      </c>
      <c r="X156" s="915"/>
      <c r="Y156" s="916" t="s">
        <v>6</v>
      </c>
      <c r="Z156" s="916"/>
      <c r="AA156" s="916"/>
      <c r="AB156" s="916"/>
      <c r="AC156" s="916"/>
      <c r="AD156" s="917" t="s">
        <v>7</v>
      </c>
      <c r="AE156" s="918"/>
      <c r="AF156" s="919"/>
      <c r="AG156" s="920" t="s">
        <v>8</v>
      </c>
      <c r="AH156" s="921"/>
      <c r="AI156" s="921"/>
      <c r="AJ156" s="922"/>
      <c r="AK156" s="323" t="s">
        <v>472</v>
      </c>
      <c r="AL156" s="13"/>
      <c r="AM156" s="13"/>
      <c r="AN156" s="13"/>
      <c r="AO156" s="13"/>
      <c r="AP156" s="13"/>
      <c r="AQ156" s="13"/>
      <c r="AR156" s="13"/>
      <c r="AS156" s="13"/>
    </row>
    <row r="157" spans="1:45" ht="29.15">
      <c r="G157" s="927"/>
      <c r="H157" s="324" t="s">
        <v>9</v>
      </c>
      <c r="I157" s="324" t="s">
        <v>10</v>
      </c>
      <c r="J157" s="325" t="s">
        <v>11</v>
      </c>
      <c r="K157" s="324" t="s">
        <v>12</v>
      </c>
      <c r="L157" s="326" t="s">
        <v>13</v>
      </c>
      <c r="M157" s="327" t="s">
        <v>9</v>
      </c>
      <c r="N157" s="327" t="s">
        <v>10</v>
      </c>
      <c r="O157" s="328" t="s">
        <v>11</v>
      </c>
      <c r="P157" s="327" t="s">
        <v>12</v>
      </c>
      <c r="Q157" s="329" t="s">
        <v>13</v>
      </c>
      <c r="R157" s="324" t="s">
        <v>9</v>
      </c>
      <c r="S157" s="324" t="s">
        <v>10</v>
      </c>
      <c r="T157" s="325" t="s">
        <v>11</v>
      </c>
      <c r="U157" s="324" t="s">
        <v>12</v>
      </c>
      <c r="V157" s="326" t="s">
        <v>13</v>
      </c>
      <c r="W157" s="327" t="s">
        <v>226</v>
      </c>
      <c r="X157" s="327" t="s">
        <v>15</v>
      </c>
      <c r="Y157" s="324" t="s">
        <v>16</v>
      </c>
      <c r="Z157" s="324" t="s">
        <v>227</v>
      </c>
      <c r="AA157" s="330" t="s">
        <v>228</v>
      </c>
      <c r="AB157" s="324" t="s">
        <v>226</v>
      </c>
      <c r="AC157" s="324" t="s">
        <v>19</v>
      </c>
      <c r="AD157" s="327" t="s">
        <v>20</v>
      </c>
      <c r="AE157" s="327" t="s">
        <v>226</v>
      </c>
      <c r="AF157" s="327" t="s">
        <v>21</v>
      </c>
      <c r="AG157" s="324" t="s">
        <v>22</v>
      </c>
      <c r="AH157" s="324" t="s">
        <v>226</v>
      </c>
      <c r="AI157" s="324" t="s">
        <v>23</v>
      </c>
      <c r="AJ157" s="331" t="s">
        <v>24</v>
      </c>
      <c r="AK157" s="332" t="s">
        <v>9</v>
      </c>
      <c r="AL157" s="13"/>
      <c r="AM157" s="13"/>
      <c r="AN157" s="13"/>
      <c r="AO157" s="13"/>
      <c r="AP157" s="13"/>
      <c r="AQ157" s="13"/>
      <c r="AR157" s="13"/>
      <c r="AS157" s="13"/>
    </row>
    <row r="158" spans="1:45">
      <c r="G158" s="333" t="str">
        <f>H2</f>
        <v>2026年1月</v>
      </c>
      <c r="H158" s="334">
        <f>[3]酒店主体!H158</f>
        <v>2831815.91</v>
      </c>
      <c r="I158" s="334">
        <f>[3]酒店主体!I158</f>
        <v>2691281.43</v>
      </c>
      <c r="J158" s="335">
        <f>[3]酒店主体!J158</f>
        <v>1.0522184259265699</v>
      </c>
      <c r="K158" s="334">
        <f>[3]酒店主体!K158</f>
        <v>2941734.5</v>
      </c>
      <c r="L158" s="335">
        <f>[3]酒店主体!L158</f>
        <v>-3.7365231294666297E-2</v>
      </c>
      <c r="M158" s="334">
        <f>[3]酒店主体!M158</f>
        <v>-343047.74</v>
      </c>
      <c r="N158" s="334">
        <f>[3]酒店主体!N158</f>
        <v>-251910.2</v>
      </c>
      <c r="O158" s="335">
        <f>[3]酒店主体!O158</f>
        <v>0.63821417314582496</v>
      </c>
      <c r="P158" s="334">
        <f>[3]酒店主体!P158</f>
        <v>-556666.38</v>
      </c>
      <c r="Q158" s="335">
        <f>[3]酒店主体!Q158</f>
        <v>0.38374625749807301</v>
      </c>
      <c r="R158" s="334">
        <f>[3]酒店主体!R158</f>
        <v>-587351.47</v>
      </c>
      <c r="S158" s="334">
        <f>[3]酒店主体!S158</f>
        <v>-512203.25</v>
      </c>
      <c r="T158" s="335">
        <f>[3]酒店主体!T158</f>
        <v>0.85328437490390796</v>
      </c>
      <c r="U158" s="334">
        <f>[3]酒店主体!U158</f>
        <v>-847994.68</v>
      </c>
      <c r="V158" s="336">
        <f>[3]酒店主体!V158</f>
        <v>0.30736420421882799</v>
      </c>
      <c r="W158" s="334">
        <f>[3]酒店主体!W158</f>
        <v>2.5475391726702998</v>
      </c>
      <c r="X158" s="336">
        <f>[3]酒店主体!X158</f>
        <v>-0.121140551117251</v>
      </c>
      <c r="Y158" s="336">
        <f>[3]酒店主体!Y158</f>
        <v>0.31282051282051299</v>
      </c>
      <c r="Z158" s="337">
        <f>[3]酒店主体!Z158</f>
        <v>199.24168341265599</v>
      </c>
      <c r="AA158" s="337">
        <f>[3]酒店主体!AA158</f>
        <v>62.326885580369499</v>
      </c>
      <c r="AB158" s="338">
        <f>[3]酒店主体!AB158</f>
        <v>3.9706352792525901</v>
      </c>
      <c r="AC158" s="336">
        <f>[3]酒店主体!AC158</f>
        <v>0.56916344729471902</v>
      </c>
      <c r="AD158" s="336">
        <f>[3]酒店主体!AD158</f>
        <v>0.53898494290128796</v>
      </c>
      <c r="AE158" s="338">
        <f>[3]酒店主体!AE158</f>
        <v>5.0071107421836096</v>
      </c>
      <c r="AF158" s="336">
        <f>[3]酒店主体!AF158</f>
        <v>0.31116500040032002</v>
      </c>
      <c r="AG158" s="336">
        <f>[3]酒店主体!AG158</f>
        <v>0.33181394549054599</v>
      </c>
      <c r="AH158" s="338">
        <f>[3]酒店主体!AH158</f>
        <v>5.5028083927558402</v>
      </c>
      <c r="AI158" s="339">
        <f>[3]酒店主体!AI158</f>
        <v>2.3047179645233399E-2</v>
      </c>
      <c r="AJ158" s="340">
        <f>[3]酒店主体!AJ158</f>
        <v>0.55986208157153805</v>
      </c>
      <c r="AK158" s="341">
        <f>[3]酒店主体!AK158</f>
        <v>0</v>
      </c>
      <c r="AL158" s="13"/>
      <c r="AM158" s="13"/>
      <c r="AN158" s="13"/>
      <c r="AO158" s="13"/>
      <c r="AP158" s="13"/>
      <c r="AQ158" s="13"/>
      <c r="AR158" s="13"/>
      <c r="AS158" s="13"/>
    </row>
    <row r="159" spans="1:45">
      <c r="G159" s="342" t="s">
        <v>473</v>
      </c>
      <c r="H159" s="343">
        <f>[3]酒店主体!H159</f>
        <v>2831815.91</v>
      </c>
      <c r="I159" s="343">
        <f>[3]酒店主体!I159</f>
        <v>2691281.43</v>
      </c>
      <c r="J159" s="344">
        <f>[3]酒店主体!J159</f>
        <v>1.0522184259265699</v>
      </c>
      <c r="K159" s="343">
        <f>[3]酒店主体!K159</f>
        <v>2941734.5</v>
      </c>
      <c r="L159" s="344">
        <f>[3]酒店主体!L159</f>
        <v>-3.7365231294666297E-2</v>
      </c>
      <c r="M159" s="343">
        <f>[3]酒店主体!M159</f>
        <v>-343047.74</v>
      </c>
      <c r="N159" s="343">
        <f>[3]酒店主体!N159</f>
        <v>-251910.2</v>
      </c>
      <c r="O159" s="344">
        <f>[3]酒店主体!O159</f>
        <v>0.63821417314582496</v>
      </c>
      <c r="P159" s="343">
        <f>[3]酒店主体!P159</f>
        <v>-556666.38</v>
      </c>
      <c r="Q159" s="344">
        <f>[3]酒店主体!Q159</f>
        <v>0.38374625749807301</v>
      </c>
      <c r="R159" s="343">
        <f>[3]酒店主体!R159</f>
        <v>-587351.47</v>
      </c>
      <c r="S159" s="343">
        <f>[3]酒店主体!S159</f>
        <v>-512203.25</v>
      </c>
      <c r="T159" s="344">
        <f>[3]酒店主体!T159</f>
        <v>0.85328437490390796</v>
      </c>
      <c r="U159" s="343">
        <f>[3]酒店主体!U159</f>
        <v>-847994.68</v>
      </c>
      <c r="V159" s="345">
        <f>[3]酒店主体!V159</f>
        <v>0.30736420421882799</v>
      </c>
      <c r="W159" s="343">
        <f>[3]酒店主体!W159</f>
        <v>2.5475391726702998</v>
      </c>
      <c r="X159" s="345">
        <f>[3]酒店主体!X159</f>
        <v>-0.121140551117251</v>
      </c>
      <c r="Y159" s="345">
        <f>[3]酒店主体!Y159</f>
        <v>0.31282051282051299</v>
      </c>
      <c r="Z159" s="343">
        <f>[3]酒店主体!Z159</f>
        <v>199.24168341265599</v>
      </c>
      <c r="AA159" s="346">
        <f>[3]酒店主体!AA159</f>
        <v>62.326885580369499</v>
      </c>
      <c r="AB159" s="347">
        <f>[3]酒店主体!AB159</f>
        <v>3.9706352792525901</v>
      </c>
      <c r="AC159" s="348">
        <f>[3]酒店主体!AC159</f>
        <v>0.56916344729471902</v>
      </c>
      <c r="AD159" s="348">
        <f>[3]酒店主体!AD159</f>
        <v>0.53898494290128796</v>
      </c>
      <c r="AE159" s="347">
        <f>[3]酒店主体!AE159</f>
        <v>5.0071107421836096</v>
      </c>
      <c r="AF159" s="348">
        <f>[3]酒店主体!AF159</f>
        <v>0.31116500040032002</v>
      </c>
      <c r="AG159" s="348">
        <f>[3]酒店主体!AG159</f>
        <v>0.33181394549054599</v>
      </c>
      <c r="AH159" s="347">
        <f>[3]酒店主体!AH159</f>
        <v>5.5028083927558402</v>
      </c>
      <c r="AI159" s="348">
        <f>[3]酒店主体!AI159</f>
        <v>2.3047179645233399E-2</v>
      </c>
      <c r="AJ159" s="349">
        <f>[3]酒店主体!AJ159</f>
        <v>0.55986208157153805</v>
      </c>
      <c r="AK159" s="350">
        <f>[3]酒店主体!AK159</f>
        <v>0</v>
      </c>
      <c r="AL159" s="13"/>
      <c r="AM159" s="13"/>
      <c r="AN159" s="13"/>
      <c r="AO159" s="13"/>
      <c r="AP159" s="13"/>
      <c r="AQ159" s="13"/>
      <c r="AR159" s="13"/>
      <c r="AS159" s="13"/>
    </row>
    <row r="160" spans="1:45" s="13" customFormat="1">
      <c r="A160" s="14"/>
      <c r="B160" s="14"/>
      <c r="C160" s="14"/>
      <c r="D160" s="14"/>
      <c r="E160" s="15"/>
      <c r="F160" s="16"/>
      <c r="G160" s="266"/>
      <c r="H160" s="84"/>
      <c r="I160" s="84"/>
      <c r="J160" s="84"/>
      <c r="K160" s="84"/>
      <c r="L160" s="84"/>
      <c r="M160" s="305"/>
      <c r="N160" s="84"/>
      <c r="O160" s="84"/>
      <c r="P160" s="305"/>
      <c r="Q160" s="84"/>
      <c r="R160" s="84"/>
      <c r="S160" s="84"/>
      <c r="T160" s="84"/>
      <c r="U160" s="84"/>
      <c r="V160" s="305"/>
      <c r="W160" s="84"/>
      <c r="X160" s="84"/>
      <c r="Y160" s="305"/>
      <c r="Z160" s="84"/>
      <c r="AA160" s="306"/>
    </row>
    <row r="161" spans="1:27" s="13" customFormat="1">
      <c r="A161" s="14"/>
      <c r="B161" s="14"/>
      <c r="C161" s="14"/>
      <c r="D161" s="14"/>
      <c r="E161" s="15"/>
      <c r="F161" s="16"/>
      <c r="G161" s="266"/>
      <c r="H161" s="84"/>
      <c r="I161" s="84"/>
      <c r="J161" s="84"/>
      <c r="K161" s="84"/>
      <c r="L161" s="84"/>
      <c r="M161" s="305"/>
      <c r="N161" s="84"/>
      <c r="O161" s="84"/>
      <c r="P161" s="305"/>
      <c r="Q161" s="84"/>
      <c r="R161" s="84"/>
      <c r="S161" s="84"/>
      <c r="T161" s="84"/>
      <c r="U161" s="84"/>
      <c r="V161" s="305"/>
      <c r="W161" s="84"/>
      <c r="X161" s="84"/>
      <c r="Y161" s="305"/>
      <c r="Z161" s="84"/>
      <c r="AA161" s="306"/>
    </row>
    <row r="162" spans="1:27" s="13" customFormat="1">
      <c r="A162" s="14"/>
      <c r="B162" s="14"/>
      <c r="C162" s="14"/>
      <c r="D162" s="14"/>
      <c r="E162" s="15"/>
      <c r="F162" s="16"/>
      <c r="G162" s="266"/>
      <c r="H162" s="84"/>
      <c r="I162" s="84"/>
      <c r="J162" s="84"/>
      <c r="K162" s="84"/>
      <c r="L162" s="84"/>
      <c r="M162" s="305"/>
      <c r="N162" s="84"/>
      <c r="O162" s="84"/>
      <c r="P162" s="305"/>
      <c r="Q162" s="84"/>
      <c r="R162" s="84"/>
      <c r="S162" s="84"/>
      <c r="T162" s="84"/>
      <c r="U162" s="84"/>
      <c r="V162" s="305"/>
      <c r="W162" s="84"/>
      <c r="X162" s="84"/>
      <c r="Y162" s="305"/>
      <c r="Z162" s="84"/>
      <c r="AA162" s="306"/>
    </row>
    <row r="163" spans="1:27" s="13" customFormat="1">
      <c r="A163" s="14"/>
      <c r="B163" s="14"/>
      <c r="C163" s="14"/>
      <c r="D163" s="14"/>
      <c r="E163" s="15"/>
      <c r="F163" s="16"/>
      <c r="G163" s="266"/>
      <c r="H163" s="84"/>
      <c r="I163" s="84"/>
      <c r="J163" s="84"/>
      <c r="K163" s="84"/>
      <c r="L163" s="84"/>
      <c r="M163" s="305"/>
      <c r="N163" s="84"/>
      <c r="O163" s="84"/>
      <c r="P163" s="305"/>
      <c r="Q163" s="84"/>
      <c r="R163" s="84"/>
      <c r="S163" s="84"/>
      <c r="T163" s="84"/>
      <c r="U163" s="84"/>
      <c r="V163" s="305"/>
      <c r="W163" s="84"/>
      <c r="X163" s="84"/>
      <c r="Y163" s="305"/>
      <c r="Z163" s="84"/>
      <c r="AA163" s="306"/>
    </row>
    <row r="164" spans="1:27" s="13" customFormat="1">
      <c r="A164" s="14"/>
      <c r="B164" s="14"/>
      <c r="C164" s="14"/>
      <c r="D164" s="14"/>
      <c r="E164" s="15"/>
      <c r="F164" s="16"/>
      <c r="G164" s="266"/>
      <c r="H164" s="84"/>
      <c r="I164" s="84"/>
      <c r="J164" s="84"/>
      <c r="K164" s="84"/>
      <c r="L164" s="84"/>
      <c r="M164" s="305"/>
      <c r="N164" s="84"/>
      <c r="O164" s="84"/>
      <c r="P164" s="305"/>
      <c r="Q164" s="84"/>
      <c r="R164" s="84"/>
      <c r="S164" s="84"/>
      <c r="T164" s="84"/>
      <c r="U164" s="84"/>
      <c r="V164" s="305"/>
      <c r="W164" s="84"/>
      <c r="X164" s="84"/>
      <c r="Y164" s="305"/>
      <c r="Z164" s="84"/>
      <c r="AA164" s="306"/>
    </row>
    <row r="165" spans="1:27" s="13" customFormat="1">
      <c r="A165" s="14"/>
      <c r="B165" s="14"/>
      <c r="C165" s="14"/>
      <c r="D165" s="14"/>
      <c r="E165" s="15"/>
      <c r="F165" s="16"/>
      <c r="G165" s="266"/>
      <c r="H165" s="84"/>
      <c r="I165" s="84"/>
      <c r="J165" s="84"/>
      <c r="K165" s="84"/>
      <c r="L165" s="84"/>
      <c r="M165" s="305"/>
      <c r="N165" s="84"/>
      <c r="O165" s="84"/>
      <c r="P165" s="305"/>
      <c r="Q165" s="84"/>
      <c r="R165" s="84"/>
      <c r="S165" s="84"/>
      <c r="T165" s="84"/>
      <c r="U165" s="84"/>
      <c r="V165" s="305"/>
      <c r="W165" s="84"/>
      <c r="X165" s="84"/>
      <c r="Y165" s="305"/>
      <c r="Z165" s="84"/>
      <c r="AA165" s="306"/>
    </row>
    <row r="166" spans="1:27" s="13" customFormat="1">
      <c r="A166" s="14"/>
      <c r="B166" s="14"/>
      <c r="C166" s="14"/>
      <c r="D166" s="14"/>
      <c r="E166" s="15"/>
      <c r="F166" s="16"/>
      <c r="G166" s="266"/>
      <c r="H166" s="84"/>
      <c r="I166" s="84"/>
      <c r="J166" s="84"/>
      <c r="K166" s="84"/>
      <c r="L166" s="84"/>
      <c r="M166" s="305"/>
      <c r="N166" s="84"/>
      <c r="O166" s="84"/>
      <c r="P166" s="305"/>
      <c r="Q166" s="84"/>
      <c r="R166" s="84"/>
      <c r="S166" s="84"/>
      <c r="T166" s="84"/>
      <c r="U166" s="84"/>
      <c r="V166" s="305"/>
      <c r="W166" s="84"/>
      <c r="X166" s="84"/>
      <c r="Y166" s="305"/>
      <c r="Z166" s="84"/>
      <c r="AA166" s="306"/>
    </row>
    <row r="167" spans="1:27" s="13" customFormat="1">
      <c r="A167" s="14"/>
      <c r="B167" s="14"/>
      <c r="C167" s="14"/>
      <c r="D167" s="14"/>
      <c r="E167" s="15"/>
      <c r="F167" s="16"/>
      <c r="G167" s="266"/>
      <c r="H167" s="84"/>
      <c r="I167" s="84"/>
      <c r="J167" s="84"/>
      <c r="K167" s="84"/>
      <c r="L167" s="84"/>
      <c r="M167" s="305"/>
      <c r="N167" s="84"/>
      <c r="O167" s="84"/>
      <c r="P167" s="305"/>
      <c r="Q167" s="84"/>
      <c r="R167" s="84"/>
      <c r="S167" s="84"/>
      <c r="T167" s="84"/>
      <c r="U167" s="84"/>
      <c r="V167" s="305"/>
      <c r="W167" s="84"/>
      <c r="X167" s="84"/>
      <c r="Y167" s="305"/>
      <c r="Z167" s="84"/>
      <c r="AA167" s="306"/>
    </row>
    <row r="168" spans="1:27" s="13" customFormat="1">
      <c r="A168" s="14"/>
      <c r="B168" s="14"/>
      <c r="C168" s="14"/>
      <c r="D168" s="14"/>
      <c r="E168" s="15"/>
      <c r="F168" s="16"/>
      <c r="G168" s="266"/>
      <c r="H168" s="84"/>
      <c r="I168" s="84"/>
      <c r="J168" s="84"/>
      <c r="K168" s="84"/>
      <c r="L168" s="84"/>
      <c r="M168" s="305"/>
      <c r="N168" s="84"/>
      <c r="O168" s="84"/>
      <c r="P168" s="305"/>
      <c r="Q168" s="84"/>
      <c r="R168" s="84"/>
      <c r="S168" s="84"/>
      <c r="T168" s="84"/>
      <c r="U168" s="84"/>
      <c r="V168" s="305"/>
      <c r="W168" s="84"/>
      <c r="X168" s="84"/>
      <c r="Y168" s="305"/>
      <c r="Z168" s="84"/>
      <c r="AA168" s="306"/>
    </row>
    <row r="169" spans="1:27" s="13" customFormat="1">
      <c r="A169" s="14"/>
      <c r="B169" s="14"/>
      <c r="C169" s="14"/>
      <c r="D169" s="14"/>
      <c r="E169" s="15"/>
      <c r="F169" s="16"/>
      <c r="G169" s="266"/>
      <c r="H169" s="84"/>
      <c r="I169" s="84"/>
      <c r="J169" s="84"/>
      <c r="K169" s="84"/>
      <c r="L169" s="84"/>
      <c r="M169" s="305"/>
      <c r="N169" s="84"/>
      <c r="O169" s="84"/>
      <c r="P169" s="305"/>
      <c r="Q169" s="84"/>
      <c r="R169" s="84"/>
      <c r="S169" s="84"/>
      <c r="T169" s="84"/>
      <c r="U169" s="84"/>
      <c r="V169" s="305"/>
      <c r="W169" s="84"/>
      <c r="X169" s="84"/>
      <c r="Y169" s="305"/>
      <c r="Z169" s="84"/>
      <c r="AA169" s="306"/>
    </row>
    <row r="170" spans="1:27" s="13" customFormat="1">
      <c r="A170" s="14"/>
      <c r="B170" s="14"/>
      <c r="C170" s="14"/>
      <c r="D170" s="14"/>
      <c r="E170" s="15"/>
      <c r="F170" s="16"/>
      <c r="G170" s="266"/>
      <c r="H170" s="84"/>
      <c r="I170" s="84"/>
      <c r="J170" s="84"/>
      <c r="K170" s="84"/>
      <c r="L170" s="84"/>
      <c r="M170" s="305"/>
      <c r="N170" s="84"/>
      <c r="O170" s="84"/>
      <c r="P170" s="305"/>
      <c r="Q170" s="84"/>
      <c r="R170" s="84"/>
      <c r="S170" s="84"/>
      <c r="T170" s="84"/>
      <c r="U170" s="84"/>
      <c r="V170" s="305"/>
      <c r="W170" s="84"/>
      <c r="X170" s="84"/>
      <c r="Y170" s="305"/>
      <c r="Z170" s="84"/>
      <c r="AA170" s="306"/>
    </row>
    <row r="171" spans="1:27" s="13" customFormat="1">
      <c r="A171" s="14"/>
      <c r="B171" s="14"/>
      <c r="C171" s="14"/>
      <c r="D171" s="14"/>
      <c r="E171" s="15"/>
      <c r="F171" s="16"/>
      <c r="G171" s="266"/>
      <c r="H171" s="84"/>
      <c r="I171" s="84"/>
      <c r="J171" s="84"/>
      <c r="K171" s="84"/>
      <c r="L171" s="84"/>
      <c r="M171" s="305"/>
      <c r="N171" s="84"/>
      <c r="O171" s="84"/>
      <c r="P171" s="305"/>
      <c r="Q171" s="84"/>
      <c r="R171" s="84"/>
      <c r="S171" s="84"/>
      <c r="T171" s="84"/>
      <c r="U171" s="84"/>
      <c r="V171" s="305"/>
      <c r="W171" s="84"/>
      <c r="X171" s="84"/>
      <c r="Y171" s="305"/>
      <c r="Z171" s="84"/>
      <c r="AA171" s="306"/>
    </row>
    <row r="172" spans="1:27" s="13" customFormat="1">
      <c r="A172" s="14"/>
      <c r="B172" s="14"/>
      <c r="C172" s="14"/>
      <c r="D172" s="14"/>
      <c r="E172" s="15"/>
      <c r="F172" s="16"/>
      <c r="G172" s="266"/>
      <c r="H172" s="84"/>
      <c r="I172" s="84"/>
      <c r="J172" s="84"/>
      <c r="K172" s="84"/>
      <c r="L172" s="84"/>
      <c r="M172" s="305"/>
      <c r="N172" s="84"/>
      <c r="O172" s="84"/>
      <c r="P172" s="305"/>
      <c r="Q172" s="84"/>
      <c r="R172" s="84"/>
      <c r="S172" s="84"/>
      <c r="T172" s="84"/>
      <c r="U172" s="84"/>
      <c r="V172" s="305"/>
      <c r="W172" s="84"/>
      <c r="X172" s="84"/>
      <c r="Y172" s="305"/>
      <c r="Z172" s="84"/>
      <c r="AA172" s="306"/>
    </row>
    <row r="173" spans="1:27" s="13" customFormat="1">
      <c r="A173" s="14"/>
      <c r="B173" s="14"/>
      <c r="C173" s="14"/>
      <c r="D173" s="14"/>
      <c r="E173" s="15"/>
      <c r="F173" s="16"/>
      <c r="G173" s="266"/>
      <c r="H173" s="84"/>
      <c r="I173" s="84"/>
      <c r="J173" s="84"/>
      <c r="K173" s="84"/>
      <c r="L173" s="84"/>
      <c r="M173" s="305"/>
      <c r="N173" s="84"/>
      <c r="O173" s="84"/>
      <c r="P173" s="305"/>
      <c r="Q173" s="84"/>
      <c r="R173" s="84"/>
      <c r="S173" s="84"/>
      <c r="T173" s="84"/>
      <c r="U173" s="84"/>
      <c r="V173" s="305"/>
      <c r="W173" s="84"/>
      <c r="X173" s="84"/>
      <c r="Y173" s="305"/>
      <c r="Z173" s="84"/>
      <c r="AA173" s="306"/>
    </row>
    <row r="174" spans="1:27" s="13" customFormat="1">
      <c r="A174" s="14"/>
      <c r="B174" s="14"/>
      <c r="C174" s="14"/>
      <c r="D174" s="14"/>
      <c r="E174" s="15"/>
      <c r="F174" s="16"/>
      <c r="G174" s="266"/>
      <c r="H174" s="84"/>
      <c r="I174" s="84"/>
      <c r="J174" s="84"/>
      <c r="K174" s="84"/>
      <c r="L174" s="84"/>
      <c r="M174" s="305"/>
      <c r="N174" s="84"/>
      <c r="O174" s="84"/>
      <c r="P174" s="305"/>
      <c r="Q174" s="84"/>
      <c r="R174" s="84"/>
      <c r="S174" s="84"/>
      <c r="T174" s="84"/>
      <c r="U174" s="84"/>
      <c r="V174" s="305"/>
      <c r="W174" s="84"/>
      <c r="X174" s="84"/>
      <c r="Y174" s="305"/>
      <c r="Z174" s="84"/>
      <c r="AA174" s="306"/>
    </row>
    <row r="175" spans="1:27" s="13" customFormat="1">
      <c r="A175" s="14"/>
      <c r="B175" s="14"/>
      <c r="C175" s="14"/>
      <c r="D175" s="14"/>
      <c r="E175" s="15"/>
      <c r="F175" s="16"/>
      <c r="G175" s="266"/>
      <c r="H175" s="84"/>
      <c r="I175" s="84"/>
      <c r="J175" s="84"/>
      <c r="K175" s="84"/>
      <c r="L175" s="84"/>
      <c r="M175" s="305"/>
      <c r="N175" s="84"/>
      <c r="O175" s="84"/>
      <c r="P175" s="305"/>
      <c r="Q175" s="84"/>
      <c r="R175" s="84"/>
      <c r="S175" s="84"/>
      <c r="T175" s="84"/>
      <c r="U175" s="84"/>
      <c r="V175" s="305"/>
      <c r="W175" s="84"/>
      <c r="X175" s="84"/>
      <c r="Y175" s="305"/>
      <c r="Z175" s="84"/>
      <c r="AA175" s="306"/>
    </row>
    <row r="176" spans="1:27" s="13" customFormat="1">
      <c r="A176" s="14"/>
      <c r="B176" s="14"/>
      <c r="C176" s="14"/>
      <c r="D176" s="14"/>
      <c r="E176" s="15"/>
      <c r="F176" s="16"/>
      <c r="G176" s="266"/>
      <c r="H176" s="84"/>
      <c r="I176" s="84"/>
      <c r="J176" s="84"/>
      <c r="K176" s="84"/>
      <c r="L176" s="84"/>
      <c r="M176" s="305"/>
      <c r="N176" s="84"/>
      <c r="O176" s="84"/>
      <c r="P176" s="305"/>
      <c r="Q176" s="84"/>
      <c r="R176" s="84"/>
      <c r="S176" s="84"/>
      <c r="T176" s="84"/>
      <c r="U176" s="84"/>
      <c r="V176" s="305"/>
      <c r="W176" s="84"/>
      <c r="X176" s="84"/>
      <c r="Y176" s="305"/>
      <c r="Z176" s="84"/>
      <c r="AA176" s="306"/>
    </row>
    <row r="177" spans="1:27" s="13" customFormat="1">
      <c r="A177" s="14"/>
      <c r="B177" s="14"/>
      <c r="C177" s="14"/>
      <c r="D177" s="14"/>
      <c r="E177" s="15"/>
      <c r="F177" s="16"/>
      <c r="G177" s="266"/>
      <c r="H177" s="84"/>
      <c r="I177" s="84"/>
      <c r="J177" s="84"/>
      <c r="K177" s="84"/>
      <c r="L177" s="84"/>
      <c r="M177" s="305"/>
      <c r="N177" s="84"/>
      <c r="O177" s="84"/>
      <c r="P177" s="305"/>
      <c r="Q177" s="84"/>
      <c r="R177" s="84"/>
      <c r="S177" s="84"/>
      <c r="T177" s="84"/>
      <c r="U177" s="84"/>
      <c r="V177" s="305"/>
      <c r="W177" s="84"/>
      <c r="X177" s="84"/>
      <c r="Y177" s="305"/>
      <c r="Z177" s="84"/>
      <c r="AA177" s="306"/>
    </row>
    <row r="178" spans="1:27" s="13" customFormat="1">
      <c r="A178" s="14"/>
      <c r="B178" s="14"/>
      <c r="C178" s="14"/>
      <c r="D178" s="14"/>
      <c r="E178" s="15"/>
      <c r="F178" s="16"/>
      <c r="G178" s="266"/>
      <c r="H178" s="84"/>
      <c r="I178" s="84"/>
      <c r="J178" s="84"/>
      <c r="K178" s="84"/>
      <c r="L178" s="84"/>
      <c r="M178" s="305"/>
      <c r="N178" s="84"/>
      <c r="O178" s="84"/>
      <c r="P178" s="305"/>
      <c r="Q178" s="84"/>
      <c r="R178" s="84"/>
      <c r="S178" s="84"/>
      <c r="T178" s="84"/>
      <c r="U178" s="84"/>
      <c r="V178" s="305"/>
      <c r="W178" s="84"/>
      <c r="X178" s="84"/>
      <c r="Y178" s="305"/>
      <c r="Z178" s="84"/>
      <c r="AA178" s="306"/>
    </row>
    <row r="179" spans="1:27" s="13" customFormat="1">
      <c r="A179" s="14"/>
      <c r="B179" s="14"/>
      <c r="C179" s="14"/>
      <c r="D179" s="14"/>
      <c r="E179" s="15"/>
      <c r="F179" s="16"/>
      <c r="G179" s="266"/>
      <c r="H179" s="84"/>
      <c r="I179" s="84"/>
      <c r="J179" s="84"/>
      <c r="K179" s="84"/>
      <c r="L179" s="84"/>
      <c r="M179" s="305"/>
      <c r="N179" s="84"/>
      <c r="O179" s="84"/>
      <c r="P179" s="305"/>
      <c r="Q179" s="84"/>
      <c r="R179" s="84"/>
      <c r="S179" s="84"/>
      <c r="T179" s="84"/>
      <c r="U179" s="84"/>
      <c r="V179" s="305"/>
      <c r="W179" s="84"/>
      <c r="X179" s="84"/>
      <c r="Y179" s="305"/>
      <c r="Z179" s="84"/>
      <c r="AA179" s="306"/>
    </row>
    <row r="180" spans="1:27" s="13" customFormat="1">
      <c r="A180" s="14"/>
      <c r="B180" s="14"/>
      <c r="C180" s="14"/>
      <c r="D180" s="14"/>
      <c r="E180" s="15"/>
      <c r="F180" s="16"/>
      <c r="G180" s="266"/>
      <c r="H180" s="84"/>
      <c r="I180" s="84"/>
      <c r="J180" s="84"/>
      <c r="K180" s="84"/>
      <c r="L180" s="84"/>
      <c r="M180" s="305"/>
      <c r="N180" s="84"/>
      <c r="O180" s="84"/>
      <c r="P180" s="305"/>
      <c r="Q180" s="84"/>
      <c r="R180" s="84"/>
      <c r="S180" s="84"/>
      <c r="T180" s="84"/>
      <c r="U180" s="84"/>
      <c r="V180" s="305"/>
      <c r="W180" s="84"/>
      <c r="X180" s="84"/>
      <c r="Y180" s="305"/>
      <c r="Z180" s="84"/>
      <c r="AA180" s="306"/>
    </row>
    <row r="181" spans="1:27" s="13" customFormat="1">
      <c r="A181" s="14"/>
      <c r="B181" s="14"/>
      <c r="C181" s="14"/>
      <c r="D181" s="14"/>
      <c r="E181" s="15"/>
      <c r="F181" s="16"/>
      <c r="G181" s="266"/>
      <c r="H181" s="84"/>
      <c r="I181" s="84"/>
      <c r="J181" s="84"/>
      <c r="K181" s="84"/>
      <c r="L181" s="84"/>
      <c r="M181" s="305"/>
      <c r="N181" s="84"/>
      <c r="O181" s="84"/>
      <c r="P181" s="305"/>
      <c r="Q181" s="84"/>
      <c r="R181" s="84"/>
      <c r="S181" s="84"/>
      <c r="T181" s="84"/>
      <c r="U181" s="84"/>
      <c r="V181" s="305"/>
      <c r="W181" s="84"/>
      <c r="X181" s="84"/>
      <c r="Y181" s="305"/>
      <c r="Z181" s="84"/>
      <c r="AA181" s="306"/>
    </row>
    <row r="182" spans="1:27" s="13" customFormat="1">
      <c r="A182" s="14"/>
      <c r="B182" s="14"/>
      <c r="C182" s="14"/>
      <c r="D182" s="14"/>
      <c r="E182" s="15"/>
      <c r="F182" s="16"/>
      <c r="G182" s="266"/>
      <c r="H182" s="84"/>
      <c r="I182" s="84"/>
      <c r="J182" s="84"/>
      <c r="K182" s="84"/>
      <c r="L182" s="84"/>
      <c r="M182" s="305"/>
      <c r="N182" s="84"/>
      <c r="O182" s="84"/>
      <c r="P182" s="305"/>
      <c r="Q182" s="84"/>
      <c r="R182" s="84"/>
      <c r="S182" s="84"/>
      <c r="T182" s="84"/>
      <c r="U182" s="84"/>
      <c r="V182" s="305"/>
      <c r="W182" s="84"/>
      <c r="X182" s="84"/>
      <c r="Y182" s="305"/>
      <c r="Z182" s="84"/>
      <c r="AA182" s="306"/>
    </row>
    <row r="183" spans="1:27" s="13" customFormat="1">
      <c r="A183" s="14"/>
      <c r="B183" s="14"/>
      <c r="C183" s="14"/>
      <c r="D183" s="14"/>
      <c r="E183" s="15"/>
      <c r="F183" s="16"/>
      <c r="G183" s="266"/>
      <c r="H183" s="84"/>
      <c r="I183" s="84"/>
      <c r="J183" s="84"/>
      <c r="K183" s="84"/>
      <c r="L183" s="84"/>
      <c r="M183" s="305"/>
      <c r="N183" s="84"/>
      <c r="O183" s="84"/>
      <c r="P183" s="305"/>
      <c r="Q183" s="84"/>
      <c r="R183" s="84"/>
      <c r="S183" s="84"/>
      <c r="T183" s="84"/>
      <c r="U183" s="84"/>
      <c r="V183" s="305"/>
      <c r="W183" s="84"/>
      <c r="X183" s="84"/>
      <c r="Y183" s="305"/>
      <c r="Z183" s="84"/>
      <c r="AA183" s="306"/>
    </row>
    <row r="184" spans="1:27" s="13" customFormat="1">
      <c r="A184" s="14"/>
      <c r="B184" s="14"/>
      <c r="C184" s="14"/>
      <c r="D184" s="14"/>
      <c r="E184" s="15"/>
      <c r="F184" s="16"/>
      <c r="G184" s="266"/>
      <c r="H184" s="84"/>
      <c r="I184" s="84"/>
      <c r="J184" s="84"/>
      <c r="K184" s="84"/>
      <c r="L184" s="84"/>
      <c r="M184" s="305"/>
      <c r="N184" s="84"/>
      <c r="O184" s="84"/>
      <c r="P184" s="305"/>
      <c r="Q184" s="84"/>
      <c r="R184" s="84"/>
      <c r="S184" s="84"/>
      <c r="T184" s="84"/>
      <c r="U184" s="84"/>
      <c r="V184" s="305"/>
      <c r="W184" s="84"/>
      <c r="X184" s="84"/>
      <c r="Y184" s="305"/>
      <c r="Z184" s="84"/>
      <c r="AA184" s="306"/>
    </row>
  </sheetData>
  <mergeCells count="22">
    <mergeCell ref="I2:Q2"/>
    <mergeCell ref="H3:L3"/>
    <mergeCell ref="M3:Q3"/>
    <mergeCell ref="R3:S3"/>
    <mergeCell ref="H138:L138"/>
    <mergeCell ref="M138:Q138"/>
    <mergeCell ref="R138:S138"/>
    <mergeCell ref="W156:X156"/>
    <mergeCell ref="Y156:AC156"/>
    <mergeCell ref="AD156:AF156"/>
    <mergeCell ref="AG156:AJ156"/>
    <mergeCell ref="G3:G4"/>
    <mergeCell ref="G138:G139"/>
    <mergeCell ref="G151:G152"/>
    <mergeCell ref="G156:G157"/>
    <mergeCell ref="H151:H152"/>
    <mergeCell ref="M151:M152"/>
    <mergeCell ref="I151:J151"/>
    <mergeCell ref="K151:L151"/>
    <mergeCell ref="H156:L156"/>
    <mergeCell ref="M156:Q156"/>
    <mergeCell ref="R156:V156"/>
  </mergeCells>
  <phoneticPr fontId="54" type="noConversion"/>
  <conditionalFormatting sqref="A13:E16 C43:D48 C49">
    <cfRule type="cellIs" dxfId="41" priority="15" stopIfTrue="1" operator="lessThan">
      <formula>0</formula>
    </cfRule>
  </conditionalFormatting>
  <conditionalFormatting sqref="D56">
    <cfRule type="cellIs" dxfId="40" priority="11" stopIfTrue="1" operator="lessThan">
      <formula>0</formula>
    </cfRule>
  </conditionalFormatting>
  <conditionalFormatting sqref="D60">
    <cfRule type="cellIs" dxfId="39" priority="10" stopIfTrue="1" operator="lessThan">
      <formula>0</formula>
    </cfRule>
  </conditionalFormatting>
  <conditionalFormatting sqref="D64:D65">
    <cfRule type="cellIs" dxfId="38" priority="9" stopIfTrue="1" operator="lessThan">
      <formula>0</formula>
    </cfRule>
  </conditionalFormatting>
  <conditionalFormatting sqref="D77">
    <cfRule type="cellIs" dxfId="37" priority="8" stopIfTrue="1" operator="lessThan">
      <formula>0</formula>
    </cfRule>
  </conditionalFormatting>
  <conditionalFormatting sqref="D82:D83">
    <cfRule type="cellIs" dxfId="36" priority="7" stopIfTrue="1" operator="lessThan">
      <formula>0</formula>
    </cfRule>
  </conditionalFormatting>
  <conditionalFormatting sqref="D85:D86">
    <cfRule type="cellIs" dxfId="35" priority="6" stopIfTrue="1" operator="lessThan">
      <formula>0</formula>
    </cfRule>
  </conditionalFormatting>
  <conditionalFormatting sqref="D106">
    <cfRule type="cellIs" dxfId="34" priority="5" stopIfTrue="1" operator="lessThan">
      <formula>0</formula>
    </cfRule>
  </conditionalFormatting>
  <conditionalFormatting sqref="D114">
    <cfRule type="cellIs" dxfId="33" priority="4" stopIfTrue="1" operator="lessThan">
      <formula>0</formula>
    </cfRule>
  </conditionalFormatting>
  <conditionalFormatting sqref="G5:G14">
    <cfRule type="cellIs" dxfId="32" priority="13" stopIfTrue="1" operator="lessThan">
      <formula>0</formula>
    </cfRule>
  </conditionalFormatting>
  <conditionalFormatting sqref="G16:G40">
    <cfRule type="cellIs" dxfId="31" priority="3" stopIfTrue="1" operator="lessThan">
      <formula>0</formula>
    </cfRule>
  </conditionalFormatting>
  <conditionalFormatting sqref="G43:G49">
    <cfRule type="cellIs" dxfId="30" priority="12" stopIfTrue="1" operator="lessThan">
      <formula>0</formula>
    </cfRule>
  </conditionalFormatting>
  <conditionalFormatting sqref="G15:S15">
    <cfRule type="cellIs" dxfId="29" priority="2" operator="equal">
      <formula>0</formula>
    </cfRule>
  </conditionalFormatting>
  <conditionalFormatting sqref="G41:S41">
    <cfRule type="cellIs" dxfId="28" priority="1" operator="equal">
      <formula>0</formula>
    </cfRule>
  </conditionalFormatting>
  <dataValidations count="1">
    <dataValidation type="list" allowBlank="1" showInputMessage="1" showErrorMessage="1" sqref="S2 U2" xr:uid="{00000000-0002-0000-0D00-000000000000}">
      <formula1>"元,万元"</formula1>
    </dataValidation>
  </dataValidations>
  <hyperlinks>
    <hyperlink ref="G42" location="'6.1客房'!F1" display="ROOMS    客房" xr:uid="{00000000-0004-0000-0D00-000000000000}"/>
    <hyperlink ref="G102" location="物业保养!A1" display="POM 物业运营及保养" xr:uid="{00000000-0004-0000-0D00-000001000000}"/>
    <hyperlink ref="G97" location="营销!A1" display="Sales &amp; Marketing 营销" xr:uid="{00000000-0004-0000-0D00-000002000000}"/>
    <hyperlink ref="G90" location="行政!A1" display="A&amp;G 行政部" xr:uid="{00000000-0004-0000-0D00-000003000000}"/>
    <hyperlink ref="G101" location="工程!A1" display="Utility 能源费用" xr:uid="{00000000-0004-0000-0D00-000004000000}"/>
    <hyperlink ref="G51" location="餐饮!A1" display="FOOD &amp; BEVERAGE 餐饮" xr:uid="{00000000-0004-0000-0D00-000005000000}"/>
    <hyperlink ref="T3" location="'汇总-累计'!A1" display="返回" xr:uid="{00000000-0004-0000-0D00-000006000000}"/>
  </hyperlink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4">
    <tabColor theme="2"/>
  </sheetPr>
  <dimension ref="A1:AS184"/>
  <sheetViews>
    <sheetView zoomScale="80" zoomScaleNormal="80" zoomScaleSheetLayoutView="70" workbookViewId="0">
      <pane xSplit="7" ySplit="4" topLeftCell="H5" activePane="bottomRight" state="frozen"/>
      <selection pane="topRight"/>
      <selection pane="bottomLeft"/>
      <selection pane="bottomRight" activeCell="V16" sqref="V16"/>
    </sheetView>
  </sheetViews>
  <sheetFormatPr defaultColWidth="8.7109375" defaultRowHeight="16.3" outlineLevelCol="1"/>
  <cols>
    <col min="1" max="4" width="0.2109375" style="14" customWidth="1" outlineLevel="1"/>
    <col min="5" max="5" width="0.2109375" style="15" customWidth="1" outlineLevel="1"/>
    <col min="6" max="6" width="0.2109375" style="16" customWidth="1" outlineLevel="1"/>
    <col min="7" max="7" width="55.2109375" style="17" customWidth="1"/>
    <col min="8" max="8" width="12.140625" style="18" customWidth="1"/>
    <col min="9" max="9" width="13.35546875" style="18" customWidth="1"/>
    <col min="10" max="10" width="8.640625" style="18" customWidth="1"/>
    <col min="11" max="11" width="12" style="18" customWidth="1"/>
    <col min="12" max="12" width="8.2109375" style="18" customWidth="1"/>
    <col min="13" max="13" width="12" style="19" customWidth="1"/>
    <col min="14" max="14" width="9.85546875" style="18" customWidth="1"/>
    <col min="15" max="15" width="10.140625" style="18" customWidth="1"/>
    <col min="16" max="16" width="11.2109375" style="19" customWidth="1"/>
    <col min="17" max="17" width="9.5" style="18" customWidth="1"/>
    <col min="18" max="18" width="11.2109375" style="18" customWidth="1"/>
    <col min="19" max="19" width="10.2109375" style="18" customWidth="1"/>
    <col min="20" max="20" width="7" style="18" customWidth="1"/>
    <col min="21" max="21" width="11.7109375" style="18" customWidth="1"/>
    <col min="22" max="22" width="7.7109375" style="19" customWidth="1"/>
    <col min="23" max="23" width="10.5" style="18" customWidth="1"/>
    <col min="24" max="24" width="7.85546875" style="18" customWidth="1"/>
    <col min="25" max="25" width="6.35546875" style="19" customWidth="1"/>
    <col min="26" max="26" width="8.640625" style="18" customWidth="1"/>
    <col min="27" max="27" width="7.640625" style="20" customWidth="1"/>
    <col min="28" max="28" width="7.7109375" style="21" customWidth="1"/>
    <col min="29" max="29" width="8.2109375" style="21" customWidth="1"/>
    <col min="30" max="30" width="6.5" style="21" customWidth="1"/>
    <col min="31" max="31" width="7.7109375" style="21" customWidth="1"/>
    <col min="32" max="32" width="14.7109375" style="21" customWidth="1"/>
    <col min="33" max="33" width="8.35546875" style="21" customWidth="1"/>
    <col min="34" max="34" width="9.7109375" style="21" customWidth="1"/>
    <col min="35" max="35" width="10.7109375" style="21" customWidth="1"/>
    <col min="36" max="36" width="11.35546875" style="21" customWidth="1"/>
    <col min="37" max="37" width="14.7109375" style="21" customWidth="1"/>
    <col min="38" max="16384" width="8.7109375" style="21"/>
  </cols>
  <sheetData>
    <row r="1" spans="1:45" s="1" customFormat="1" ht="20.25" hidden="1" customHeight="1">
      <c r="A1" s="22"/>
      <c r="B1" s="23"/>
      <c r="C1" s="24"/>
      <c r="D1" s="23"/>
      <c r="E1" s="24"/>
      <c r="F1" s="24"/>
      <c r="G1" s="22"/>
      <c r="H1" s="25" t="s">
        <v>312</v>
      </c>
      <c r="I1" s="25" t="s">
        <v>313</v>
      </c>
      <c r="J1" s="25" t="s">
        <v>314</v>
      </c>
      <c r="K1" s="25" t="s">
        <v>315</v>
      </c>
      <c r="L1" s="25"/>
      <c r="M1" s="25"/>
      <c r="N1" s="25" t="s">
        <v>316</v>
      </c>
      <c r="O1" s="25"/>
      <c r="P1" s="25"/>
      <c r="Q1" s="25" t="s">
        <v>317</v>
      </c>
      <c r="R1" s="25" t="s">
        <v>318</v>
      </c>
      <c r="S1" s="25" t="s">
        <v>319</v>
      </c>
      <c r="T1" s="25" t="s">
        <v>474</v>
      </c>
      <c r="U1" s="25" t="s">
        <v>474</v>
      </c>
      <c r="V1" s="25" t="s">
        <v>474</v>
      </c>
      <c r="W1" s="25" t="s">
        <v>474</v>
      </c>
      <c r="X1" s="25" t="s">
        <v>474</v>
      </c>
      <c r="Y1" s="25" t="s">
        <v>474</v>
      </c>
      <c r="Z1" s="25" t="s">
        <v>474</v>
      </c>
      <c r="AA1" s="25" t="s">
        <v>474</v>
      </c>
      <c r="AB1" s="25" t="s">
        <v>474</v>
      </c>
      <c r="AC1" s="25" t="s">
        <v>474</v>
      </c>
      <c r="AD1" s="25" t="s">
        <v>474</v>
      </c>
      <c r="AE1" s="25" t="s">
        <v>474</v>
      </c>
      <c r="AF1" s="25" t="s">
        <v>474</v>
      </c>
      <c r="AG1" s="25" t="s">
        <v>474</v>
      </c>
      <c r="AH1" s="25" t="s">
        <v>474</v>
      </c>
      <c r="AI1" s="25" t="s">
        <v>474</v>
      </c>
      <c r="AJ1" s="25" t="s">
        <v>474</v>
      </c>
      <c r="AK1" s="25" t="s">
        <v>474</v>
      </c>
      <c r="AL1" s="22"/>
      <c r="AM1" s="22"/>
      <c r="AN1" s="22"/>
      <c r="AO1" s="22"/>
      <c r="AP1" s="22"/>
      <c r="AQ1" s="22"/>
      <c r="AR1" s="22"/>
      <c r="AS1" s="22"/>
    </row>
    <row r="2" spans="1:45" ht="20.7" customHeight="1">
      <c r="G2" s="26" t="str">
        <f>""&amp;[4]DT!B6&amp;"酒店主体"</f>
        <v>滁州碧桂园凤凰酒店管理有限公司酒店主体</v>
      </c>
      <c r="H2" s="27" t="str">
        <f>""&amp;[4]DT!B1&amp;"年"&amp;[4]DT!B2&amp;"月"</f>
        <v>2026年1月</v>
      </c>
      <c r="I2" s="940" t="s">
        <v>324</v>
      </c>
      <c r="J2" s="940"/>
      <c r="K2" s="940"/>
      <c r="L2" s="940"/>
      <c r="M2" s="940"/>
      <c r="N2" s="940"/>
      <c r="O2" s="940"/>
      <c r="P2" s="940"/>
      <c r="Q2" s="940"/>
      <c r="R2" s="28" t="s">
        <v>325</v>
      </c>
      <c r="S2" s="29" t="s">
        <v>326</v>
      </c>
      <c r="T2" s="13"/>
      <c r="U2" s="30"/>
      <c r="V2" s="13"/>
      <c r="W2" s="31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5" s="2" customFormat="1" ht="16.5" customHeight="1">
      <c r="A3" s="32"/>
      <c r="B3" s="32"/>
      <c r="C3" s="32"/>
      <c r="D3" s="32"/>
      <c r="E3" s="33"/>
      <c r="F3" s="34"/>
      <c r="G3" s="923" t="s">
        <v>327</v>
      </c>
      <c r="H3" s="956" t="s">
        <v>328</v>
      </c>
      <c r="I3" s="956"/>
      <c r="J3" s="956"/>
      <c r="K3" s="956"/>
      <c r="L3" s="957"/>
      <c r="M3" s="958" t="s">
        <v>329</v>
      </c>
      <c r="N3" s="959"/>
      <c r="O3" s="959"/>
      <c r="P3" s="959"/>
      <c r="Q3" s="960"/>
      <c r="R3" s="946" t="s">
        <v>330</v>
      </c>
      <c r="S3" s="947"/>
      <c r="T3" s="35" t="s">
        <v>475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</row>
    <row r="4" spans="1:45" s="2" customFormat="1" ht="16.399999999999999" customHeight="1">
      <c r="A4" s="32"/>
      <c r="B4" s="32"/>
      <c r="C4" s="32"/>
      <c r="D4" s="32"/>
      <c r="E4" s="33"/>
      <c r="F4" s="36"/>
      <c r="G4" s="924"/>
      <c r="H4" s="37" t="s">
        <v>331</v>
      </c>
      <c r="I4" s="38" t="s">
        <v>249</v>
      </c>
      <c r="J4" s="39" t="s">
        <v>332</v>
      </c>
      <c r="K4" s="40" t="s">
        <v>270</v>
      </c>
      <c r="L4" s="41" t="s">
        <v>332</v>
      </c>
      <c r="M4" s="42" t="s">
        <v>331</v>
      </c>
      <c r="N4" s="43" t="s">
        <v>249</v>
      </c>
      <c r="O4" s="44" t="s">
        <v>332</v>
      </c>
      <c r="P4" s="43" t="s">
        <v>270</v>
      </c>
      <c r="Q4" s="44" t="s">
        <v>332</v>
      </c>
      <c r="R4" s="45" t="s">
        <v>245</v>
      </c>
      <c r="S4" s="46" t="s">
        <v>11</v>
      </c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</row>
    <row r="5" spans="1:45" ht="16.5" customHeight="1">
      <c r="A5" s="47"/>
      <c r="B5" s="47"/>
      <c r="C5" s="48"/>
      <c r="D5" s="48"/>
      <c r="E5" s="49"/>
      <c r="F5" s="36"/>
      <c r="G5" s="50" t="s">
        <v>333</v>
      </c>
      <c r="H5" s="51">
        <f>[4]酒店主体!J5</f>
        <v>10323</v>
      </c>
      <c r="I5" s="52">
        <f>[4]酒店主体!K5</f>
        <v>10323</v>
      </c>
      <c r="J5" s="53">
        <f>[4]酒店主体!M5</f>
        <v>0</v>
      </c>
      <c r="K5" s="52">
        <f>[4]酒店主体!N5</f>
        <v>10323</v>
      </c>
      <c r="L5" s="54">
        <f>[4]酒店主体!P5</f>
        <v>0</v>
      </c>
      <c r="M5" s="51">
        <f>[4]酒店主体!S5</f>
        <v>10323</v>
      </c>
      <c r="N5" s="55">
        <f>[4]酒店主体!T5</f>
        <v>10323</v>
      </c>
      <c r="O5" s="53">
        <f>[4]酒店主体!V5</f>
        <v>0</v>
      </c>
      <c r="P5" s="52">
        <f>[4]酒店主体!W5</f>
        <v>10323</v>
      </c>
      <c r="Q5" s="56">
        <f>[4]酒店主体!Y5</f>
        <v>0</v>
      </c>
      <c r="R5" s="57">
        <f>[4]酒店主体!Z5</f>
        <v>121545</v>
      </c>
      <c r="S5" s="58">
        <f>[4]酒店主体!AA5</f>
        <v>8.4931506849315094E-2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spans="1:45" ht="16.5" customHeight="1">
      <c r="A6" s="47"/>
      <c r="B6" s="47"/>
      <c r="C6" s="48"/>
      <c r="D6" s="48"/>
      <c r="E6" s="49"/>
      <c r="F6" s="36"/>
      <c r="G6" s="50" t="s">
        <v>334</v>
      </c>
      <c r="H6" s="51">
        <f>[4]酒店主体!J6</f>
        <v>10323</v>
      </c>
      <c r="I6" s="52">
        <f>[4]酒店主体!K6</f>
        <v>10323</v>
      </c>
      <c r="J6" s="53">
        <f>[4]酒店主体!M6</f>
        <v>0</v>
      </c>
      <c r="K6" s="52">
        <f>[4]酒店主体!N6</f>
        <v>10323</v>
      </c>
      <c r="L6" s="54">
        <f>[4]酒店主体!P6</f>
        <v>0</v>
      </c>
      <c r="M6" s="51">
        <f>[4]酒店主体!S6</f>
        <v>10323</v>
      </c>
      <c r="N6" s="55">
        <f>[4]酒店主体!T6</f>
        <v>10323</v>
      </c>
      <c r="O6" s="53">
        <f>[4]酒店主体!V6</f>
        <v>0</v>
      </c>
      <c r="P6" s="52">
        <f>[4]酒店主体!W6</f>
        <v>10323</v>
      </c>
      <c r="Q6" s="56">
        <f>[4]酒店主体!Y6</f>
        <v>0</v>
      </c>
      <c r="R6" s="57">
        <f>[4]酒店主体!Z6</f>
        <v>121545</v>
      </c>
      <c r="S6" s="58">
        <f>[4]酒店主体!AA6</f>
        <v>8.4931506849315094E-2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spans="1:45" ht="16.5" customHeight="1">
      <c r="A7" s="47"/>
      <c r="B7" s="47"/>
      <c r="C7" s="48"/>
      <c r="D7" s="48"/>
      <c r="E7" s="49"/>
      <c r="F7" s="36"/>
      <c r="G7" s="59" t="s">
        <v>335</v>
      </c>
      <c r="H7" s="60">
        <f>[4]酒店主体!J7</f>
        <v>331.5</v>
      </c>
      <c r="I7" s="61">
        <f>[4]酒店主体!K7</f>
        <v>1850</v>
      </c>
      <c r="J7" s="62">
        <f>[4]酒店主体!M7</f>
        <v>-0.82081081081081098</v>
      </c>
      <c r="K7" s="61">
        <f>[4]酒店主体!N7</f>
        <v>2026.5</v>
      </c>
      <c r="L7" s="63">
        <f>[4]酒店主体!P7</f>
        <v>-0.83641746854182097</v>
      </c>
      <c r="M7" s="60">
        <f>[4]酒店主体!S7</f>
        <v>331.5</v>
      </c>
      <c r="N7" s="64">
        <f>[4]酒店主体!T7</f>
        <v>1850</v>
      </c>
      <c r="O7" s="62">
        <f>[4]酒店主体!V7</f>
        <v>-0.82081081081081098</v>
      </c>
      <c r="P7" s="61">
        <f>[4]酒店主体!W7</f>
        <v>2026.5</v>
      </c>
      <c r="Q7" s="65">
        <f>[4]酒店主体!Y7</f>
        <v>-0.83641746854182097</v>
      </c>
      <c r="R7" s="57">
        <f>[4]酒店主体!Z7</f>
        <v>33615</v>
      </c>
      <c r="S7" s="58">
        <f>[4]酒店主体!AA7</f>
        <v>9.8616688978134803E-3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5" ht="16.5" customHeight="1">
      <c r="A8" s="47"/>
      <c r="B8" s="47"/>
      <c r="C8" s="48"/>
      <c r="D8" s="48"/>
      <c r="E8" s="49"/>
      <c r="F8" s="36"/>
      <c r="G8" s="50" t="s">
        <v>336</v>
      </c>
      <c r="H8" s="51">
        <f>[4]酒店主体!J8</f>
        <v>265.5</v>
      </c>
      <c r="I8" s="52">
        <f>[4]酒店主体!K8</f>
        <v>1850</v>
      </c>
      <c r="J8" s="53">
        <f>[4]酒店主体!M8</f>
        <v>-0.85648648648648695</v>
      </c>
      <c r="K8" s="52">
        <f>[4]酒店主体!N8</f>
        <v>1928.5</v>
      </c>
      <c r="L8" s="54">
        <f>[4]酒店主体!P8</f>
        <v>-0.86232823437905104</v>
      </c>
      <c r="M8" s="51">
        <f>[4]酒店主体!S8</f>
        <v>265.5</v>
      </c>
      <c r="N8" s="55">
        <f>[4]酒店主体!T8</f>
        <v>1850</v>
      </c>
      <c r="O8" s="53">
        <f>[4]酒店主体!V8</f>
        <v>-0.85648648648648695</v>
      </c>
      <c r="P8" s="52">
        <f>[4]酒店主体!W8</f>
        <v>1928.5</v>
      </c>
      <c r="Q8" s="56">
        <f>[4]酒店主体!Y8</f>
        <v>-0.86232823437905104</v>
      </c>
      <c r="R8" s="57">
        <f>[4]酒店主体!Z8</f>
        <v>33615</v>
      </c>
      <c r="S8" s="58">
        <f>[4]酒店主体!AA8</f>
        <v>7.8982597054886201E-3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5" ht="16.5" customHeight="1">
      <c r="A9" s="47" t="s">
        <v>337</v>
      </c>
      <c r="B9" s="47"/>
      <c r="C9" s="48"/>
      <c r="D9" s="48"/>
      <c r="E9" s="49"/>
      <c r="F9" s="36"/>
      <c r="G9" s="66" t="s">
        <v>338</v>
      </c>
      <c r="H9" s="67">
        <f>[4]酒店主体!J9</f>
        <v>3.2112757919209499E-2</v>
      </c>
      <c r="I9" s="68">
        <f>[4]酒店主体!K9</f>
        <v>0.17921146953405001</v>
      </c>
      <c r="J9" s="67">
        <f>[4]酒店主体!M9</f>
        <v>-0.82081081081081098</v>
      </c>
      <c r="K9" s="68">
        <f>[4]酒店主体!N9</f>
        <v>0.19630921243824501</v>
      </c>
      <c r="L9" s="69">
        <f>[4]酒店主体!P9</f>
        <v>-0.83641746854182097</v>
      </c>
      <c r="M9" s="67">
        <f>[4]酒店主体!S9</f>
        <v>3.2112757919209499E-2</v>
      </c>
      <c r="N9" s="70">
        <f>[4]酒店主体!T9</f>
        <v>0.17921146953405001</v>
      </c>
      <c r="O9" s="67">
        <f>[4]酒店主体!V9</f>
        <v>-0.82081081081081098</v>
      </c>
      <c r="P9" s="68">
        <f>[4]酒店主体!W9</f>
        <v>0.19630921243824501</v>
      </c>
      <c r="Q9" s="71">
        <f>[4]酒店主体!Y9</f>
        <v>-0.83641746854182097</v>
      </c>
      <c r="R9" s="72">
        <f>[4]酒店主体!Z9</f>
        <v>0.27656423546834502</v>
      </c>
      <c r="S9" s="58">
        <f>[4]酒店主体!AA9</f>
        <v>0.116113198312965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5" ht="16.5" customHeight="1">
      <c r="A10" s="47" t="s">
        <v>337</v>
      </c>
      <c r="B10" s="47"/>
      <c r="C10" s="48"/>
      <c r="D10" s="48"/>
      <c r="E10" s="49"/>
      <c r="F10" s="36"/>
      <c r="G10" s="50" t="s">
        <v>339</v>
      </c>
      <c r="H10" s="67">
        <f>[4]酒店主体!J10</f>
        <v>2.57192676547515E-2</v>
      </c>
      <c r="I10" s="68">
        <f>[4]酒店主体!K10</f>
        <v>0.17921146953405001</v>
      </c>
      <c r="J10" s="67">
        <f>[4]酒店主体!M10</f>
        <v>-0.85648648648648695</v>
      </c>
      <c r="K10" s="68">
        <f>[4]酒店主体!N10</f>
        <v>0.186815848106171</v>
      </c>
      <c r="L10" s="69">
        <f>[4]酒店主体!P10</f>
        <v>-0.86232823437905104</v>
      </c>
      <c r="M10" s="67">
        <f>[4]酒店主体!S10</f>
        <v>2.57192676547515E-2</v>
      </c>
      <c r="N10" s="70">
        <f>[4]酒店主体!T10</f>
        <v>0.17921146953405001</v>
      </c>
      <c r="O10" s="67">
        <f>[4]酒店主体!V10</f>
        <v>-0.85648648648648695</v>
      </c>
      <c r="P10" s="68">
        <f>[4]酒店主体!W10</f>
        <v>0.186815848106171</v>
      </c>
      <c r="Q10" s="71">
        <f>[4]酒店主体!Y10</f>
        <v>-0.86232823437905104</v>
      </c>
      <c r="R10" s="72">
        <f>[4]酒店主体!Z10</f>
        <v>0.27656423546834502</v>
      </c>
      <c r="S10" s="58">
        <f>[4]酒店主体!AA10</f>
        <v>9.2995638467849903E-2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5" ht="16.5" customHeight="1">
      <c r="A11" s="47"/>
      <c r="B11" s="47"/>
      <c r="C11" s="48"/>
      <c r="D11" s="48"/>
      <c r="E11" s="49"/>
      <c r="F11" s="36"/>
      <c r="G11" s="66" t="s">
        <v>340</v>
      </c>
      <c r="H11" s="51">
        <f>[4]酒店主体!J11</f>
        <v>165.84337858220201</v>
      </c>
      <c r="I11" s="52">
        <f>[4]酒店主体!K11</f>
        <v>158.873021621622</v>
      </c>
      <c r="J11" s="53">
        <f>[4]酒店主体!M11</f>
        <v>4.38737608779253E-2</v>
      </c>
      <c r="K11" s="52">
        <f>[4]酒店主体!N11</f>
        <v>167.501544534912</v>
      </c>
      <c r="L11" s="54">
        <f>[4]酒店主体!P11</f>
        <v>-9.8994069416756501E-3</v>
      </c>
      <c r="M11" s="51">
        <f>[4]酒店主体!S11</f>
        <v>165.84337858220201</v>
      </c>
      <c r="N11" s="55">
        <f>[4]酒店主体!T11</f>
        <v>158.873021621622</v>
      </c>
      <c r="O11" s="53">
        <f>[4]酒店主体!V11</f>
        <v>4.38737608779253E-2</v>
      </c>
      <c r="P11" s="52">
        <f>[4]酒店主体!W11</f>
        <v>167.501544534912</v>
      </c>
      <c r="Q11" s="56">
        <f>[4]酒店主体!Y11</f>
        <v>-9.8994069416756501E-3</v>
      </c>
      <c r="R11" s="57">
        <f>[4]酒店主体!Z11</f>
        <v>163.75915989885499</v>
      </c>
      <c r="S11" s="58">
        <f>[4]酒店主体!AA11</f>
        <v>1.0127273410820801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5" ht="16.5" customHeight="1">
      <c r="A12" s="47"/>
      <c r="B12" s="47"/>
      <c r="C12" s="48"/>
      <c r="D12" s="48"/>
      <c r="E12" s="49"/>
      <c r="F12" s="36"/>
      <c r="G12" s="50" t="s">
        <v>341</v>
      </c>
      <c r="H12" s="51">
        <f>[4]酒店主体!J12</f>
        <v>207.06998116760801</v>
      </c>
      <c r="I12" s="52">
        <f>[4]酒店主体!K12</f>
        <v>158.873021621622</v>
      </c>
      <c r="J12" s="53">
        <f>[4]酒店主体!M12</f>
        <v>0.30336780313006501</v>
      </c>
      <c r="K12" s="52">
        <f>[4]酒店主体!N12</f>
        <v>176.01341975628699</v>
      </c>
      <c r="L12" s="54">
        <f>[4]酒店主体!P12</f>
        <v>0.176444281659448</v>
      </c>
      <c r="M12" s="51">
        <f>[4]酒店主体!S12</f>
        <v>207.06998116760801</v>
      </c>
      <c r="N12" s="55">
        <f>[4]酒店主体!T12</f>
        <v>158.873021621622</v>
      </c>
      <c r="O12" s="53">
        <f>[4]酒店主体!V12</f>
        <v>0.30336780313006501</v>
      </c>
      <c r="P12" s="52">
        <f>[4]酒店主体!W12</f>
        <v>176.01341975628699</v>
      </c>
      <c r="Q12" s="56">
        <f>[4]酒店主体!Y12</f>
        <v>0.176444281659448</v>
      </c>
      <c r="R12" s="57">
        <f>[4]酒店主体!Z12</f>
        <v>163.75915989885499</v>
      </c>
      <c r="S12" s="58">
        <f>[4]酒店主体!AA12</f>
        <v>1.26447877050361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5" ht="16.5" customHeight="1">
      <c r="A13" s="73"/>
      <c r="B13" s="73"/>
      <c r="C13" s="73"/>
      <c r="D13" s="73"/>
      <c r="E13" s="73"/>
      <c r="F13" s="36"/>
      <c r="G13" s="74" t="s">
        <v>342</v>
      </c>
      <c r="H13" s="75">
        <f>[4]酒店主体!J13</f>
        <v>5.3256882689140799</v>
      </c>
      <c r="I13" s="76">
        <f>[4]酒店主体!K13</f>
        <v>28.471867674125701</v>
      </c>
      <c r="J13" s="77">
        <f>[4]酒店主体!M13</f>
        <v>-0.81294910717241498</v>
      </c>
      <c r="K13" s="76">
        <f>[4]酒店主体!N13</f>
        <v>32.882096289838202</v>
      </c>
      <c r="L13" s="78">
        <f>[4]酒店主体!P13</f>
        <v>-0.83803683858927502</v>
      </c>
      <c r="M13" s="75">
        <f>[4]酒店主体!S13</f>
        <v>5.3256882689140799</v>
      </c>
      <c r="N13" s="79">
        <f>[4]酒店主体!T13</f>
        <v>28.471867674125701</v>
      </c>
      <c r="O13" s="77">
        <f>[4]酒店主体!V13</f>
        <v>-0.81294910717241498</v>
      </c>
      <c r="P13" s="76">
        <f>[4]酒店主体!W13</f>
        <v>32.882096289838202</v>
      </c>
      <c r="Q13" s="80">
        <f>[4]酒店主体!Y13</f>
        <v>-0.83803683858927502</v>
      </c>
      <c r="R13" s="81">
        <f>[4]酒店主体!Z13</f>
        <v>45.289926858365199</v>
      </c>
      <c r="S13" s="82">
        <f>[4]酒店主体!AA13</f>
        <v>0.11759101059202499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spans="1:45" ht="16.5" customHeight="1">
      <c r="A14" s="73"/>
      <c r="B14" s="73"/>
      <c r="C14" s="73"/>
      <c r="D14" s="73"/>
      <c r="E14" s="73"/>
      <c r="F14" s="36"/>
      <c r="G14" s="83"/>
      <c r="H14" s="84"/>
      <c r="I14" s="84"/>
      <c r="J14" s="85"/>
      <c r="K14" s="84"/>
      <c r="L14" s="85"/>
      <c r="M14" s="84"/>
      <c r="N14" s="84"/>
      <c r="O14" s="85"/>
      <c r="P14" s="84"/>
      <c r="Q14" s="85"/>
      <c r="R14" s="84"/>
      <c r="S14" s="86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5" s="3" customFormat="1" ht="16.5" customHeight="1">
      <c r="A15" s="73"/>
      <c r="B15" s="73"/>
      <c r="C15" s="73"/>
      <c r="D15" s="73"/>
      <c r="E15" s="73"/>
      <c r="F15" s="36"/>
      <c r="G15" s="87" t="s">
        <v>343</v>
      </c>
      <c r="H15" s="88" t="s">
        <v>331</v>
      </c>
      <c r="I15" s="89" t="s">
        <v>249</v>
      </c>
      <c r="J15" s="90" t="s">
        <v>332</v>
      </c>
      <c r="K15" s="91" t="s">
        <v>270</v>
      </c>
      <c r="L15" s="90" t="s">
        <v>332</v>
      </c>
      <c r="M15" s="92" t="s">
        <v>331</v>
      </c>
      <c r="N15" s="93" t="s">
        <v>249</v>
      </c>
      <c r="O15" s="94" t="s">
        <v>332</v>
      </c>
      <c r="P15" s="93" t="s">
        <v>270</v>
      </c>
      <c r="Q15" s="95" t="s">
        <v>332</v>
      </c>
      <c r="R15" s="96" t="s">
        <v>245</v>
      </c>
      <c r="S15" s="97" t="s">
        <v>11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5" s="4" customFormat="1" ht="16.5" customHeight="1">
      <c r="A16" s="99"/>
      <c r="B16" s="99"/>
      <c r="C16" s="73"/>
      <c r="D16" s="73"/>
      <c r="E16" s="100"/>
      <c r="F16" s="36"/>
      <c r="G16" s="351" t="s">
        <v>344</v>
      </c>
      <c r="H16" s="352">
        <f>[4]酒店主体!J16</f>
        <v>129030.87</v>
      </c>
      <c r="I16" s="353">
        <f>[4]酒店主体!K16</f>
        <v>631295.71</v>
      </c>
      <c r="J16" s="354">
        <f>[4]酒店主体!M16</f>
        <v>-0.79560946168951496</v>
      </c>
      <c r="K16" s="353">
        <f>[4]酒店主体!N16</f>
        <v>808427.54</v>
      </c>
      <c r="L16" s="355">
        <f>[4]酒店主体!P16</f>
        <v>-0.84039278275947904</v>
      </c>
      <c r="M16" s="352">
        <f>[4]酒店主体!S16</f>
        <v>129030.87</v>
      </c>
      <c r="N16" s="353">
        <f>[4]酒店主体!T16</f>
        <v>631295.71</v>
      </c>
      <c r="O16" s="354">
        <f>[4]酒店主体!V16</f>
        <v>-0.79560946168951496</v>
      </c>
      <c r="P16" s="353">
        <f>[4]酒店主体!W16</f>
        <v>808427.54</v>
      </c>
      <c r="Q16" s="356">
        <f>[4]酒店主体!Y16</f>
        <v>-0.84039278275947904</v>
      </c>
      <c r="R16" s="357">
        <f>[4]酒店主体!Z16</f>
        <v>11217170.33</v>
      </c>
      <c r="S16" s="358">
        <f>[4]酒店主体!AA16</f>
        <v>1.1502978576951E-2</v>
      </c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</row>
    <row r="17" spans="1:41" ht="16.5" customHeight="1">
      <c r="B17" s="47"/>
      <c r="C17" s="48"/>
      <c r="D17" s="48"/>
      <c r="E17" s="48" t="s">
        <v>345</v>
      </c>
      <c r="F17" s="36"/>
      <c r="G17" s="102" t="s">
        <v>346</v>
      </c>
      <c r="H17" s="103">
        <f>[4]酒店主体!J17</f>
        <v>41765.65</v>
      </c>
      <c r="I17" s="104">
        <f>[4]酒店主体!K17</f>
        <v>151698.16</v>
      </c>
      <c r="J17" s="105">
        <f>[4]酒店主体!M17</f>
        <v>-0.72467925781037801</v>
      </c>
      <c r="K17" s="104">
        <f>[4]酒店主体!N17</f>
        <v>183232.44</v>
      </c>
      <c r="L17" s="106">
        <f>[4]酒店主体!P17</f>
        <v>-0.77206192309615096</v>
      </c>
      <c r="M17" s="103">
        <f>[4]酒店主体!S17</f>
        <v>41765.65</v>
      </c>
      <c r="N17" s="104">
        <f>[4]酒店主体!T17</f>
        <v>151698.16</v>
      </c>
      <c r="O17" s="105">
        <f>[4]酒店主体!V17</f>
        <v>-0.72467925781037801</v>
      </c>
      <c r="P17" s="104">
        <f>[4]酒店主体!W17</f>
        <v>183232.44</v>
      </c>
      <c r="Q17" s="107">
        <f>[4]酒店主体!Y17</f>
        <v>-0.77206192309615096</v>
      </c>
      <c r="R17" s="108">
        <f>[4]酒店主体!Z17</f>
        <v>2538457.0499999998</v>
      </c>
      <c r="S17" s="109">
        <f>[4]酒店主体!AA17</f>
        <v>1.6453163940670201E-2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spans="1:41" ht="16.5" customHeight="1">
      <c r="A18" s="47"/>
      <c r="B18" s="47"/>
      <c r="C18" s="48"/>
      <c r="D18" s="48"/>
      <c r="E18" s="49"/>
      <c r="F18" s="36"/>
      <c r="G18" s="110" t="s">
        <v>347</v>
      </c>
      <c r="H18" s="51">
        <f>[4]酒店主体!J18</f>
        <v>162238.85999999999</v>
      </c>
      <c r="I18" s="55">
        <f>[4]酒店主体!K18</f>
        <v>283373.71000000002</v>
      </c>
      <c r="J18" s="111">
        <f>[4]酒店主体!M18</f>
        <v>-0.42747384716810899</v>
      </c>
      <c r="K18" s="55">
        <f>[4]酒店主体!N18</f>
        <v>270302</v>
      </c>
      <c r="L18" s="112">
        <f>[4]酒店主体!P18</f>
        <v>-0.39978668304341097</v>
      </c>
      <c r="M18" s="51">
        <f>[4]酒店主体!S18</f>
        <v>162238.85999999999</v>
      </c>
      <c r="N18" s="55">
        <f>[4]酒店主体!T18</f>
        <v>283373.71000000002</v>
      </c>
      <c r="O18" s="111">
        <f>[4]酒店主体!V18</f>
        <v>-0.42747384716810899</v>
      </c>
      <c r="P18" s="55">
        <f>[4]酒店主体!W18</f>
        <v>270302</v>
      </c>
      <c r="Q18" s="113">
        <f>[4]酒店主体!Y18</f>
        <v>-0.39978668304341097</v>
      </c>
      <c r="R18" s="108">
        <f>[4]酒店主体!Z18</f>
        <v>3613314.95</v>
      </c>
      <c r="S18" s="109">
        <f>[4]酒店主体!AA18</f>
        <v>4.4900281941932602E-2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1:41" ht="16.5" customHeight="1">
      <c r="A19" s="47"/>
      <c r="B19" s="47"/>
      <c r="C19" s="48"/>
      <c r="D19" s="48"/>
      <c r="E19" s="49"/>
      <c r="F19" s="36"/>
      <c r="G19" s="114" t="s">
        <v>348</v>
      </c>
      <c r="H19" s="51">
        <f>[4]酒店主体!J19</f>
        <v>286981.8</v>
      </c>
      <c r="I19" s="55">
        <f>[4]酒店主体!K19</f>
        <v>322951.76</v>
      </c>
      <c r="J19" s="111">
        <f>[4]酒店主体!M19</f>
        <v>-0.111378739660685</v>
      </c>
      <c r="K19" s="55">
        <f>[4]酒店主体!N19</f>
        <v>330905.03000000003</v>
      </c>
      <c r="L19" s="112">
        <f>[4]酒店主体!P19</f>
        <v>-0.13273666465571701</v>
      </c>
      <c r="M19" s="51">
        <f>[4]酒店主体!S19</f>
        <v>286981.8</v>
      </c>
      <c r="N19" s="55">
        <f>[4]酒店主体!T19</f>
        <v>322951.76</v>
      </c>
      <c r="O19" s="111">
        <f>[4]酒店主体!V19</f>
        <v>-0.111378739660685</v>
      </c>
      <c r="P19" s="55">
        <f>[4]酒店主体!W19</f>
        <v>330905.03000000003</v>
      </c>
      <c r="Q19" s="113">
        <f>[4]酒店主体!Y19</f>
        <v>-0.13273666465571701</v>
      </c>
      <c r="R19" s="108">
        <f>[4]酒店主体!Z19</f>
        <v>4305398.0199999996</v>
      </c>
      <c r="S19" s="109">
        <f>[4]酒店主体!AA19</f>
        <v>6.6656276299397799E-2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 s="5" customFormat="1" ht="16.5" customHeight="1">
      <c r="A20" s="47"/>
      <c r="B20" s="47"/>
      <c r="C20" s="48"/>
      <c r="D20" s="48"/>
      <c r="E20" s="49"/>
      <c r="F20" s="115"/>
      <c r="G20" s="116" t="s">
        <v>349</v>
      </c>
      <c r="H20" s="117">
        <f>[4]酒店主体!J20</f>
        <v>-361955.44</v>
      </c>
      <c r="I20" s="118">
        <f>[4]酒店主体!K20</f>
        <v>-126727.92</v>
      </c>
      <c r="J20" s="119">
        <f>[4]酒店主体!M20</f>
        <v>-1.8561617676672999</v>
      </c>
      <c r="K20" s="118">
        <f>[4]酒店主体!N20</f>
        <v>23988.070000000102</v>
      </c>
      <c r="L20" s="120">
        <f>[4]酒店主体!P20</f>
        <v>-16.088977145722801</v>
      </c>
      <c r="M20" s="117">
        <f>[4]酒店主体!S20</f>
        <v>-361955.44</v>
      </c>
      <c r="N20" s="118">
        <f>[4]酒店主体!T20</f>
        <v>-126727.92</v>
      </c>
      <c r="O20" s="119">
        <f>[4]酒店主体!V20</f>
        <v>-1.8561617676672999</v>
      </c>
      <c r="P20" s="118">
        <f>[4]酒店主体!W20</f>
        <v>23988.070000000102</v>
      </c>
      <c r="Q20" s="121">
        <f>[4]酒店主体!Y20</f>
        <v>-16.088977145722801</v>
      </c>
      <c r="R20" s="122">
        <f>[4]酒店主体!Z20</f>
        <v>760000.30999999901</v>
      </c>
      <c r="S20" s="123">
        <f>[4]酒店主体!AA20</f>
        <v>-0.47625696363202902</v>
      </c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</row>
    <row r="21" spans="1:41" s="6" customFormat="1" ht="16.5" customHeight="1">
      <c r="A21" s="125"/>
      <c r="B21" s="125"/>
      <c r="C21" s="126"/>
      <c r="D21" s="126"/>
      <c r="E21" s="127"/>
      <c r="F21" s="128"/>
      <c r="G21" s="129" t="s">
        <v>350</v>
      </c>
      <c r="H21" s="130">
        <f>[4]酒店主体!J21</f>
        <v>-2.8051848367758798</v>
      </c>
      <c r="I21" s="131">
        <f>[4]酒店主体!K21</f>
        <v>-0.20074256484334399</v>
      </c>
      <c r="J21" s="130">
        <f>[4]酒店主体!M21</f>
        <v>-12.974041025952801</v>
      </c>
      <c r="K21" s="131">
        <f>[4]酒店主体!N21</f>
        <v>2.96725047244185E-2</v>
      </c>
      <c r="L21" s="132">
        <f>[4]酒店主体!P21</f>
        <v>-95.538188226064904</v>
      </c>
      <c r="M21" s="130">
        <f>[4]酒店主体!S21</f>
        <v>-2.8051848367758798</v>
      </c>
      <c r="N21" s="131">
        <f>[4]酒店主体!T21</f>
        <v>-0.20074256484334399</v>
      </c>
      <c r="O21" s="130">
        <f>[4]酒店主体!V21</f>
        <v>-12.974041025952801</v>
      </c>
      <c r="P21" s="131">
        <f>[4]酒店主体!W21</f>
        <v>2.96725047244185E-2</v>
      </c>
      <c r="Q21" s="133">
        <f>[4]酒店主体!Y21</f>
        <v>-95.538188226064904</v>
      </c>
      <c r="R21" s="134">
        <f>[4]酒店主体!Z21</f>
        <v>6.7753300310275197E-2</v>
      </c>
      <c r="S21" s="135">
        <f>[4]酒店主体!AA21</f>
        <v>-41.402925376765097</v>
      </c>
      <c r="T21" s="136"/>
      <c r="U21" s="136"/>
      <c r="V21" s="136"/>
      <c r="W21" s="136"/>
      <c r="X21" s="136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</row>
    <row r="22" spans="1:41" ht="16.5" customHeight="1">
      <c r="A22" s="47"/>
      <c r="B22" s="47"/>
      <c r="C22" s="48"/>
      <c r="D22" s="48"/>
      <c r="E22" s="49"/>
      <c r="G22" s="138" t="s">
        <v>351</v>
      </c>
      <c r="H22" s="51">
        <f>[4]酒店主体!J22</f>
        <v>3136.08</v>
      </c>
      <c r="I22" s="55">
        <f>[4]酒店主体!K22</f>
        <v>9469.44</v>
      </c>
      <c r="J22" s="111">
        <f>[4]酒店主体!M22</f>
        <v>-0.66882096512570999</v>
      </c>
      <c r="K22" s="55">
        <f>[4]酒店主体!N22</f>
        <v>24916.31</v>
      </c>
      <c r="L22" s="112">
        <f>[4]酒店主体!P22</f>
        <v>-0.87413545585201002</v>
      </c>
      <c r="M22" s="51">
        <f>[4]酒店主体!S22</f>
        <v>3136.08</v>
      </c>
      <c r="N22" s="55">
        <f>[4]酒店主体!T22</f>
        <v>9469.44</v>
      </c>
      <c r="O22" s="111">
        <f>[4]酒店主体!V22</f>
        <v>-0.66882096512570999</v>
      </c>
      <c r="P22" s="55">
        <f>[4]酒店主体!W22</f>
        <v>24916.31</v>
      </c>
      <c r="Q22" s="113">
        <f>[4]酒店主体!Y22</f>
        <v>-0.87413545585201002</v>
      </c>
      <c r="R22" s="108">
        <f>[4]酒店主体!Z22</f>
        <v>168257.56</v>
      </c>
      <c r="S22" s="109">
        <f>[4]酒店主体!AA22</f>
        <v>1.86385681570564E-2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 spans="1:41" ht="16.5" customHeight="1">
      <c r="A23" s="47"/>
      <c r="B23" s="47"/>
      <c r="C23" s="48"/>
      <c r="D23" s="48"/>
      <c r="E23" s="49"/>
      <c r="G23" s="138" t="s">
        <v>352</v>
      </c>
      <c r="H23" s="51">
        <f>[4]酒店主体!J23</f>
        <v>-146465.9</v>
      </c>
      <c r="I23" s="55">
        <f>[4]酒店主体!K23</f>
        <v>-168938.87</v>
      </c>
      <c r="J23" s="111">
        <f>[4]酒店主体!M23</f>
        <v>0.13302427085016</v>
      </c>
      <c r="K23" s="55">
        <f>[4]酒店主体!N23</f>
        <v>-167561.85999999999</v>
      </c>
      <c r="L23" s="112">
        <f>[4]酒店主体!P23</f>
        <v>0.12589953346185101</v>
      </c>
      <c r="M23" s="51">
        <f>[4]酒店主体!S23</f>
        <v>-146465.9</v>
      </c>
      <c r="N23" s="55">
        <f>[4]酒店主体!T23</f>
        <v>-168938.87</v>
      </c>
      <c r="O23" s="111">
        <f>[4]酒店主体!V23</f>
        <v>0.13302427085016</v>
      </c>
      <c r="P23" s="55">
        <f>[4]酒店主体!W23</f>
        <v>-167561.85999999999</v>
      </c>
      <c r="Q23" s="113">
        <f>[4]酒店主体!Y23</f>
        <v>0.12589953346185101</v>
      </c>
      <c r="R23" s="108">
        <f>[4]酒店主体!Z23</f>
        <v>-2136515.11</v>
      </c>
      <c r="S23" s="109">
        <f>[4]酒店主体!AA23</f>
        <v>1.93144635424554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spans="1:41" s="5" customFormat="1" ht="16.5" customHeight="1">
      <c r="A24" s="47"/>
      <c r="B24" s="47"/>
      <c r="C24" s="48"/>
      <c r="D24" s="48"/>
      <c r="E24" s="49"/>
      <c r="F24" s="16"/>
      <c r="G24" s="139" t="s">
        <v>353</v>
      </c>
      <c r="H24" s="140">
        <f>[4]酒店主体!J24</f>
        <v>-511557.42</v>
      </c>
      <c r="I24" s="141">
        <f>[4]酒店主体!K24</f>
        <v>-305136.23</v>
      </c>
      <c r="J24" s="142">
        <f>[4]酒店主体!M24</f>
        <v>-0.67648862935745102</v>
      </c>
      <c r="K24" s="141">
        <f>[4]酒店主体!N24</f>
        <v>-168490.1</v>
      </c>
      <c r="L24" s="143">
        <f>[4]酒店主体!P24</f>
        <v>-2.0361274638687998</v>
      </c>
      <c r="M24" s="140">
        <f>[4]酒店主体!S24</f>
        <v>-511557.42</v>
      </c>
      <c r="N24" s="141">
        <f>[4]酒店主体!T24</f>
        <v>-305136.23</v>
      </c>
      <c r="O24" s="142">
        <f>[4]酒店主体!V24</f>
        <v>-0.67648862935745102</v>
      </c>
      <c r="P24" s="141">
        <f>[4]酒店主体!W24</f>
        <v>-168490.1</v>
      </c>
      <c r="Q24" s="144">
        <f>[4]酒店主体!Y24</f>
        <v>-2.0361274638687998</v>
      </c>
      <c r="R24" s="122">
        <f>[4]酒店主体!Z24</f>
        <v>-1544772.36</v>
      </c>
      <c r="S24" s="123">
        <f>[4]酒店主体!AA24</f>
        <v>1.66884608163238</v>
      </c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</row>
    <row r="25" spans="1:41" ht="16.5" customHeight="1">
      <c r="A25" s="47"/>
      <c r="B25" s="47"/>
      <c r="C25" s="48"/>
      <c r="D25" s="48"/>
      <c r="E25" s="49"/>
      <c r="G25" s="138" t="s">
        <v>354</v>
      </c>
      <c r="H25" s="51">
        <f>[4]酒店主体!J25</f>
        <v>0</v>
      </c>
      <c r="I25" s="55">
        <f>[4]酒店主体!K25</f>
        <v>0</v>
      </c>
      <c r="J25" s="111" t="str">
        <f>[4]酒店主体!M25</f>
        <v/>
      </c>
      <c r="K25" s="55">
        <f>[4]酒店主体!N25</f>
        <v>30026.003349999999</v>
      </c>
      <c r="L25" s="112">
        <f>[4]酒店主体!P25</f>
        <v>-1</v>
      </c>
      <c r="M25" s="51">
        <f>[4]酒店主体!S25</f>
        <v>0</v>
      </c>
      <c r="N25" s="55">
        <f>[4]酒店主体!T25</f>
        <v>0</v>
      </c>
      <c r="O25" s="111" t="str">
        <f>[4]酒店主体!V25</f>
        <v/>
      </c>
      <c r="P25" s="55">
        <f>[4]酒店主体!W25</f>
        <v>30026.003349999999</v>
      </c>
      <c r="Q25" s="113">
        <f>[4]酒店主体!Y25</f>
        <v>-1</v>
      </c>
      <c r="R25" s="108">
        <f>[4]酒店主体!Z25</f>
        <v>0</v>
      </c>
      <c r="S25" s="109" t="str">
        <f>[4]酒店主体!AA25</f>
        <v/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spans="1:41" s="5" customFormat="1" ht="16.5" customHeight="1">
      <c r="A26" s="47"/>
      <c r="B26" s="47"/>
      <c r="C26" s="48"/>
      <c r="D26" s="48"/>
      <c r="E26" s="49"/>
      <c r="F26" s="16"/>
      <c r="G26" s="145" t="s">
        <v>355</v>
      </c>
      <c r="H26" s="117">
        <f>[4]酒店主体!J26</f>
        <v>-511557.42</v>
      </c>
      <c r="I26" s="118">
        <f>[4]酒店主体!K26</f>
        <v>-305136.23</v>
      </c>
      <c r="J26" s="146">
        <f>[4]酒店主体!M26</f>
        <v>-0.67648862935745102</v>
      </c>
      <c r="K26" s="118">
        <f>[4]酒店主体!N26</f>
        <v>-198516.10334999999</v>
      </c>
      <c r="L26" s="147">
        <f>[4]酒店主体!P26</f>
        <v>-1.57690641397531</v>
      </c>
      <c r="M26" s="117">
        <f>[4]酒店主体!S26</f>
        <v>-511557.42</v>
      </c>
      <c r="N26" s="118">
        <f>[4]酒店主体!T26</f>
        <v>-305136.23</v>
      </c>
      <c r="O26" s="146">
        <f>[4]酒店主体!V26</f>
        <v>-0.67648862935745102</v>
      </c>
      <c r="P26" s="118">
        <f>[4]酒店主体!W26</f>
        <v>-198516.10334999999</v>
      </c>
      <c r="Q26" s="148">
        <f>[4]酒店主体!Y26</f>
        <v>-1.57690641397531</v>
      </c>
      <c r="R26" s="122">
        <f>[4]酒店主体!Z26</f>
        <v>-1544772.36</v>
      </c>
      <c r="S26" s="123">
        <f>[4]酒店主体!AA26</f>
        <v>1.66884608163238</v>
      </c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</row>
    <row r="27" spans="1:41" ht="16.5" customHeight="1">
      <c r="A27" s="47"/>
      <c r="B27" s="47"/>
      <c r="C27" s="48"/>
      <c r="D27" s="48"/>
      <c r="E27" s="49"/>
      <c r="G27" s="138" t="s">
        <v>356</v>
      </c>
      <c r="H27" s="51">
        <f>[4]酒店主体!J27</f>
        <v>63290.1</v>
      </c>
      <c r="I27" s="55">
        <f>[4]酒店主体!K27</f>
        <v>63658.7</v>
      </c>
      <c r="J27" s="111">
        <f>[4]酒店主体!M27</f>
        <v>-5.7902533353648604E-3</v>
      </c>
      <c r="K27" s="55">
        <f>[4]酒店主体!N27</f>
        <v>71793.600000000006</v>
      </c>
      <c r="L27" s="112">
        <f>[4]酒店主体!P27</f>
        <v>-0.118443705288494</v>
      </c>
      <c r="M27" s="51">
        <f>[4]酒店主体!S27</f>
        <v>63290.1</v>
      </c>
      <c r="N27" s="55">
        <f>[4]酒店主体!T27</f>
        <v>63658.7</v>
      </c>
      <c r="O27" s="111">
        <f>[4]酒店主体!V27</f>
        <v>-5.7902533353648604E-3</v>
      </c>
      <c r="P27" s="55">
        <f>[4]酒店主体!W27</f>
        <v>71793.600000000006</v>
      </c>
      <c r="Q27" s="113">
        <f>[4]酒店主体!Y27</f>
        <v>-0.118443705288494</v>
      </c>
      <c r="R27" s="108">
        <f>[4]酒店主体!Z27</f>
        <v>763904.68</v>
      </c>
      <c r="S27" s="109">
        <f>[4]酒店主体!AA27</f>
        <v>8.2850781854092101E-2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spans="1:41" ht="16.5" customHeight="1">
      <c r="A28" s="47"/>
      <c r="B28" s="47"/>
      <c r="C28" s="48"/>
      <c r="D28" s="48"/>
      <c r="E28" s="49"/>
      <c r="G28" s="138" t="s">
        <v>357</v>
      </c>
      <c r="H28" s="51">
        <f>[4]酒店主体!J28</f>
        <v>0</v>
      </c>
      <c r="I28" s="55">
        <f>[4]酒店主体!K28</f>
        <v>0</v>
      </c>
      <c r="J28" s="111" t="str">
        <f>[4]酒店主体!M28</f>
        <v/>
      </c>
      <c r="K28" s="55">
        <f>[4]酒店主体!N28</f>
        <v>0</v>
      </c>
      <c r="L28" s="112" t="str">
        <f>[4]酒店主体!P28</f>
        <v/>
      </c>
      <c r="M28" s="51">
        <f>[4]酒店主体!S28</f>
        <v>0</v>
      </c>
      <c r="N28" s="55">
        <f>[4]酒店主体!T28</f>
        <v>0</v>
      </c>
      <c r="O28" s="111" t="str">
        <f>[4]酒店主体!V28</f>
        <v/>
      </c>
      <c r="P28" s="55">
        <f>[4]酒店主体!W28</f>
        <v>0</v>
      </c>
      <c r="Q28" s="113" t="str">
        <f>[4]酒店主体!Y28</f>
        <v/>
      </c>
      <c r="R28" s="108">
        <f>[4]酒店主体!Z28</f>
        <v>0</v>
      </c>
      <c r="S28" s="109" t="str">
        <f>[4]酒店主体!AA28</f>
        <v/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 spans="1:41" s="5" customFormat="1" ht="16.5" customHeight="1">
      <c r="A29" s="47"/>
      <c r="B29" s="47"/>
      <c r="C29" s="48"/>
      <c r="D29" s="48"/>
      <c r="E29" s="49"/>
      <c r="F29" s="16"/>
      <c r="G29" s="149" t="s">
        <v>358</v>
      </c>
      <c r="H29" s="150">
        <f>[4]酒店主体!J29</f>
        <v>-574847.52</v>
      </c>
      <c r="I29" s="151">
        <f>[4]酒店主体!K29</f>
        <v>-368794.93</v>
      </c>
      <c r="J29" s="152">
        <f>[4]酒店主体!M29</f>
        <v>-0.55871860819778596</v>
      </c>
      <c r="K29" s="151">
        <f>[4]酒店主体!N29</f>
        <v>-270309.70335000003</v>
      </c>
      <c r="L29" s="153">
        <f>[4]酒店主体!P29</f>
        <v>-1.1266255442398301</v>
      </c>
      <c r="M29" s="150">
        <f>[4]酒店主体!S29</f>
        <v>-574847.52</v>
      </c>
      <c r="N29" s="151">
        <f>[4]酒店主体!T29</f>
        <v>-368794.93</v>
      </c>
      <c r="O29" s="152">
        <f>[4]酒店主体!V29</f>
        <v>-0.55871860819778596</v>
      </c>
      <c r="P29" s="151">
        <f>[4]酒店主体!W29</f>
        <v>-270309.70335000003</v>
      </c>
      <c r="Q29" s="154">
        <f>[4]酒店主体!Y29</f>
        <v>-1.1266255442398301</v>
      </c>
      <c r="R29" s="155">
        <f>[4]酒店主体!Z29</f>
        <v>-2308677.04</v>
      </c>
      <c r="S29" s="156">
        <f>[4]酒店主体!AA29</f>
        <v>1.7510056582015501</v>
      </c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</row>
    <row r="30" spans="1:41" ht="16.5" customHeight="1">
      <c r="A30" s="47"/>
      <c r="B30" s="47"/>
      <c r="C30" s="48"/>
      <c r="D30" s="48"/>
      <c r="E30" s="49"/>
      <c r="G30" s="359" t="s">
        <v>359</v>
      </c>
      <c r="H30" s="157"/>
      <c r="I30" s="157"/>
      <c r="J30" s="158"/>
      <c r="K30" s="157"/>
      <c r="L30" s="159"/>
      <c r="M30" s="157"/>
      <c r="N30" s="157"/>
      <c r="O30" s="158"/>
      <c r="P30" s="157"/>
      <c r="Q30" s="158"/>
      <c r="R30" s="160"/>
      <c r="S30" s="109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1:41" ht="16.5" customHeight="1">
      <c r="A31" s="47"/>
      <c r="B31" s="47"/>
      <c r="C31" s="48"/>
      <c r="D31" s="48"/>
      <c r="E31" s="49"/>
      <c r="G31" s="161" t="s">
        <v>360</v>
      </c>
      <c r="H31" s="51">
        <f>[4]酒店主体!J31</f>
        <v>249064.22</v>
      </c>
      <c r="I31" s="55">
        <f>[4]酒店主体!K31</f>
        <v>355399.96</v>
      </c>
      <c r="J31" s="53">
        <f>[4]酒店主体!M31</f>
        <v>-0.29920020249861601</v>
      </c>
      <c r="K31" s="55">
        <f>[4]酒店主体!N31</f>
        <v>376296.4</v>
      </c>
      <c r="L31" s="54">
        <f>[4]酒店主体!P31</f>
        <v>-0.33811692059769899</v>
      </c>
      <c r="M31" s="51">
        <f>[4]酒店主体!S31</f>
        <v>249064.22</v>
      </c>
      <c r="N31" s="55">
        <f>[4]酒店主体!T31</f>
        <v>355399.96</v>
      </c>
      <c r="O31" s="53">
        <f>[4]酒店主体!V31</f>
        <v>-0.29920020249861601</v>
      </c>
      <c r="P31" s="55">
        <f>[4]酒店主体!W31</f>
        <v>376296.4</v>
      </c>
      <c r="Q31" s="56">
        <f>[4]酒店主体!Y31</f>
        <v>-0.33811692059769899</v>
      </c>
      <c r="R31" s="108">
        <f>[4]酒店主体!Z31</f>
        <v>4269999.5999999996</v>
      </c>
      <c r="S31" s="109">
        <f>[4]酒店主体!AA31</f>
        <v>5.8328862606919198E-2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spans="1:41" ht="16.5" customHeight="1">
      <c r="A32" s="47"/>
      <c r="B32" s="47"/>
      <c r="C32" s="48"/>
      <c r="D32" s="48"/>
      <c r="E32" s="49"/>
      <c r="G32" s="161" t="s">
        <v>361</v>
      </c>
      <c r="H32" s="51">
        <f>[4]酒店主体!J32</f>
        <v>21666.67</v>
      </c>
      <c r="I32" s="55">
        <f>[4]酒店主体!K32</f>
        <v>21666.66</v>
      </c>
      <c r="J32" s="53">
        <f>[4]酒店主体!M32</f>
        <v>4.6153860347646101E-7</v>
      </c>
      <c r="K32" s="55">
        <f>[4]酒店主体!N32</f>
        <v>30512.42</v>
      </c>
      <c r="L32" s="54">
        <f>[4]酒店主体!P32</f>
        <v>-0.28990653642025099</v>
      </c>
      <c r="M32" s="51">
        <f>[4]酒店主体!S32</f>
        <v>21666.67</v>
      </c>
      <c r="N32" s="55">
        <f>[4]酒店主体!T32</f>
        <v>21666.66</v>
      </c>
      <c r="O32" s="53">
        <f>[4]酒店主体!V32</f>
        <v>4.6153860347646101E-7</v>
      </c>
      <c r="P32" s="55">
        <f>[4]酒店主体!W32</f>
        <v>30512.42</v>
      </c>
      <c r="Q32" s="56">
        <f>[4]酒店主体!Y32</f>
        <v>-0.28990653642025099</v>
      </c>
      <c r="R32" s="108">
        <f>[4]酒店主体!Z32</f>
        <v>260000</v>
      </c>
      <c r="S32" s="109">
        <f>[4]酒店主体!AA32</f>
        <v>8.3333346153846105E-2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 spans="1:41" s="7" customFormat="1" ht="16.5" customHeight="1">
      <c r="A33" s="125"/>
      <c r="B33" s="125"/>
      <c r="C33" s="126"/>
      <c r="D33" s="126"/>
      <c r="E33" s="127"/>
      <c r="F33" s="128"/>
      <c r="G33" s="162" t="s">
        <v>362</v>
      </c>
      <c r="H33" s="163">
        <f>[4]酒店主体!J33</f>
        <v>1.9302684698630601</v>
      </c>
      <c r="I33" s="164">
        <f>[4]酒店主体!K33</f>
        <v>0.56296907197420998</v>
      </c>
      <c r="J33" s="163">
        <f>[4]酒店主体!M33</f>
        <v>2.4287291539729399</v>
      </c>
      <c r="K33" s="164">
        <f>[4]酒店主体!N33</f>
        <v>0.465467072039629</v>
      </c>
      <c r="L33" s="165">
        <f>[4]酒店主体!P33</f>
        <v>3.1469495605883102</v>
      </c>
      <c r="M33" s="163">
        <f>[4]酒店主体!S33</f>
        <v>1.9302684698630601</v>
      </c>
      <c r="N33" s="164">
        <f>[4]酒店主体!T33</f>
        <v>0.56296907197420998</v>
      </c>
      <c r="O33" s="163">
        <f>[4]酒店主体!V33</f>
        <v>2.4287291539729399</v>
      </c>
      <c r="P33" s="164">
        <f>[4]酒店主体!W33</f>
        <v>0.465467072039629</v>
      </c>
      <c r="Q33" s="166">
        <f>[4]酒店主体!Y33</f>
        <v>3.1469495605883102</v>
      </c>
      <c r="R33" s="167">
        <f>[4]酒店主体!Z33</f>
        <v>0.38066637791707703</v>
      </c>
      <c r="S33" s="168">
        <f>[4]酒店主体!AA33</f>
        <v>5.0707616481000297</v>
      </c>
      <c r="T33" s="136"/>
      <c r="U33" s="136"/>
      <c r="V33" s="136"/>
      <c r="W33" s="136"/>
      <c r="X33" s="136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</row>
    <row r="34" spans="1:41" ht="16.5" customHeight="1">
      <c r="A34" s="47"/>
      <c r="B34" s="47"/>
      <c r="C34" s="48"/>
      <c r="D34" s="48"/>
      <c r="E34" s="49"/>
      <c r="G34" s="161" t="s">
        <v>363</v>
      </c>
      <c r="H34" s="51">
        <f>[4]酒店主体!J34</f>
        <v>137540.37</v>
      </c>
      <c r="I34" s="55">
        <f>[4]酒店主体!K34</f>
        <v>114000</v>
      </c>
      <c r="J34" s="111">
        <f>[4]酒店主体!M34</f>
        <v>0.20649447368421001</v>
      </c>
      <c r="K34" s="55">
        <f>[4]酒店主体!N34</f>
        <v>124352.42</v>
      </c>
      <c r="L34" s="112">
        <f>[4]酒店主体!P34</f>
        <v>0.106053022530643</v>
      </c>
      <c r="M34" s="51">
        <f>[4]酒店主体!S34</f>
        <v>137540.37</v>
      </c>
      <c r="N34" s="55">
        <f>[4]酒店主体!T34</f>
        <v>114000</v>
      </c>
      <c r="O34" s="111">
        <f>[4]酒店主体!V34</f>
        <v>0.20649447368421001</v>
      </c>
      <c r="P34" s="55">
        <f>[4]酒店主体!W34</f>
        <v>124352.42</v>
      </c>
      <c r="Q34" s="113">
        <f>[4]酒店主体!Y34</f>
        <v>0.106053022530643</v>
      </c>
      <c r="R34" s="108">
        <f>[4]酒店主体!Z34</f>
        <v>1568000</v>
      </c>
      <c r="S34" s="109">
        <f>[4]酒店主体!AA34</f>
        <v>8.7717072704081606E-2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 spans="1:41" s="7" customFormat="1" ht="16.5" customHeight="1">
      <c r="A35" s="125"/>
      <c r="B35" s="125"/>
      <c r="C35" s="126"/>
      <c r="D35" s="126"/>
      <c r="E35" s="127"/>
      <c r="F35" s="128"/>
      <c r="G35" s="170" t="s">
        <v>364</v>
      </c>
      <c r="H35" s="171">
        <f>[4]酒店主体!J35</f>
        <v>1.06594933444997</v>
      </c>
      <c r="I35" s="172">
        <f>[4]酒店主体!K35</f>
        <v>0.18058098319724</v>
      </c>
      <c r="J35" s="171">
        <f>[4]酒店主体!M35</f>
        <v>4.90288808697911</v>
      </c>
      <c r="K35" s="172">
        <f>[4]酒店主体!N35</f>
        <v>0.15382011849818999</v>
      </c>
      <c r="L35" s="173">
        <f>[4]酒店主体!P35</f>
        <v>5.9298434096740804</v>
      </c>
      <c r="M35" s="171">
        <f>[4]酒店主体!S35</f>
        <v>1.06594933444997</v>
      </c>
      <c r="N35" s="172">
        <f>[4]酒店主体!T35</f>
        <v>0.18058098319724</v>
      </c>
      <c r="O35" s="171">
        <f>[4]酒店主体!V35</f>
        <v>4.90288808697911</v>
      </c>
      <c r="P35" s="172">
        <f>[4]酒店主体!W35</f>
        <v>0.15382011849818999</v>
      </c>
      <c r="Q35" s="174">
        <f>[4]酒店主体!Y35</f>
        <v>5.9298434096740804</v>
      </c>
      <c r="R35" s="167">
        <f>[4]酒店主体!Z35</f>
        <v>0.13978569941176999</v>
      </c>
      <c r="S35" s="168">
        <f>[4]酒店主体!AA35</f>
        <v>7.6255964589766601</v>
      </c>
      <c r="T35" s="136"/>
      <c r="U35" s="136"/>
      <c r="V35" s="136"/>
      <c r="W35" s="136"/>
      <c r="X35" s="136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</row>
    <row r="36" spans="1:41" ht="16.5" customHeight="1">
      <c r="A36" s="47"/>
      <c r="B36" s="47"/>
      <c r="C36" s="48"/>
      <c r="D36" s="48"/>
      <c r="E36" s="49"/>
      <c r="G36" s="161" t="s">
        <v>365</v>
      </c>
      <c r="H36" s="51">
        <f>[4]酒店主体!J36</f>
        <v>16743.95</v>
      </c>
      <c r="I36" s="55">
        <f>[4]酒店主体!K36</f>
        <v>20000</v>
      </c>
      <c r="J36" s="111">
        <f>[4]酒店主体!M36</f>
        <v>-0.16280249999999999</v>
      </c>
      <c r="K36" s="55">
        <f>[4]酒店主体!N36</f>
        <v>12546.82</v>
      </c>
      <c r="L36" s="112">
        <f>[4]酒店主体!P36</f>
        <v>0.33451743150854202</v>
      </c>
      <c r="M36" s="51">
        <f>[4]酒店主体!S36</f>
        <v>16743.95</v>
      </c>
      <c r="N36" s="55">
        <f>[4]酒店主体!T36</f>
        <v>20000</v>
      </c>
      <c r="O36" s="111">
        <f>[4]酒店主体!V36</f>
        <v>-0.16280249999999999</v>
      </c>
      <c r="P36" s="55">
        <f>[4]酒店主体!W36</f>
        <v>12546.82</v>
      </c>
      <c r="Q36" s="113">
        <f>[4]酒店主体!Y36</f>
        <v>0.33451743150854202</v>
      </c>
      <c r="R36" s="108">
        <f>[4]酒店主体!Z36</f>
        <v>336000</v>
      </c>
      <c r="S36" s="109">
        <f>[4]酒店主体!AA36</f>
        <v>4.9833184523809498E-2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41" s="7" customFormat="1" ht="16.5" customHeight="1">
      <c r="A37" s="125"/>
      <c r="B37" s="125"/>
      <c r="C37" s="126"/>
      <c r="D37" s="126"/>
      <c r="E37" s="127"/>
      <c r="F37" s="128"/>
      <c r="G37" s="162" t="s">
        <v>366</v>
      </c>
      <c r="H37" s="163">
        <f>[4]酒店主体!J37</f>
        <v>0.12976700846859399</v>
      </c>
      <c r="I37" s="164">
        <f>[4]酒店主体!K37</f>
        <v>3.16808742451299E-2</v>
      </c>
      <c r="J37" s="163">
        <f>[4]酒店主体!M37</f>
        <v>3.0960677872878399</v>
      </c>
      <c r="K37" s="164">
        <f>[4]酒店主体!N37</f>
        <v>1.5520030403714399E-2</v>
      </c>
      <c r="L37" s="165">
        <f>[4]酒店主体!P37</f>
        <v>7.3612599391259499</v>
      </c>
      <c r="M37" s="163">
        <f>[4]酒店主体!S37</f>
        <v>0.12976700846859399</v>
      </c>
      <c r="N37" s="164">
        <f>[4]酒店主体!T37</f>
        <v>3.16808742451299E-2</v>
      </c>
      <c r="O37" s="163">
        <f>[4]酒店主体!V37</f>
        <v>3.0960677872878399</v>
      </c>
      <c r="P37" s="164">
        <f>[4]酒店主体!W37</f>
        <v>1.5520030403714399E-2</v>
      </c>
      <c r="Q37" s="166">
        <f>[4]酒店主体!Y37</f>
        <v>7.3612599391259499</v>
      </c>
      <c r="R37" s="167">
        <f>[4]酒店主体!Z37</f>
        <v>2.9954078445379201E-2</v>
      </c>
      <c r="S37" s="168">
        <f>[4]酒店主体!AA37</f>
        <v>4.3321983250201397</v>
      </c>
      <c r="T37" s="136"/>
      <c r="U37" s="136"/>
      <c r="V37" s="136"/>
      <c r="W37" s="136"/>
      <c r="X37" s="136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</row>
    <row r="38" spans="1:41" ht="16.5" customHeight="1">
      <c r="A38" s="47"/>
      <c r="B38" s="47"/>
      <c r="C38" s="48"/>
      <c r="D38" s="48"/>
      <c r="E38" s="49"/>
      <c r="G38" s="161" t="s">
        <v>367</v>
      </c>
      <c r="H38" s="51">
        <f>[4]酒店主体!J38</f>
        <v>5609.22</v>
      </c>
      <c r="I38" s="55">
        <f>[4]酒店主体!K38</f>
        <v>14764.02</v>
      </c>
      <c r="J38" s="111">
        <f>[4]酒店主体!M38</f>
        <v>-0.62007502021807104</v>
      </c>
      <c r="K38" s="55">
        <f>[4]酒店主体!N38</f>
        <v>13290.2</v>
      </c>
      <c r="L38" s="112">
        <f>[4]酒店主体!P38</f>
        <v>-0.57794314607756103</v>
      </c>
      <c r="M38" s="51">
        <f>[4]酒店主体!S38</f>
        <v>5609.22</v>
      </c>
      <c r="N38" s="55">
        <f>[4]酒店主体!T38</f>
        <v>14764.02</v>
      </c>
      <c r="O38" s="111">
        <f>[4]酒店主体!V38</f>
        <v>-0.62007502021807104</v>
      </c>
      <c r="P38" s="55">
        <f>[4]酒店主体!W38</f>
        <v>13290.2</v>
      </c>
      <c r="Q38" s="113">
        <f>[4]酒店主体!Y38</f>
        <v>-0.57794314607756103</v>
      </c>
      <c r="R38" s="108">
        <f>[4]酒店主体!Z38</f>
        <v>256409.25</v>
      </c>
      <c r="S38" s="109">
        <f>[4]酒店主体!AA38</f>
        <v>2.1876043863472201E-2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s="7" customFormat="1" ht="16.5" customHeight="1">
      <c r="A39" s="125"/>
      <c r="B39" s="125"/>
      <c r="C39" s="126"/>
      <c r="D39" s="126"/>
      <c r="E39" s="127"/>
      <c r="F39" s="128"/>
      <c r="G39" s="175" t="s">
        <v>368</v>
      </c>
      <c r="H39" s="176">
        <f>[4]酒店主体!J39</f>
        <v>4.3471922649207899E-2</v>
      </c>
      <c r="I39" s="177">
        <f>[4]酒店主体!K39</f>
        <v>2.33868530486291E-2</v>
      </c>
      <c r="J39" s="176">
        <f>[4]酒店主体!M39</f>
        <v>0.85881882264429299</v>
      </c>
      <c r="K39" s="177">
        <f>[4]酒店主体!N39</f>
        <v>1.64395685975765E-2</v>
      </c>
      <c r="L39" s="178">
        <f>[4]酒店主体!P39</f>
        <v>1.6443469237761199</v>
      </c>
      <c r="M39" s="176">
        <f>[4]酒店主体!S39</f>
        <v>4.3471922649207899E-2</v>
      </c>
      <c r="N39" s="177">
        <f>[4]酒店主体!T39</f>
        <v>2.33868530486291E-2</v>
      </c>
      <c r="O39" s="176">
        <f>[4]酒店主体!V39</f>
        <v>0.85881882264429299</v>
      </c>
      <c r="P39" s="177">
        <f>[4]酒店主体!W39</f>
        <v>1.64395685975765E-2</v>
      </c>
      <c r="Q39" s="179">
        <f>[4]酒店主体!Y39</f>
        <v>1.6443469237761199</v>
      </c>
      <c r="R39" s="180">
        <f>[4]酒店主体!Z39</f>
        <v>2.28586392518478E-2</v>
      </c>
      <c r="S39" s="181">
        <f>[4]酒店主体!AA39</f>
        <v>1.9017721120776601</v>
      </c>
      <c r="T39" s="136"/>
      <c r="U39" s="136"/>
      <c r="V39" s="136"/>
      <c r="W39" s="136"/>
      <c r="X39" s="136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</row>
    <row r="40" spans="1:41" ht="16.5" customHeight="1">
      <c r="A40" s="47"/>
      <c r="B40" s="47"/>
      <c r="C40" s="48"/>
      <c r="D40" s="48"/>
      <c r="E40" s="49"/>
      <c r="G40" s="182"/>
      <c r="H40" s="84"/>
      <c r="I40" s="84"/>
      <c r="J40" s="183"/>
      <c r="K40" s="84"/>
      <c r="L40" s="183"/>
      <c r="M40" s="84"/>
      <c r="N40" s="84"/>
      <c r="O40" s="183"/>
      <c r="P40" s="84"/>
      <c r="Q40" s="183"/>
      <c r="R40" s="84"/>
      <c r="S40" s="86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spans="1:41" s="3" customFormat="1" ht="16.5" customHeight="1">
      <c r="A41" s="47"/>
      <c r="B41" s="47"/>
      <c r="C41" s="48"/>
      <c r="D41" s="48"/>
      <c r="E41" s="49"/>
      <c r="F41" s="184"/>
      <c r="G41" s="185" t="s">
        <v>369</v>
      </c>
      <c r="H41" s="186" t="s">
        <v>331</v>
      </c>
      <c r="I41" s="187" t="s">
        <v>249</v>
      </c>
      <c r="J41" s="188" t="s">
        <v>332</v>
      </c>
      <c r="K41" s="187" t="s">
        <v>270</v>
      </c>
      <c r="L41" s="188" t="s">
        <v>332</v>
      </c>
      <c r="M41" s="189" t="s">
        <v>331</v>
      </c>
      <c r="N41" s="190" t="s">
        <v>249</v>
      </c>
      <c r="O41" s="191" t="s">
        <v>332</v>
      </c>
      <c r="P41" s="190" t="s">
        <v>270</v>
      </c>
      <c r="Q41" s="191" t="s">
        <v>332</v>
      </c>
      <c r="R41" s="192" t="s">
        <v>245</v>
      </c>
      <c r="S41" s="193" t="s">
        <v>11</v>
      </c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</row>
    <row r="42" spans="1:41" ht="16.5" customHeight="1">
      <c r="A42" s="47"/>
      <c r="B42" s="47"/>
      <c r="C42" s="48"/>
      <c r="D42" s="48"/>
      <c r="E42" s="49"/>
      <c r="F42" s="184"/>
      <c r="G42" s="360" t="s">
        <v>370</v>
      </c>
      <c r="H42" s="194"/>
      <c r="I42" s="194"/>
      <c r="J42" s="195"/>
      <c r="K42" s="194"/>
      <c r="L42" s="196"/>
      <c r="M42" s="194"/>
      <c r="N42" s="194"/>
      <c r="O42" s="195"/>
      <c r="P42" s="194"/>
      <c r="Q42" s="195"/>
      <c r="R42" s="197"/>
      <c r="S42" s="198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 spans="1:41" s="5" customFormat="1" ht="16.5" customHeight="1">
      <c r="A43" s="47"/>
      <c r="B43" s="47"/>
      <c r="C43" s="199"/>
      <c r="D43" s="200"/>
      <c r="E43" s="49"/>
      <c r="F43" s="184"/>
      <c r="G43" s="361" t="s">
        <v>371</v>
      </c>
      <c r="H43" s="352">
        <f>[4]酒店主体!J43</f>
        <v>55218.59</v>
      </c>
      <c r="I43" s="353">
        <f>[4]酒店主体!K43</f>
        <v>293915.09000000003</v>
      </c>
      <c r="J43" s="362">
        <f>[4]酒店主体!M43</f>
        <v>-0.812127407272624</v>
      </c>
      <c r="K43" s="353">
        <f>[4]酒店主体!N43</f>
        <v>341966.4</v>
      </c>
      <c r="L43" s="363">
        <f>[4]酒店主体!P43</f>
        <v>-0.83852627041721095</v>
      </c>
      <c r="M43" s="352">
        <f>[4]酒店主体!S43</f>
        <v>55218.59</v>
      </c>
      <c r="N43" s="353">
        <f>[4]酒店主体!T43</f>
        <v>293915.09000000003</v>
      </c>
      <c r="O43" s="362">
        <f>[4]酒店主体!V43</f>
        <v>-0.812127407272624</v>
      </c>
      <c r="P43" s="353">
        <f>[4]酒店主体!W43</f>
        <v>341966.4</v>
      </c>
      <c r="Q43" s="364">
        <f>[4]酒店主体!Y43</f>
        <v>-0.83852627041721095</v>
      </c>
      <c r="R43" s="365">
        <f>[4]酒店主体!Z43</f>
        <v>5504764.1600000001</v>
      </c>
      <c r="S43" s="366">
        <f>[4]酒店主体!AA43</f>
        <v>1.00310546274157E-2</v>
      </c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</row>
    <row r="44" spans="1:41" ht="16.5" customHeight="1">
      <c r="A44" s="47"/>
      <c r="B44" s="47"/>
      <c r="C44" s="199"/>
      <c r="D44" s="200"/>
      <c r="E44" s="49"/>
      <c r="F44" s="184"/>
      <c r="G44" s="201" t="s">
        <v>372</v>
      </c>
      <c r="H44" s="103">
        <f>[4]酒店主体!J44</f>
        <v>48379.16</v>
      </c>
      <c r="I44" s="104">
        <f>[4]酒店主体!K44</f>
        <v>65199.4</v>
      </c>
      <c r="J44" s="105">
        <f>[4]酒店主体!M44</f>
        <v>-0.25798151516731699</v>
      </c>
      <c r="K44" s="104">
        <f>[4]酒店主体!N44</f>
        <v>67826.710000000006</v>
      </c>
      <c r="L44" s="106">
        <f>[4]酒店主体!P44</f>
        <v>-0.286724064900096</v>
      </c>
      <c r="M44" s="103">
        <f>[4]酒店主体!S44</f>
        <v>48379.16</v>
      </c>
      <c r="N44" s="104">
        <f>[4]酒店主体!T44</f>
        <v>65199.4</v>
      </c>
      <c r="O44" s="105">
        <f>[4]酒店主体!V44</f>
        <v>-0.25798151516731699</v>
      </c>
      <c r="P44" s="104">
        <f>[4]酒店主体!W44</f>
        <v>67826.710000000006</v>
      </c>
      <c r="Q44" s="107">
        <f>[4]酒店主体!Y44</f>
        <v>-0.286724064900096</v>
      </c>
      <c r="R44" s="57">
        <f>[4]酒店主体!Z44</f>
        <v>782392.8</v>
      </c>
      <c r="S44" s="58">
        <f>[4]酒店主体!AA44</f>
        <v>6.1834873736056901E-2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 spans="1:41" ht="16.5" customHeight="1">
      <c r="A45" s="47"/>
      <c r="B45" s="47"/>
      <c r="C45" s="199"/>
      <c r="D45" s="200"/>
      <c r="E45" s="49"/>
      <c r="F45" s="184"/>
      <c r="G45" s="202" t="s">
        <v>373</v>
      </c>
      <c r="H45" s="51">
        <f>[4]酒店主体!J45</f>
        <v>19541.38</v>
      </c>
      <c r="I45" s="55">
        <f>[4]酒店主体!K45</f>
        <v>24983.3</v>
      </c>
      <c r="J45" s="111">
        <f>[4]酒店主体!M45</f>
        <v>-0.21782230529994001</v>
      </c>
      <c r="K45" s="55">
        <f>[4]酒店主体!N45</f>
        <v>25728.73</v>
      </c>
      <c r="L45" s="112">
        <f>[4]酒店主体!P45</f>
        <v>-0.24048408141404501</v>
      </c>
      <c r="M45" s="51">
        <f>[4]酒店主体!S45</f>
        <v>19541.38</v>
      </c>
      <c r="N45" s="55">
        <f>[4]酒店主体!T45</f>
        <v>24983.3</v>
      </c>
      <c r="O45" s="111">
        <f>[4]酒店主体!V45</f>
        <v>-0.21782230529994001</v>
      </c>
      <c r="P45" s="55">
        <f>[4]酒店主体!W45</f>
        <v>25728.73</v>
      </c>
      <c r="Q45" s="113">
        <f>[4]酒店主体!Y45</f>
        <v>-0.24048408141404501</v>
      </c>
      <c r="R45" s="57">
        <f>[4]酒店主体!Z45</f>
        <v>299799.59999999998</v>
      </c>
      <c r="S45" s="58">
        <f>[4]酒店主体!AA45</f>
        <v>6.5181474558338295E-2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 spans="1:41" ht="33" customHeight="1">
      <c r="A46" s="47"/>
      <c r="B46" s="47"/>
      <c r="C46" s="199"/>
      <c r="D46" s="200"/>
      <c r="E46" s="49"/>
      <c r="F46" s="184"/>
      <c r="G46" s="203" t="s">
        <v>374</v>
      </c>
      <c r="H46" s="51">
        <f>[4]酒店主体!J46</f>
        <v>20303.23</v>
      </c>
      <c r="I46" s="55">
        <f>[4]酒店主体!K46</f>
        <v>75062.05</v>
      </c>
      <c r="J46" s="111">
        <f>[4]酒店主体!M46</f>
        <v>-0.72951404871036696</v>
      </c>
      <c r="K46" s="55">
        <f>[4]酒店主体!N46</f>
        <v>51894.32</v>
      </c>
      <c r="L46" s="112">
        <f>[4]酒店主体!P46</f>
        <v>-0.60875814540011297</v>
      </c>
      <c r="M46" s="51">
        <f>[4]酒店主体!S46</f>
        <v>20303.23</v>
      </c>
      <c r="N46" s="55">
        <f>[4]酒店主体!T46</f>
        <v>75062.05</v>
      </c>
      <c r="O46" s="111">
        <f>[4]酒店主体!V46</f>
        <v>-0.72951404871036696</v>
      </c>
      <c r="P46" s="55">
        <f>[4]酒店主体!W46</f>
        <v>51894.32</v>
      </c>
      <c r="Q46" s="113">
        <f>[4]酒店主体!Y46</f>
        <v>-0.60875814540011297</v>
      </c>
      <c r="R46" s="57">
        <f>[4]酒店主体!Z46</f>
        <v>1174131.6200000001</v>
      </c>
      <c r="S46" s="58">
        <f>[4]酒店主体!AA46</f>
        <v>1.7292124370179199E-2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spans="1:41" s="5" customFormat="1" ht="16.5" customHeight="1">
      <c r="A47" s="47"/>
      <c r="B47" s="47"/>
      <c r="C47" s="199"/>
      <c r="D47" s="200"/>
      <c r="E47" s="49"/>
      <c r="F47" s="184"/>
      <c r="G47" s="367" t="s">
        <v>375</v>
      </c>
      <c r="H47" s="368">
        <f>[4]酒店主体!J47</f>
        <v>88223.77</v>
      </c>
      <c r="I47" s="369">
        <f>[4]酒店主体!K47</f>
        <v>165244.75</v>
      </c>
      <c r="J47" s="370">
        <f>[4]酒店主体!M47</f>
        <v>-0.46610243290634001</v>
      </c>
      <c r="K47" s="369">
        <f>[4]酒店主体!N47</f>
        <v>145449.76</v>
      </c>
      <c r="L47" s="371">
        <f>[4]酒店主体!P47</f>
        <v>-0.39344162547947797</v>
      </c>
      <c r="M47" s="368">
        <f>[4]酒店主体!S47</f>
        <v>88223.77</v>
      </c>
      <c r="N47" s="369">
        <f>[4]酒店主体!T47</f>
        <v>165244.75</v>
      </c>
      <c r="O47" s="370">
        <f>[4]酒店主体!V47</f>
        <v>-0.46610243290634001</v>
      </c>
      <c r="P47" s="369">
        <f>[4]酒店主体!W47</f>
        <v>145449.76</v>
      </c>
      <c r="Q47" s="372">
        <f>[4]酒店主体!Y47</f>
        <v>-0.39344162547947797</v>
      </c>
      <c r="R47" s="373">
        <f>[4]酒店主体!Z47</f>
        <v>2256324.02</v>
      </c>
      <c r="S47" s="374">
        <f>[4]酒店主体!AA47</f>
        <v>3.91006651606714E-2</v>
      </c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</row>
    <row r="48" spans="1:41" s="5" customFormat="1" ht="16.5" customHeight="1">
      <c r="A48" s="47"/>
      <c r="B48" s="47"/>
      <c r="C48" s="204"/>
      <c r="D48" s="200"/>
      <c r="E48" s="49"/>
      <c r="F48" s="184"/>
      <c r="G48" s="375" t="s">
        <v>376</v>
      </c>
      <c r="H48" s="376">
        <f>[4]酒店主体!J48</f>
        <v>-33005.18</v>
      </c>
      <c r="I48" s="377">
        <f>[4]酒店主体!K48</f>
        <v>128670.34</v>
      </c>
      <c r="J48" s="378">
        <f>[4]酒店主体!M48</f>
        <v>-1.25650961985489</v>
      </c>
      <c r="K48" s="377">
        <f>[4]酒店主体!N48</f>
        <v>196516.64</v>
      </c>
      <c r="L48" s="379">
        <f>[4]酒店主体!P48</f>
        <v>-1.16795107019945</v>
      </c>
      <c r="M48" s="376">
        <f>[4]酒店主体!S48</f>
        <v>-33005.18</v>
      </c>
      <c r="N48" s="377">
        <f>[4]酒店主体!T48</f>
        <v>128670.34</v>
      </c>
      <c r="O48" s="378">
        <f>[4]酒店主体!V48</f>
        <v>-1.25650961985489</v>
      </c>
      <c r="P48" s="377">
        <f>[4]酒店主体!W48</f>
        <v>196516.64</v>
      </c>
      <c r="Q48" s="380">
        <f>[4]酒店主体!Y48</f>
        <v>-1.16795107019945</v>
      </c>
      <c r="R48" s="381">
        <f>[4]酒店主体!Z48</f>
        <v>3248440.14</v>
      </c>
      <c r="S48" s="382">
        <f>[4]酒店主体!AA48</f>
        <v>-1.0160316514251699E-2</v>
      </c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</row>
    <row r="49" spans="1:41" s="8" customFormat="1" ht="16.5" customHeight="1">
      <c r="A49" s="205"/>
      <c r="B49" s="205"/>
      <c r="C49" s="206"/>
      <c r="D49" s="207"/>
      <c r="E49" s="208"/>
      <c r="F49" s="209"/>
      <c r="G49" s="383" t="s">
        <v>377</v>
      </c>
      <c r="H49" s="384">
        <f>[4]酒店主体!J49</f>
        <v>-0.59771863062783703</v>
      </c>
      <c r="I49" s="385">
        <f>[4]酒店主体!K49</f>
        <v>0.437780652908975</v>
      </c>
      <c r="J49" s="386">
        <f>[4]酒店主体!M49</f>
        <v>-2.3653381588613001</v>
      </c>
      <c r="K49" s="387">
        <f>[4]酒店主体!N49</f>
        <v>0.574666516944355</v>
      </c>
      <c r="L49" s="388">
        <f>[4]酒店主体!P49</f>
        <v>-2.0401138973713899</v>
      </c>
      <c r="M49" s="386">
        <f>[4]酒店主体!S49</f>
        <v>-0.59771863062783703</v>
      </c>
      <c r="N49" s="387">
        <f>[4]酒店主体!T49</f>
        <v>0.437780652908975</v>
      </c>
      <c r="O49" s="386">
        <f>[4]酒店主体!V49</f>
        <v>-2.3653381588613001</v>
      </c>
      <c r="P49" s="387">
        <f>[4]酒店主体!W49</f>
        <v>0.574666516944355</v>
      </c>
      <c r="Q49" s="389">
        <f>[4]酒店主体!Y49</f>
        <v>-2.0401138973713899</v>
      </c>
      <c r="R49" s="390">
        <f>[4]酒店主体!Z49</f>
        <v>0.59011431654140101</v>
      </c>
      <c r="S49" s="391">
        <f>[4]酒店主体!AA49</f>
        <v>-1.0128861711591799</v>
      </c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</row>
    <row r="50" spans="1:41" ht="16.5" customHeight="1">
      <c r="A50" s="47"/>
      <c r="B50" s="47"/>
      <c r="C50" s="48"/>
      <c r="D50" s="48"/>
      <c r="E50" s="49"/>
      <c r="G50" s="211"/>
      <c r="H50" s="212"/>
      <c r="I50" s="212"/>
      <c r="J50" s="213"/>
      <c r="K50" s="212"/>
      <c r="L50" s="63"/>
      <c r="M50" s="212"/>
      <c r="N50" s="212"/>
      <c r="O50" s="213"/>
      <c r="P50" s="212"/>
      <c r="Q50" s="65"/>
      <c r="R50" s="214"/>
      <c r="S50" s="215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 spans="1:41" ht="16.5" customHeight="1">
      <c r="A51" s="47"/>
      <c r="B51" s="47"/>
      <c r="C51" s="48"/>
      <c r="D51" s="48"/>
      <c r="E51" s="49"/>
      <c r="F51" s="184"/>
      <c r="G51" s="392" t="s">
        <v>378</v>
      </c>
      <c r="H51" s="216"/>
      <c r="I51" s="216"/>
      <c r="J51" s="217"/>
      <c r="K51" s="216"/>
      <c r="L51" s="218"/>
      <c r="M51" s="216"/>
      <c r="N51" s="216"/>
      <c r="O51" s="217"/>
      <c r="P51" s="216"/>
      <c r="Q51" s="217"/>
      <c r="R51" s="219"/>
      <c r="S51" s="220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spans="1:41" ht="16.5" customHeight="1">
      <c r="A52" s="47"/>
      <c r="B52" s="47"/>
      <c r="C52" s="204"/>
      <c r="D52" s="221"/>
      <c r="E52" s="49"/>
      <c r="F52" s="184"/>
      <c r="G52" s="222" t="s">
        <v>379</v>
      </c>
      <c r="H52" s="51">
        <f>[4]酒店主体!J52</f>
        <v>59674.53</v>
      </c>
      <c r="I52" s="55">
        <f>[4]酒店主体!K52</f>
        <v>277358.49</v>
      </c>
      <c r="J52" s="111">
        <f>[4]酒店主体!M52</f>
        <v>-0.78484693221397295</v>
      </c>
      <c r="K52" s="55">
        <f>[4]酒店主体!N52</f>
        <v>365872.63</v>
      </c>
      <c r="L52" s="112">
        <f>[4]酒店主体!P52</f>
        <v>-0.83689807570465202</v>
      </c>
      <c r="M52" s="51">
        <f>[4]酒店主体!S52</f>
        <v>59674.53</v>
      </c>
      <c r="N52" s="55">
        <f>[4]酒店主体!T52</f>
        <v>277358.49</v>
      </c>
      <c r="O52" s="111">
        <f>[4]酒店主体!V52</f>
        <v>-0.78484693221397295</v>
      </c>
      <c r="P52" s="55">
        <f>[4]酒店主体!W52</f>
        <v>365872.63</v>
      </c>
      <c r="Q52" s="113">
        <f>[4]酒店主体!Y52</f>
        <v>-0.83689807570465202</v>
      </c>
      <c r="R52" s="57">
        <f>[4]酒店主体!Z52</f>
        <v>4916377.3499999996</v>
      </c>
      <c r="S52" s="58">
        <f>[4]酒店主体!AA52</f>
        <v>1.2137906786182699E-2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spans="1:41" ht="16.5" customHeight="1">
      <c r="A53" s="47" t="s">
        <v>380</v>
      </c>
      <c r="B53" s="47"/>
      <c r="C53" s="204"/>
      <c r="D53" s="221"/>
      <c r="E53" s="49"/>
      <c r="F53" s="184"/>
      <c r="G53" s="223" t="s">
        <v>381</v>
      </c>
      <c r="H53" s="51">
        <f>[4]酒店主体!J53</f>
        <v>350.94</v>
      </c>
      <c r="I53" s="55">
        <f>[4]酒店主体!K53</f>
        <v>0</v>
      </c>
      <c r="J53" s="111" t="str">
        <f>[4]酒店主体!M53</f>
        <v/>
      </c>
      <c r="K53" s="55">
        <f>[4]酒店主体!N53</f>
        <v>333.95</v>
      </c>
      <c r="L53" s="112">
        <f>[4]酒店主体!P53</f>
        <v>5.0875879622698003E-2</v>
      </c>
      <c r="M53" s="51">
        <f>[4]酒店主体!S53</f>
        <v>350.94</v>
      </c>
      <c r="N53" s="55">
        <f>[4]酒店主体!T53</f>
        <v>0</v>
      </c>
      <c r="O53" s="111" t="str">
        <f>[4]酒店主体!V53</f>
        <v/>
      </c>
      <c r="P53" s="55">
        <f>[4]酒店主体!W53</f>
        <v>333.95</v>
      </c>
      <c r="Q53" s="113">
        <f>[4]酒店主体!Y53</f>
        <v>5.0875879622698003E-2</v>
      </c>
      <c r="R53" s="57">
        <f>[4]酒店主体!Z53</f>
        <v>0</v>
      </c>
      <c r="S53" s="58" t="str">
        <f>[4]酒店主体!AA53</f>
        <v/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spans="1:41" ht="16.5" customHeight="1">
      <c r="A54" s="47"/>
      <c r="B54" s="47"/>
      <c r="C54" s="204"/>
      <c r="D54" s="221"/>
      <c r="E54" s="49"/>
      <c r="F54" s="184"/>
      <c r="G54" s="223" t="s">
        <v>382</v>
      </c>
      <c r="H54" s="51">
        <f>[4]酒店主体!J54</f>
        <v>11223.01</v>
      </c>
      <c r="I54" s="55">
        <f>[4]酒店主体!K54</f>
        <v>17699.12</v>
      </c>
      <c r="J54" s="111">
        <f>[4]酒店主体!M54</f>
        <v>-0.365900112547968</v>
      </c>
      <c r="K54" s="55">
        <f>[4]酒店主体!N54</f>
        <v>11746.91</v>
      </c>
      <c r="L54" s="112">
        <f>[4]酒店主体!P54</f>
        <v>-4.45989626208083E-2</v>
      </c>
      <c r="M54" s="51">
        <f>[4]酒店主体!S54</f>
        <v>11223.01</v>
      </c>
      <c r="N54" s="55">
        <f>[4]酒店主体!T54</f>
        <v>17699.12</v>
      </c>
      <c r="O54" s="111">
        <f>[4]酒店主体!V54</f>
        <v>-0.365900112547968</v>
      </c>
      <c r="P54" s="55">
        <f>[4]酒店主体!W54</f>
        <v>11746.91</v>
      </c>
      <c r="Q54" s="113">
        <f>[4]酒店主体!Y54</f>
        <v>-4.45989626208083E-2</v>
      </c>
      <c r="R54" s="57">
        <f>[4]酒店主体!Z54</f>
        <v>132743.38</v>
      </c>
      <c r="S54" s="58">
        <f>[4]酒店主体!AA54</f>
        <v>8.4546664398631399E-2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spans="1:41" ht="16.5" customHeight="1">
      <c r="A55" s="47"/>
      <c r="B55" s="47"/>
      <c r="C55" s="204"/>
      <c r="D55" s="221"/>
      <c r="E55" s="49"/>
      <c r="F55" s="184"/>
      <c r="G55" s="223" t="s">
        <v>383</v>
      </c>
      <c r="H55" s="51">
        <f>[4]酒店主体!J55</f>
        <v>1226.42</v>
      </c>
      <c r="I55" s="55">
        <f>[4]酒店主体!K55</f>
        <v>37735.85</v>
      </c>
      <c r="J55" s="111">
        <f>[4]酒店主体!M55</f>
        <v>-0.96749987081250299</v>
      </c>
      <c r="K55" s="55">
        <f>[4]酒店主体!N55</f>
        <v>83301.87</v>
      </c>
      <c r="L55" s="112">
        <f>[4]酒店主体!P55</f>
        <v>-0.98527740133564801</v>
      </c>
      <c r="M55" s="51">
        <f>[4]酒店主体!S55</f>
        <v>1226.42</v>
      </c>
      <c r="N55" s="55">
        <f>[4]酒店主体!T55</f>
        <v>37735.85</v>
      </c>
      <c r="O55" s="111">
        <f>[4]酒店主体!V55</f>
        <v>-0.96749987081250299</v>
      </c>
      <c r="P55" s="55">
        <f>[4]酒店主体!W55</f>
        <v>83301.87</v>
      </c>
      <c r="Q55" s="113">
        <f>[4]酒店主体!Y55</f>
        <v>-0.98527740133564801</v>
      </c>
      <c r="R55" s="57">
        <f>[4]酒店主体!Z55</f>
        <v>566037.74</v>
      </c>
      <c r="S55" s="58">
        <f>[4]酒店主体!AA55</f>
        <v>2.1666753174443801E-3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spans="1:41" s="5" customFormat="1" ht="16.5" customHeight="1">
      <c r="A56" s="47"/>
      <c r="B56" s="47"/>
      <c r="C56" s="204"/>
      <c r="D56" s="200"/>
      <c r="E56" s="49"/>
      <c r="F56" s="184"/>
      <c r="G56" s="393" t="s">
        <v>384</v>
      </c>
      <c r="H56" s="394">
        <f>[4]酒店主体!J56</f>
        <v>72474.899999999994</v>
      </c>
      <c r="I56" s="395">
        <f>[4]酒店主体!K56</f>
        <v>332793.46000000002</v>
      </c>
      <c r="J56" s="396">
        <f>[4]酒店主体!M56</f>
        <v>-0.78222258334043004</v>
      </c>
      <c r="K56" s="395">
        <f>[4]酒店主体!N56</f>
        <v>461255.36</v>
      </c>
      <c r="L56" s="397">
        <f>[4]酒店主体!P56</f>
        <v>-0.84287467141845196</v>
      </c>
      <c r="M56" s="394">
        <f>[4]酒店主体!S56</f>
        <v>72474.899999999994</v>
      </c>
      <c r="N56" s="395">
        <f>[4]酒店主体!T56</f>
        <v>332793.46000000002</v>
      </c>
      <c r="O56" s="396">
        <f>[4]酒店主体!V56</f>
        <v>-0.78222258334043004</v>
      </c>
      <c r="P56" s="395">
        <f>[4]酒店主体!W56</f>
        <v>461255.36</v>
      </c>
      <c r="Q56" s="398">
        <f>[4]酒店主体!Y56</f>
        <v>-0.84287467141845196</v>
      </c>
      <c r="R56" s="365">
        <f>[4]酒店主体!Z56</f>
        <v>5615158.4699999997</v>
      </c>
      <c r="S56" s="366">
        <f>[4]酒店主体!AA56</f>
        <v>1.2907008838167301E-2</v>
      </c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</row>
    <row r="57" spans="1:41" ht="16.5" customHeight="1">
      <c r="A57" s="47"/>
      <c r="B57" s="47"/>
      <c r="C57" s="204"/>
      <c r="D57" s="221"/>
      <c r="E57" s="49"/>
      <c r="F57" s="184"/>
      <c r="G57" s="222" t="s">
        <v>385</v>
      </c>
      <c r="H57" s="51">
        <f>[4]酒店主体!J57</f>
        <v>28401.91</v>
      </c>
      <c r="I57" s="55">
        <f>[4]酒店主体!K57</f>
        <v>123424.53</v>
      </c>
      <c r="J57" s="111">
        <f>[4]酒店主体!M57</f>
        <v>-0.76988439818243604</v>
      </c>
      <c r="K57" s="55">
        <f>[4]酒店主体!N57</f>
        <v>162528.66</v>
      </c>
      <c r="L57" s="112">
        <f>[4]酒店主体!P57</f>
        <v>-0.82524983593662804</v>
      </c>
      <c r="M57" s="51">
        <f>[4]酒店主体!S57</f>
        <v>28401.91</v>
      </c>
      <c r="N57" s="55">
        <f>[4]酒店主体!T57</f>
        <v>123424.53</v>
      </c>
      <c r="O57" s="111">
        <f>[4]酒店主体!V57</f>
        <v>-0.76988439818243604</v>
      </c>
      <c r="P57" s="55">
        <f>[4]酒店主体!W57</f>
        <v>162528.66</v>
      </c>
      <c r="Q57" s="113">
        <f>[4]酒店主体!Y57</f>
        <v>-0.82524983593662804</v>
      </c>
      <c r="R57" s="57">
        <f>[4]酒店主体!Z57</f>
        <v>2187787.9300000002</v>
      </c>
      <c r="S57" s="58">
        <f>[4]酒店主体!AA57</f>
        <v>1.29820215252764E-2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spans="1:41" ht="16.5" customHeight="1">
      <c r="A58" s="47"/>
      <c r="B58" s="47"/>
      <c r="C58" s="204"/>
      <c r="D58" s="221"/>
      <c r="E58" s="49"/>
      <c r="F58" s="184"/>
      <c r="G58" s="222" t="s">
        <v>386</v>
      </c>
      <c r="H58" s="51">
        <f>[4]酒店主体!J58</f>
        <v>1383.74</v>
      </c>
      <c r="I58" s="55">
        <f>[4]酒店主体!K58</f>
        <v>0</v>
      </c>
      <c r="J58" s="111" t="str">
        <f>[4]酒店主体!M58</f>
        <v/>
      </c>
      <c r="K58" s="55">
        <f>[4]酒店主体!N58</f>
        <v>1552.38</v>
      </c>
      <c r="L58" s="112">
        <f>[4]酒店主体!P58</f>
        <v>-0.108633195480488</v>
      </c>
      <c r="M58" s="51">
        <f>[4]酒店主体!S58</f>
        <v>1383.74</v>
      </c>
      <c r="N58" s="55">
        <f>[4]酒店主体!T58</f>
        <v>0</v>
      </c>
      <c r="O58" s="111" t="str">
        <f>[4]酒店主体!V58</f>
        <v/>
      </c>
      <c r="P58" s="55">
        <f>[4]酒店主体!W58</f>
        <v>1552.38</v>
      </c>
      <c r="Q58" s="113">
        <f>[4]酒店主体!Y58</f>
        <v>-0.108633195480488</v>
      </c>
      <c r="R58" s="57">
        <f>[4]酒店主体!Z58</f>
        <v>0</v>
      </c>
      <c r="S58" s="58" t="str">
        <f>[4]酒店主体!AA58</f>
        <v/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1:41" ht="16.5" customHeight="1">
      <c r="A59" s="47"/>
      <c r="B59" s="47"/>
      <c r="C59" s="224"/>
      <c r="D59" s="221"/>
      <c r="E59" s="49"/>
      <c r="F59" s="184"/>
      <c r="G59" s="222" t="s">
        <v>387</v>
      </c>
      <c r="H59" s="51">
        <f>[4]酒店主体!J59</f>
        <v>8042.8</v>
      </c>
      <c r="I59" s="55">
        <f>[4]酒店主体!K59</f>
        <v>15929.2</v>
      </c>
      <c r="J59" s="111">
        <f>[4]酒店主体!M59</f>
        <v>-0.49509077668683898</v>
      </c>
      <c r="K59" s="55">
        <f>[4]酒店主体!N59</f>
        <v>7510.9</v>
      </c>
      <c r="L59" s="112">
        <f>[4]酒店主体!P59</f>
        <v>7.0817079178260994E-2</v>
      </c>
      <c r="M59" s="51">
        <f>[4]酒店主体!S59</f>
        <v>8042.8</v>
      </c>
      <c r="N59" s="55">
        <f>[4]酒店主体!T59</f>
        <v>15929.2</v>
      </c>
      <c r="O59" s="111">
        <f>[4]酒店主体!V59</f>
        <v>-0.49509077668683898</v>
      </c>
      <c r="P59" s="55">
        <f>[4]酒店主体!W59</f>
        <v>7510.9</v>
      </c>
      <c r="Q59" s="113">
        <f>[4]酒店主体!Y59</f>
        <v>7.0817079178260994E-2</v>
      </c>
      <c r="R59" s="57">
        <f>[4]酒店主体!Z59</f>
        <v>119469.02</v>
      </c>
      <c r="S59" s="58">
        <f>[4]酒店主体!AA59</f>
        <v>6.7321218505014893E-2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spans="1:41" s="5" customFormat="1" ht="16.5" customHeight="1">
      <c r="A60" s="47"/>
      <c r="B60" s="47"/>
      <c r="C60" s="204"/>
      <c r="D60" s="200"/>
      <c r="E60" s="49"/>
      <c r="F60" s="184"/>
      <c r="G60" s="225" t="s">
        <v>388</v>
      </c>
      <c r="H60" s="226">
        <f>[4]酒店主体!J60</f>
        <v>37828.449999999997</v>
      </c>
      <c r="I60" s="227">
        <f>[4]酒店主体!K60</f>
        <v>139353.73000000001</v>
      </c>
      <c r="J60" s="228">
        <f>[4]酒店主体!M60</f>
        <v>-0.72854368519594004</v>
      </c>
      <c r="K60" s="227">
        <f>[4]酒店主体!N60</f>
        <v>171591.94</v>
      </c>
      <c r="L60" s="229">
        <f>[4]酒店主体!P60</f>
        <v>-0.77954413243419196</v>
      </c>
      <c r="M60" s="230">
        <f>[4]酒店主体!S60</f>
        <v>37828.449999999997</v>
      </c>
      <c r="N60" s="227">
        <f>[4]酒店主体!T60</f>
        <v>139353.73000000001</v>
      </c>
      <c r="O60" s="228">
        <f>[4]酒店主体!V60</f>
        <v>-0.72854368519594004</v>
      </c>
      <c r="P60" s="227">
        <f>[4]酒店主体!W60</f>
        <v>171591.94</v>
      </c>
      <c r="Q60" s="231">
        <f>[4]酒店主体!Y60</f>
        <v>-0.77954413243419196</v>
      </c>
      <c r="R60" s="232">
        <f>[4]酒店主体!Z60</f>
        <v>2307256.9500000002</v>
      </c>
      <c r="S60" s="233">
        <f>[4]酒店主体!AA60</f>
        <v>1.63954214115597E-2</v>
      </c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</row>
    <row r="61" spans="1:41" ht="16.5" customHeight="1">
      <c r="A61" s="47"/>
      <c r="B61" s="47"/>
      <c r="C61" s="204"/>
      <c r="D61" s="221"/>
      <c r="E61" s="49"/>
      <c r="F61" s="184"/>
      <c r="G61" s="234" t="s">
        <v>389</v>
      </c>
      <c r="H61" s="51">
        <f>[4]酒店主体!J61</f>
        <v>53870.38</v>
      </c>
      <c r="I61" s="55">
        <f>[4]酒店主体!K61</f>
        <v>89039.7</v>
      </c>
      <c r="J61" s="111">
        <f>[4]酒店主体!M61</f>
        <v>-0.394984709067978</v>
      </c>
      <c r="K61" s="55">
        <f>[4]酒店主体!N61</f>
        <v>101716.82</v>
      </c>
      <c r="L61" s="112">
        <f>[4]酒店主体!P61</f>
        <v>-0.47038867318109201</v>
      </c>
      <c r="M61" s="51">
        <f>[4]酒店主体!S61</f>
        <v>53870.38</v>
      </c>
      <c r="N61" s="55">
        <f>[4]酒店主体!T61</f>
        <v>89039.7</v>
      </c>
      <c r="O61" s="111">
        <f>[4]酒店主体!V61</f>
        <v>-0.394984709067978</v>
      </c>
      <c r="P61" s="55">
        <f>[4]酒店主体!W61</f>
        <v>101716.82</v>
      </c>
      <c r="Q61" s="113">
        <f>[4]酒店主体!Y61</f>
        <v>-0.47038867318109201</v>
      </c>
      <c r="R61" s="57">
        <f>[4]酒店主体!Z61</f>
        <v>1068476.3999999999</v>
      </c>
      <c r="S61" s="58">
        <f>[4]酒店主体!AA61</f>
        <v>5.04179409110019E-2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spans="1:41" ht="16.5" customHeight="1">
      <c r="A62" s="47"/>
      <c r="B62" s="47"/>
      <c r="C62" s="204"/>
      <c r="D62" s="221"/>
      <c r="E62" s="49"/>
      <c r="F62" s="184"/>
      <c r="G62" s="222" t="s">
        <v>390</v>
      </c>
      <c r="H62" s="51">
        <f>[4]酒店主体!J62</f>
        <v>19604.59</v>
      </c>
      <c r="I62" s="55">
        <f>[4]酒店主体!K62</f>
        <v>29236.62</v>
      </c>
      <c r="J62" s="111">
        <f>[4]酒店主体!M62</f>
        <v>-0.32945087359619502</v>
      </c>
      <c r="K62" s="55">
        <f>[4]酒店主体!N62</f>
        <v>28916.81</v>
      </c>
      <c r="L62" s="112">
        <f>[4]酒店主体!P62</f>
        <v>-0.32203483025963098</v>
      </c>
      <c r="M62" s="51">
        <f>[4]酒店主体!S62</f>
        <v>19604.59</v>
      </c>
      <c r="N62" s="55">
        <f>[4]酒店主体!T62</f>
        <v>29236.62</v>
      </c>
      <c r="O62" s="111">
        <f>[4]酒店主体!V62</f>
        <v>-0.32945087359619502</v>
      </c>
      <c r="P62" s="55">
        <f>[4]酒店主体!W62</f>
        <v>28916.81</v>
      </c>
      <c r="Q62" s="113">
        <f>[4]酒店主体!Y62</f>
        <v>-0.32203483025963098</v>
      </c>
      <c r="R62" s="57">
        <f>[4]酒店主体!Z62</f>
        <v>350839.44</v>
      </c>
      <c r="S62" s="58">
        <f>[4]酒店主体!AA62</f>
        <v>5.5879093866983698E-2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spans="1:41" ht="16.5" customHeight="1">
      <c r="A63" s="47"/>
      <c r="B63" s="47"/>
      <c r="C63" s="204"/>
      <c r="D63" s="221"/>
      <c r="E63" s="49"/>
      <c r="F63" s="184"/>
      <c r="G63" s="222" t="s">
        <v>391</v>
      </c>
      <c r="H63" s="51">
        <f>[4]酒店主体!J63</f>
        <v>4477.32</v>
      </c>
      <c r="I63" s="55">
        <f>[4]酒店主体!K63</f>
        <v>12197.07</v>
      </c>
      <c r="J63" s="111">
        <f>[4]酒店主体!M63</f>
        <v>-0.632918397615165</v>
      </c>
      <c r="K63" s="55">
        <f>[4]酒店主体!N63</f>
        <v>9907.11</v>
      </c>
      <c r="L63" s="112">
        <f>[4]酒店主体!P63</f>
        <v>-0.54807002243843095</v>
      </c>
      <c r="M63" s="51">
        <f>[4]酒店主体!S63</f>
        <v>4477.32</v>
      </c>
      <c r="N63" s="55">
        <f>[4]酒店主体!T63</f>
        <v>12197.07</v>
      </c>
      <c r="O63" s="111">
        <f>[4]酒店主体!V63</f>
        <v>-0.632918397615165</v>
      </c>
      <c r="P63" s="55">
        <f>[4]酒店主体!W63</f>
        <v>9907.11</v>
      </c>
      <c r="Q63" s="113">
        <f>[4]酒店主体!Y63</f>
        <v>-0.54807002243843095</v>
      </c>
      <c r="R63" s="57">
        <f>[4]酒店主体!Z63</f>
        <v>168875.19</v>
      </c>
      <c r="S63" s="58">
        <f>[4]酒店主体!AA63</f>
        <v>2.6512597854071999E-2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spans="1:41" s="5" customFormat="1" ht="16.5" customHeight="1">
      <c r="A64" s="47"/>
      <c r="B64" s="47"/>
      <c r="C64" s="204"/>
      <c r="D64" s="200"/>
      <c r="E64" s="49"/>
      <c r="F64" s="184"/>
      <c r="G64" s="399" t="s">
        <v>392</v>
      </c>
      <c r="H64" s="368">
        <f>[4]酒店主体!J64</f>
        <v>115780.74</v>
      </c>
      <c r="I64" s="369">
        <f>[4]酒店主体!K64</f>
        <v>269827.12</v>
      </c>
      <c r="J64" s="370">
        <f>[4]酒店主体!M64</f>
        <v>-0.57090769823285403</v>
      </c>
      <c r="K64" s="369">
        <f>[4]酒店主体!N64</f>
        <v>312132.68</v>
      </c>
      <c r="L64" s="371">
        <f>[4]酒店主体!P64</f>
        <v>-0.62906562683535705</v>
      </c>
      <c r="M64" s="368">
        <f>[4]酒店主体!S64</f>
        <v>115780.74</v>
      </c>
      <c r="N64" s="369">
        <f>[4]酒店主体!T64</f>
        <v>269827.12</v>
      </c>
      <c r="O64" s="370">
        <f>[4]酒店主体!V64</f>
        <v>-0.57090769823285403</v>
      </c>
      <c r="P64" s="369">
        <f>[4]酒店主体!W64</f>
        <v>312132.68</v>
      </c>
      <c r="Q64" s="372">
        <f>[4]酒店主体!Y64</f>
        <v>-0.62906562683535705</v>
      </c>
      <c r="R64" s="373">
        <f>[4]酒店主体!Z64</f>
        <v>3895447.98</v>
      </c>
      <c r="S64" s="374">
        <f>[4]酒店主体!AA64</f>
        <v>2.9722060362361701E-2</v>
      </c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</row>
    <row r="65" spans="1:41" s="5" customFormat="1" ht="16.5" customHeight="1">
      <c r="A65" s="47"/>
      <c r="B65" s="47"/>
      <c r="C65" s="204"/>
      <c r="D65" s="200"/>
      <c r="E65" s="49"/>
      <c r="F65" s="184"/>
      <c r="G65" s="400" t="s">
        <v>393</v>
      </c>
      <c r="H65" s="401">
        <f>[4]酒店主体!J65</f>
        <v>-43305.84</v>
      </c>
      <c r="I65" s="402">
        <f>[4]酒店主体!K65</f>
        <v>62966.34</v>
      </c>
      <c r="J65" s="403">
        <f>[4]酒店主体!M65</f>
        <v>-1.6877617469905399</v>
      </c>
      <c r="K65" s="402">
        <f>[4]酒店主体!N65</f>
        <v>149122.68</v>
      </c>
      <c r="L65" s="404">
        <f>[4]酒店主体!P65</f>
        <v>-1.29040411559127</v>
      </c>
      <c r="M65" s="401">
        <f>[4]酒店主体!S65</f>
        <v>-43305.84</v>
      </c>
      <c r="N65" s="402">
        <f>[4]酒店主体!T65</f>
        <v>62966.34</v>
      </c>
      <c r="O65" s="403">
        <f>[4]酒店主体!V65</f>
        <v>-1.6877617469905399</v>
      </c>
      <c r="P65" s="402">
        <f>[4]酒店主体!W65</f>
        <v>149122.68</v>
      </c>
      <c r="Q65" s="405">
        <f>[4]酒店主体!Y65</f>
        <v>-1.29040411559127</v>
      </c>
      <c r="R65" s="381">
        <f>[4]酒店主体!Z65</f>
        <v>1719710.49</v>
      </c>
      <c r="S65" s="382">
        <f>[4]酒店主体!AA65</f>
        <v>-2.5182052590724199E-2</v>
      </c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</row>
    <row r="66" spans="1:41" s="9" customFormat="1" ht="16.5" customHeight="1">
      <c r="A66" s="125"/>
      <c r="B66" s="125"/>
      <c r="C66" s="235"/>
      <c r="D66" s="126"/>
      <c r="E66" s="127"/>
      <c r="F66" s="236"/>
      <c r="G66" s="406" t="s">
        <v>394</v>
      </c>
      <c r="H66" s="384">
        <f>[4]酒店主体!J66</f>
        <v>-0.59752879962580197</v>
      </c>
      <c r="I66" s="385">
        <f>[4]酒店主体!K66</f>
        <v>0.189205460948662</v>
      </c>
      <c r="J66" s="386">
        <f>[4]酒店主体!M66</f>
        <v>-4.1580948912882203</v>
      </c>
      <c r="K66" s="385">
        <f>[4]酒店主体!N66</f>
        <v>0.32329744634295399</v>
      </c>
      <c r="L66" s="388">
        <f>[4]酒店主体!P66</f>
        <v>-2.8482323519250499</v>
      </c>
      <c r="M66" s="384">
        <f>[4]酒店主体!S66</f>
        <v>-0.59752879962580197</v>
      </c>
      <c r="N66" s="385">
        <f>[4]酒店主体!T66</f>
        <v>0.189205460948662</v>
      </c>
      <c r="O66" s="386">
        <f>[4]酒店主体!V66</f>
        <v>-4.1580948912882203</v>
      </c>
      <c r="P66" s="385">
        <f>[4]酒店主体!W66</f>
        <v>0.32329744634295399</v>
      </c>
      <c r="Q66" s="389">
        <f>[4]酒店主体!Y66</f>
        <v>-2.8482323519250499</v>
      </c>
      <c r="R66" s="407">
        <f>[4]酒店主体!Z66</f>
        <v>0.30626214721950701</v>
      </c>
      <c r="S66" s="408">
        <f>[4]酒店主体!AA66</f>
        <v>-1.95103706106238</v>
      </c>
      <c r="T66" s="136"/>
      <c r="U66" s="136"/>
      <c r="V66" s="136"/>
      <c r="W66" s="136"/>
      <c r="X66" s="136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</row>
    <row r="67" spans="1:41" ht="16.5" customHeight="1">
      <c r="A67" s="47"/>
      <c r="B67" s="47"/>
      <c r="C67" s="48"/>
      <c r="D67" s="48"/>
      <c r="E67" s="49"/>
      <c r="F67" s="184"/>
      <c r="G67" s="238"/>
      <c r="H67" s="239"/>
      <c r="I67" s="212"/>
      <c r="J67" s="65"/>
      <c r="K67" s="212"/>
      <c r="L67" s="63"/>
      <c r="M67" s="239"/>
      <c r="N67" s="212"/>
      <c r="O67" s="65"/>
      <c r="P67" s="212"/>
      <c r="Q67" s="65"/>
      <c r="R67" s="240"/>
      <c r="S67" s="241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spans="1:41" ht="16.5" customHeight="1">
      <c r="A68" s="47"/>
      <c r="B68" s="47"/>
      <c r="C68" s="48"/>
      <c r="D68" s="48"/>
      <c r="E68" s="49"/>
      <c r="F68" s="184"/>
      <c r="G68" s="392" t="s">
        <v>395</v>
      </c>
      <c r="H68" s="216"/>
      <c r="I68" s="216"/>
      <c r="J68" s="217"/>
      <c r="K68" s="216"/>
      <c r="L68" s="218"/>
      <c r="M68" s="216"/>
      <c r="N68" s="216"/>
      <c r="O68" s="217"/>
      <c r="P68" s="216"/>
      <c r="Q68" s="217"/>
      <c r="R68" s="242"/>
      <c r="S68" s="24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spans="1:41" s="10" customFormat="1" ht="16.5" customHeight="1">
      <c r="A69" s="47"/>
      <c r="B69" s="47"/>
      <c r="C69" s="244"/>
      <c r="D69" s="14"/>
      <c r="E69" s="49"/>
      <c r="F69" s="184"/>
      <c r="G69" s="245" t="s">
        <v>396</v>
      </c>
      <c r="H69" s="51">
        <f>[4]酒店主体!J69</f>
        <v>0</v>
      </c>
      <c r="I69" s="55">
        <f>[4]酒店主体!K69</f>
        <v>0</v>
      </c>
      <c r="J69" s="246" t="str">
        <f>[4]酒店主体!M69</f>
        <v/>
      </c>
      <c r="K69" s="55">
        <f>[4]酒店主体!N69</f>
        <v>0</v>
      </c>
      <c r="L69" s="112" t="str">
        <f>[4]酒店主体!P69</f>
        <v/>
      </c>
      <c r="M69" s="51">
        <f>[4]酒店主体!S69</f>
        <v>0</v>
      </c>
      <c r="N69" s="55">
        <f>[4]酒店主体!T69</f>
        <v>0</v>
      </c>
      <c r="O69" s="111" t="str">
        <f>[4]酒店主体!V69</f>
        <v/>
      </c>
      <c r="P69" s="55">
        <f>[4]酒店主体!W69</f>
        <v>0</v>
      </c>
      <c r="Q69" s="113" t="str">
        <f>[4]酒店主体!Y69</f>
        <v/>
      </c>
      <c r="R69" s="57">
        <f>[4]酒店主体!Z69</f>
        <v>0</v>
      </c>
      <c r="S69" s="58" t="str">
        <f>[4]酒店主体!AA69</f>
        <v/>
      </c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  <c r="AM69" s="247"/>
      <c r="AN69" s="247"/>
      <c r="AO69" s="247"/>
    </row>
    <row r="70" spans="1:41" s="10" customFormat="1" ht="16.5" customHeight="1">
      <c r="A70" s="47"/>
      <c r="B70" s="47"/>
      <c r="C70" s="244"/>
      <c r="D70" s="14"/>
      <c r="E70" s="49"/>
      <c r="F70" s="184"/>
      <c r="G70" s="245" t="s">
        <v>397</v>
      </c>
      <c r="H70" s="51">
        <f>[4]酒店主体!J70</f>
        <v>0</v>
      </c>
      <c r="I70" s="55">
        <f>[4]酒店主体!K70</f>
        <v>0</v>
      </c>
      <c r="J70" s="246" t="str">
        <f>[4]酒店主体!M70</f>
        <v/>
      </c>
      <c r="K70" s="55">
        <f>[4]酒店主体!N70</f>
        <v>0</v>
      </c>
      <c r="L70" s="112" t="str">
        <f>[4]酒店主体!P70</f>
        <v/>
      </c>
      <c r="M70" s="51">
        <f>[4]酒店主体!S70</f>
        <v>0</v>
      </c>
      <c r="N70" s="55">
        <f>[4]酒店主体!T70</f>
        <v>0</v>
      </c>
      <c r="O70" s="111" t="str">
        <f>[4]酒店主体!V70</f>
        <v/>
      </c>
      <c r="P70" s="55">
        <f>[4]酒店主体!W70</f>
        <v>0</v>
      </c>
      <c r="Q70" s="113" t="str">
        <f>[4]酒店主体!Y70</f>
        <v/>
      </c>
      <c r="R70" s="57">
        <f>[4]酒店主体!Z70</f>
        <v>0</v>
      </c>
      <c r="S70" s="58" t="str">
        <f>[4]酒店主体!AA70</f>
        <v/>
      </c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7"/>
      <c r="AK70" s="247"/>
      <c r="AL70" s="247"/>
      <c r="AM70" s="247"/>
      <c r="AN70" s="247"/>
      <c r="AO70" s="247"/>
    </row>
    <row r="71" spans="1:41" s="10" customFormat="1" ht="16.5" customHeight="1">
      <c r="A71" s="47"/>
      <c r="B71" s="47"/>
      <c r="C71" s="244"/>
      <c r="D71" s="14"/>
      <c r="E71" s="49"/>
      <c r="F71" s="184"/>
      <c r="G71" s="248" t="s">
        <v>398</v>
      </c>
      <c r="H71" s="60">
        <f>[4]酒店主体!J71</f>
        <v>0</v>
      </c>
      <c r="I71" s="64">
        <f>[4]酒店主体!K71</f>
        <v>0</v>
      </c>
      <c r="J71" s="249" t="str">
        <f>[4]酒店主体!M71</f>
        <v/>
      </c>
      <c r="K71" s="64">
        <f>[4]酒店主体!N71</f>
        <v>0</v>
      </c>
      <c r="L71" s="250" t="str">
        <f>[4]酒店主体!P71</f>
        <v/>
      </c>
      <c r="M71" s="60">
        <f>[4]酒店主体!S71</f>
        <v>0</v>
      </c>
      <c r="N71" s="64">
        <f>[4]酒店主体!T71</f>
        <v>0</v>
      </c>
      <c r="O71" s="251" t="str">
        <f>[4]酒店主体!V71</f>
        <v/>
      </c>
      <c r="P71" s="64">
        <f>[4]酒店主体!W71</f>
        <v>0</v>
      </c>
      <c r="Q71" s="252" t="str">
        <f>[4]酒店主体!Y71</f>
        <v/>
      </c>
      <c r="R71" s="57">
        <f>[4]酒店主体!Z71</f>
        <v>0</v>
      </c>
      <c r="S71" s="58" t="str">
        <f>[4]酒店主体!AA71</f>
        <v/>
      </c>
      <c r="T71" s="247"/>
      <c r="U71" s="247"/>
      <c r="V71" s="247"/>
      <c r="W71" s="247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7"/>
      <c r="AM71" s="247"/>
      <c r="AN71" s="247"/>
      <c r="AO71" s="247"/>
    </row>
    <row r="72" spans="1:41" s="10" customFormat="1" ht="16.5" customHeight="1">
      <c r="A72" s="47"/>
      <c r="B72" s="47"/>
      <c r="C72" s="244"/>
      <c r="D72" s="14"/>
      <c r="E72" s="49"/>
      <c r="F72" s="184"/>
      <c r="G72" s="245" t="s">
        <v>399</v>
      </c>
      <c r="H72" s="51">
        <f>[4]酒店主体!J72</f>
        <v>0</v>
      </c>
      <c r="I72" s="55">
        <f>[4]酒店主体!K72</f>
        <v>0</v>
      </c>
      <c r="J72" s="246" t="str">
        <f>[4]酒店主体!M72</f>
        <v/>
      </c>
      <c r="K72" s="55">
        <f>[4]酒店主体!N72</f>
        <v>0</v>
      </c>
      <c r="L72" s="112" t="str">
        <f>[4]酒店主体!P72</f>
        <v/>
      </c>
      <c r="M72" s="51">
        <f>[4]酒店主体!S72</f>
        <v>0</v>
      </c>
      <c r="N72" s="55">
        <f>[4]酒店主体!T72</f>
        <v>0</v>
      </c>
      <c r="O72" s="111" t="str">
        <f>[4]酒店主体!V72</f>
        <v/>
      </c>
      <c r="P72" s="55">
        <f>[4]酒店主体!W72</f>
        <v>0</v>
      </c>
      <c r="Q72" s="113" t="str">
        <f>[4]酒店主体!Y72</f>
        <v/>
      </c>
      <c r="R72" s="57">
        <f>[4]酒店主体!Z72</f>
        <v>0</v>
      </c>
      <c r="S72" s="58" t="str">
        <f>[4]酒店主体!AA72</f>
        <v/>
      </c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</row>
    <row r="73" spans="1:41" s="10" customFormat="1" ht="16.5" customHeight="1">
      <c r="A73" s="47"/>
      <c r="B73" s="47"/>
      <c r="C73" s="244"/>
      <c r="D73" s="14"/>
      <c r="E73" s="49"/>
      <c r="F73" s="184"/>
      <c r="G73" s="245" t="s">
        <v>400</v>
      </c>
      <c r="H73" s="51">
        <f>[4]酒店主体!J73</f>
        <v>0</v>
      </c>
      <c r="I73" s="55">
        <f>[4]酒店主体!K73</f>
        <v>0</v>
      </c>
      <c r="J73" s="246" t="str">
        <f>[4]酒店主体!M73</f>
        <v/>
      </c>
      <c r="K73" s="55">
        <f>[4]酒店主体!N73</f>
        <v>0</v>
      </c>
      <c r="L73" s="112" t="str">
        <f>[4]酒店主体!P73</f>
        <v/>
      </c>
      <c r="M73" s="51">
        <f>[4]酒店主体!S73</f>
        <v>0</v>
      </c>
      <c r="N73" s="55">
        <f>[4]酒店主体!T73</f>
        <v>0</v>
      </c>
      <c r="O73" s="111" t="str">
        <f>[4]酒店主体!V73</f>
        <v/>
      </c>
      <c r="P73" s="55">
        <f>[4]酒店主体!W73</f>
        <v>0</v>
      </c>
      <c r="Q73" s="113" t="str">
        <f>[4]酒店主体!Y73</f>
        <v/>
      </c>
      <c r="R73" s="57">
        <f>[4]酒店主体!Z73</f>
        <v>0</v>
      </c>
      <c r="S73" s="58" t="str">
        <f>[4]酒店主体!AA73</f>
        <v/>
      </c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7"/>
      <c r="AM73" s="247"/>
      <c r="AN73" s="247"/>
      <c r="AO73" s="247"/>
    </row>
    <row r="74" spans="1:41" s="10" customFormat="1" ht="16.5" customHeight="1">
      <c r="A74" s="47"/>
      <c r="B74" s="47"/>
      <c r="C74" s="244"/>
      <c r="D74" s="14"/>
      <c r="E74" s="49"/>
      <c r="F74" s="184"/>
      <c r="G74" s="245" t="s">
        <v>401</v>
      </c>
      <c r="H74" s="51">
        <f>[4]酒店主体!J74</f>
        <v>0</v>
      </c>
      <c r="I74" s="55">
        <f>[4]酒店主体!K74</f>
        <v>0</v>
      </c>
      <c r="J74" s="246" t="str">
        <f>[4]酒店主体!M74</f>
        <v/>
      </c>
      <c r="K74" s="55">
        <f>[4]酒店主体!N74</f>
        <v>0</v>
      </c>
      <c r="L74" s="112" t="str">
        <f>[4]酒店主体!P74</f>
        <v/>
      </c>
      <c r="M74" s="51">
        <f>[4]酒店主体!S74</f>
        <v>0</v>
      </c>
      <c r="N74" s="55">
        <f>[4]酒店主体!T74</f>
        <v>0</v>
      </c>
      <c r="O74" s="111" t="str">
        <f>[4]酒店主体!V74</f>
        <v/>
      </c>
      <c r="P74" s="55">
        <f>[4]酒店主体!W74</f>
        <v>0</v>
      </c>
      <c r="Q74" s="113" t="str">
        <f>[4]酒店主体!Y74</f>
        <v/>
      </c>
      <c r="R74" s="57">
        <f>[4]酒店主体!Z74</f>
        <v>0</v>
      </c>
      <c r="S74" s="58" t="str">
        <f>[4]酒店主体!AA74</f>
        <v/>
      </c>
      <c r="T74" s="247"/>
      <c r="U74" s="247"/>
      <c r="V74" s="247"/>
      <c r="W74" s="247"/>
      <c r="X74" s="247"/>
      <c r="Y74" s="247"/>
      <c r="Z74" s="247"/>
      <c r="AA74" s="247"/>
      <c r="AB74" s="247"/>
      <c r="AC74" s="247"/>
      <c r="AD74" s="247"/>
      <c r="AE74" s="247"/>
      <c r="AF74" s="247"/>
      <c r="AG74" s="247"/>
      <c r="AH74" s="247"/>
      <c r="AI74" s="247"/>
      <c r="AJ74" s="247"/>
      <c r="AK74" s="247"/>
      <c r="AL74" s="247"/>
      <c r="AM74" s="247"/>
      <c r="AN74" s="247"/>
      <c r="AO74" s="247"/>
    </row>
    <row r="75" spans="1:41" s="10" customFormat="1" ht="16.5" customHeight="1">
      <c r="A75" s="47"/>
      <c r="B75" s="47"/>
      <c r="C75" s="244"/>
      <c r="D75" s="14"/>
      <c r="E75" s="49"/>
      <c r="F75" s="184"/>
      <c r="G75" s="245" t="s">
        <v>402</v>
      </c>
      <c r="H75" s="51">
        <f>[4]酒店主体!J75</f>
        <v>1070.3399999999999</v>
      </c>
      <c r="I75" s="55">
        <f>[4]酒店主体!K75</f>
        <v>4587.16</v>
      </c>
      <c r="J75" s="246">
        <f>[4]酒店主体!M75</f>
        <v>-0.76666608533384495</v>
      </c>
      <c r="K75" s="55">
        <f>[4]酒店主体!N75</f>
        <v>4344.6499999999996</v>
      </c>
      <c r="L75" s="112">
        <f>[4]酒店主体!P75</f>
        <v>-0.75364183536073104</v>
      </c>
      <c r="M75" s="51">
        <f>[4]酒店主体!S75</f>
        <v>1070.3399999999999</v>
      </c>
      <c r="N75" s="55">
        <f>[4]酒店主体!T75</f>
        <v>4587.16</v>
      </c>
      <c r="O75" s="111">
        <f>[4]酒店主体!V75</f>
        <v>-0.76666608533384495</v>
      </c>
      <c r="P75" s="55">
        <f>[4]酒店主体!W75</f>
        <v>4344.6499999999996</v>
      </c>
      <c r="Q75" s="113">
        <f>[4]酒店主体!Y75</f>
        <v>-0.75364183536073104</v>
      </c>
      <c r="R75" s="57">
        <f>[4]酒店主体!Z75</f>
        <v>97247.7</v>
      </c>
      <c r="S75" s="58">
        <f>[4]酒店主体!AA75</f>
        <v>1.10063271419273E-2</v>
      </c>
      <c r="T75" s="247"/>
      <c r="U75" s="247"/>
      <c r="V75" s="247"/>
      <c r="W75" s="247"/>
      <c r="X75" s="247"/>
      <c r="Y75" s="247"/>
      <c r="Z75" s="247"/>
      <c r="AA75" s="247"/>
      <c r="AB75" s="247"/>
      <c r="AC75" s="247"/>
      <c r="AD75" s="247"/>
      <c r="AE75" s="247"/>
      <c r="AF75" s="247"/>
      <c r="AG75" s="247"/>
      <c r="AH75" s="247"/>
      <c r="AI75" s="247"/>
      <c r="AJ75" s="247"/>
      <c r="AK75" s="247"/>
      <c r="AL75" s="247"/>
      <c r="AM75" s="247"/>
      <c r="AN75" s="247"/>
      <c r="AO75" s="247"/>
    </row>
    <row r="76" spans="1:41" s="10" customFormat="1" ht="16.5" customHeight="1">
      <c r="A76" s="47"/>
      <c r="B76" s="47"/>
      <c r="C76" s="244"/>
      <c r="D76" s="14"/>
      <c r="E76" s="49"/>
      <c r="F76" s="184"/>
      <c r="G76" s="245" t="s">
        <v>403</v>
      </c>
      <c r="H76" s="51">
        <f>[4]酒店主体!J76</f>
        <v>267.04000000000002</v>
      </c>
      <c r="I76" s="55">
        <f>[4]酒店主体!K76</f>
        <v>0</v>
      </c>
      <c r="J76" s="246" t="str">
        <f>[4]酒店主体!M76</f>
        <v/>
      </c>
      <c r="K76" s="55">
        <f>[4]酒店主体!N76</f>
        <v>861.13</v>
      </c>
      <c r="L76" s="112">
        <f>[4]酒店主体!P76</f>
        <v>-0.68989583454298398</v>
      </c>
      <c r="M76" s="51">
        <f>[4]酒店主体!S76</f>
        <v>267.04000000000002</v>
      </c>
      <c r="N76" s="55">
        <f>[4]酒店主体!T76</f>
        <v>0</v>
      </c>
      <c r="O76" s="111" t="str">
        <f>[4]酒店主体!V76</f>
        <v/>
      </c>
      <c r="P76" s="55">
        <f>[4]酒店主体!W76</f>
        <v>861.13</v>
      </c>
      <c r="Q76" s="113">
        <f>[4]酒店主体!Y76</f>
        <v>-0.68989583454298398</v>
      </c>
      <c r="R76" s="57">
        <f>[4]酒店主体!Z76</f>
        <v>0</v>
      </c>
      <c r="S76" s="58" t="str">
        <f>[4]酒店主体!AA76</f>
        <v/>
      </c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</row>
    <row r="77" spans="1:41" s="5" customFormat="1" ht="16.5" customHeight="1">
      <c r="A77" s="253"/>
      <c r="B77" s="253"/>
      <c r="C77" s="204"/>
      <c r="D77" s="200"/>
      <c r="E77" s="254"/>
      <c r="F77" s="184"/>
      <c r="G77" s="409" t="s">
        <v>404</v>
      </c>
      <c r="H77" s="394">
        <f>[4]酒店主体!J77</f>
        <v>1337.38</v>
      </c>
      <c r="I77" s="395">
        <f>[4]酒店主体!K77</f>
        <v>4587.16</v>
      </c>
      <c r="J77" s="410">
        <f>[4]酒店主体!M77</f>
        <v>-0.70845141656275301</v>
      </c>
      <c r="K77" s="395">
        <f>[4]酒店主体!N77</f>
        <v>5205.78</v>
      </c>
      <c r="L77" s="397">
        <f>[4]酒店主体!P77</f>
        <v>-0.74309709592030404</v>
      </c>
      <c r="M77" s="394">
        <f>[4]酒店主体!S77</f>
        <v>1337.38</v>
      </c>
      <c r="N77" s="395">
        <f>[4]酒店主体!T77</f>
        <v>4587.16</v>
      </c>
      <c r="O77" s="396">
        <f>[4]酒店主体!V77</f>
        <v>-0.70845141656275301</v>
      </c>
      <c r="P77" s="395">
        <f>[4]酒店主体!W77</f>
        <v>5205.78</v>
      </c>
      <c r="Q77" s="398">
        <f>[4]酒店主体!Y77</f>
        <v>-0.74309709592030404</v>
      </c>
      <c r="R77" s="365">
        <f>[4]酒店主体!Z77</f>
        <v>97247.7</v>
      </c>
      <c r="S77" s="366">
        <f>[4]酒店主体!AA77</f>
        <v>1.3752304681756001E-2</v>
      </c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</row>
    <row r="78" spans="1:41" s="10" customFormat="1" ht="16.5" customHeight="1">
      <c r="A78" s="47"/>
      <c r="B78" s="47"/>
      <c r="C78" s="244"/>
      <c r="D78" s="14"/>
      <c r="E78" s="49"/>
      <c r="F78" s="184"/>
      <c r="G78" s="255" t="s">
        <v>405</v>
      </c>
      <c r="H78" s="230">
        <f>[4]酒店主体!J78</f>
        <v>0</v>
      </c>
      <c r="I78" s="227">
        <f>[4]酒店主体!K78</f>
        <v>0</v>
      </c>
      <c r="J78" s="256" t="str">
        <f>[4]酒店主体!M78</f>
        <v/>
      </c>
      <c r="K78" s="227">
        <f>[4]酒店主体!N78</f>
        <v>0</v>
      </c>
      <c r="L78" s="229" t="str">
        <f>[4]酒店主体!P78</f>
        <v/>
      </c>
      <c r="M78" s="230">
        <f>[4]酒店主体!S78</f>
        <v>0</v>
      </c>
      <c r="N78" s="227">
        <f>[4]酒店主体!T78</f>
        <v>0</v>
      </c>
      <c r="O78" s="228" t="str">
        <f>[4]酒店主体!V78</f>
        <v/>
      </c>
      <c r="P78" s="227">
        <f>[4]酒店主体!W78</f>
        <v>0</v>
      </c>
      <c r="Q78" s="231" t="str">
        <f>[4]酒店主体!Y78</f>
        <v/>
      </c>
      <c r="R78" s="232">
        <f>[4]酒店主体!Z78</f>
        <v>0</v>
      </c>
      <c r="S78" s="233" t="str">
        <f>[4]酒店主体!AA78</f>
        <v/>
      </c>
      <c r="T78" s="247"/>
      <c r="U78" s="247"/>
      <c r="V78" s="247"/>
      <c r="W78" s="247"/>
      <c r="X78" s="247"/>
      <c r="Y78" s="247"/>
      <c r="Z78" s="247"/>
      <c r="AA78" s="247"/>
      <c r="AB78" s="247"/>
      <c r="AC78" s="247"/>
      <c r="AD78" s="247"/>
      <c r="AE78" s="247"/>
      <c r="AF78" s="247"/>
      <c r="AG78" s="247"/>
      <c r="AH78" s="247"/>
      <c r="AI78" s="247"/>
      <c r="AJ78" s="247"/>
      <c r="AK78" s="247"/>
      <c r="AL78" s="247"/>
      <c r="AM78" s="247"/>
      <c r="AN78" s="247"/>
      <c r="AO78" s="247"/>
    </row>
    <row r="79" spans="1:41" s="10" customFormat="1" ht="16.5" customHeight="1">
      <c r="A79" s="47"/>
      <c r="B79" s="47"/>
      <c r="C79" s="244"/>
      <c r="D79" s="14"/>
      <c r="E79" s="49"/>
      <c r="F79" s="184"/>
      <c r="G79" s="234" t="s">
        <v>372</v>
      </c>
      <c r="H79" s="51">
        <f>[4]酒店主体!J79</f>
        <v>0</v>
      </c>
      <c r="I79" s="55">
        <f>[4]酒店主体!K79</f>
        <v>0</v>
      </c>
      <c r="J79" s="246" t="str">
        <f>[4]酒店主体!M79</f>
        <v/>
      </c>
      <c r="K79" s="55">
        <f>[4]酒店主体!N79</f>
        <v>0</v>
      </c>
      <c r="L79" s="112" t="str">
        <f>[4]酒店主体!P79</f>
        <v/>
      </c>
      <c r="M79" s="51">
        <f>[4]酒店主体!S79</f>
        <v>0</v>
      </c>
      <c r="N79" s="55">
        <f>[4]酒店主体!T79</f>
        <v>0</v>
      </c>
      <c r="O79" s="111" t="str">
        <f>[4]酒店主体!V79</f>
        <v/>
      </c>
      <c r="P79" s="55">
        <f>[4]酒店主体!W79</f>
        <v>0</v>
      </c>
      <c r="Q79" s="113" t="str">
        <f>[4]酒店主体!Y79</f>
        <v/>
      </c>
      <c r="R79" s="57">
        <f>[4]酒店主体!Z79</f>
        <v>0</v>
      </c>
      <c r="S79" s="58" t="str">
        <f>[4]酒店主体!AA79</f>
        <v/>
      </c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7"/>
      <c r="AL79" s="247"/>
      <c r="AM79" s="247"/>
      <c r="AN79" s="247"/>
      <c r="AO79" s="247"/>
    </row>
    <row r="80" spans="1:41" s="10" customFormat="1" ht="16.5" customHeight="1">
      <c r="A80" s="47"/>
      <c r="B80" s="47"/>
      <c r="C80" s="244"/>
      <c r="D80" s="14"/>
      <c r="E80" s="49"/>
      <c r="F80" s="184"/>
      <c r="G80" s="222" t="s">
        <v>373</v>
      </c>
      <c r="H80" s="51">
        <f>[4]酒店主体!J80</f>
        <v>0</v>
      </c>
      <c r="I80" s="55">
        <f>[4]酒店主体!K80</f>
        <v>0</v>
      </c>
      <c r="J80" s="246" t="str">
        <f>[4]酒店主体!M80</f>
        <v/>
      </c>
      <c r="K80" s="55">
        <f>[4]酒店主体!N80</f>
        <v>0</v>
      </c>
      <c r="L80" s="112" t="str">
        <f>[4]酒店主体!P80</f>
        <v/>
      </c>
      <c r="M80" s="51">
        <f>[4]酒店主体!S80</f>
        <v>0</v>
      </c>
      <c r="N80" s="55">
        <f>[4]酒店主体!T80</f>
        <v>0</v>
      </c>
      <c r="O80" s="111" t="str">
        <f>[4]酒店主体!V80</f>
        <v/>
      </c>
      <c r="P80" s="55">
        <f>[4]酒店主体!W80</f>
        <v>0</v>
      </c>
      <c r="Q80" s="113" t="str">
        <f>[4]酒店主体!Y80</f>
        <v/>
      </c>
      <c r="R80" s="57">
        <f>[4]酒店主体!Z80</f>
        <v>0</v>
      </c>
      <c r="S80" s="58" t="str">
        <f>[4]酒店主体!AA80</f>
        <v/>
      </c>
      <c r="T80" s="247"/>
      <c r="U80" s="247"/>
      <c r="V80" s="247"/>
      <c r="W80" s="247"/>
      <c r="X80" s="247"/>
      <c r="Y80" s="247"/>
      <c r="Z80" s="247"/>
      <c r="AA80" s="247"/>
      <c r="AB80" s="247"/>
      <c r="AC80" s="247"/>
      <c r="AD80" s="247"/>
      <c r="AE80" s="247"/>
      <c r="AF80" s="247"/>
      <c r="AG80" s="247"/>
      <c r="AH80" s="247"/>
      <c r="AI80" s="247"/>
      <c r="AJ80" s="247"/>
      <c r="AK80" s="247"/>
      <c r="AL80" s="247"/>
      <c r="AM80" s="247"/>
      <c r="AN80" s="247"/>
      <c r="AO80" s="247"/>
    </row>
    <row r="81" spans="1:41" s="10" customFormat="1" ht="16.5" customHeight="1">
      <c r="A81" s="47"/>
      <c r="B81" s="47"/>
      <c r="C81" s="244"/>
      <c r="D81" s="14"/>
      <c r="E81" s="49"/>
      <c r="F81" s="184"/>
      <c r="G81" s="234" t="s">
        <v>406</v>
      </c>
      <c r="H81" s="51">
        <f>[4]酒店主体!J81</f>
        <v>0</v>
      </c>
      <c r="I81" s="55">
        <f>[4]酒店主体!K81</f>
        <v>0</v>
      </c>
      <c r="J81" s="111" t="str">
        <f>[4]酒店主体!M81</f>
        <v/>
      </c>
      <c r="K81" s="55">
        <f>[4]酒店主体!N81</f>
        <v>-4048</v>
      </c>
      <c r="L81" s="112">
        <f>[4]酒店主体!P81</f>
        <v>1</v>
      </c>
      <c r="M81" s="51">
        <f>[4]酒店主体!S81</f>
        <v>0</v>
      </c>
      <c r="N81" s="55">
        <f>[4]酒店主体!T81</f>
        <v>0</v>
      </c>
      <c r="O81" s="111" t="str">
        <f>[4]酒店主体!V81</f>
        <v/>
      </c>
      <c r="P81" s="55">
        <f>[4]酒店主体!W81</f>
        <v>-4048</v>
      </c>
      <c r="Q81" s="113">
        <f>[4]酒店主体!Y81</f>
        <v>1</v>
      </c>
      <c r="R81" s="57">
        <f>[4]酒店主体!Z81</f>
        <v>0</v>
      </c>
      <c r="S81" s="58" t="str">
        <f>[4]酒店主体!AA81</f>
        <v/>
      </c>
      <c r="T81" s="247"/>
      <c r="U81" s="247"/>
      <c r="V81" s="247"/>
      <c r="W81" s="247"/>
      <c r="X81" s="247"/>
      <c r="Y81" s="247"/>
      <c r="Z81" s="247"/>
      <c r="AA81" s="247"/>
      <c r="AB81" s="247"/>
      <c r="AC81" s="247"/>
      <c r="AD81" s="247"/>
      <c r="AE81" s="247"/>
      <c r="AF81" s="247"/>
      <c r="AG81" s="247"/>
      <c r="AH81" s="247"/>
      <c r="AI81" s="247"/>
      <c r="AJ81" s="247"/>
      <c r="AK81" s="247"/>
      <c r="AL81" s="247"/>
      <c r="AM81" s="247"/>
      <c r="AN81" s="247"/>
      <c r="AO81" s="247"/>
    </row>
    <row r="82" spans="1:41" s="5" customFormat="1" ht="16.5" customHeight="1">
      <c r="A82" s="253"/>
      <c r="B82" s="253"/>
      <c r="C82" s="204"/>
      <c r="D82" s="200"/>
      <c r="E82" s="254"/>
      <c r="F82" s="184"/>
      <c r="G82" s="411" t="s">
        <v>407</v>
      </c>
      <c r="H82" s="368">
        <f>[4]酒店主体!J82</f>
        <v>0</v>
      </c>
      <c r="I82" s="369">
        <f>[4]酒店主体!K82</f>
        <v>0</v>
      </c>
      <c r="J82" s="370" t="str">
        <f>[4]酒店主体!M82</f>
        <v/>
      </c>
      <c r="K82" s="369">
        <f>[4]酒店主体!N82</f>
        <v>-4048</v>
      </c>
      <c r="L82" s="371">
        <f>[4]酒店主体!P82</f>
        <v>1</v>
      </c>
      <c r="M82" s="368">
        <f>[4]酒店主体!S82</f>
        <v>0</v>
      </c>
      <c r="N82" s="369">
        <f>[4]酒店主体!T82</f>
        <v>0</v>
      </c>
      <c r="O82" s="370" t="str">
        <f>[4]酒店主体!V82</f>
        <v/>
      </c>
      <c r="P82" s="369">
        <f>[4]酒店主体!W82</f>
        <v>-4048</v>
      </c>
      <c r="Q82" s="372">
        <f>[4]酒店主体!Y82</f>
        <v>1</v>
      </c>
      <c r="R82" s="373">
        <f>[4]酒店主体!Z82</f>
        <v>0</v>
      </c>
      <c r="S82" s="374" t="str">
        <f>[4]酒店主体!AA82</f>
        <v/>
      </c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</row>
    <row r="83" spans="1:41" s="5" customFormat="1" ht="16.5" customHeight="1">
      <c r="A83" s="253"/>
      <c r="B83" s="253"/>
      <c r="C83" s="204"/>
      <c r="D83" s="200"/>
      <c r="E83" s="254"/>
      <c r="F83" s="184"/>
      <c r="G83" s="412" t="s">
        <v>408</v>
      </c>
      <c r="H83" s="413">
        <f>[4]酒店主体!J83</f>
        <v>1337.38</v>
      </c>
      <c r="I83" s="414">
        <f>[4]酒店主体!K83</f>
        <v>4587.16</v>
      </c>
      <c r="J83" s="415">
        <f>[4]酒店主体!M83</f>
        <v>-0.70845141656275301</v>
      </c>
      <c r="K83" s="414">
        <f>[4]酒店主体!N83</f>
        <v>9253.7800000000007</v>
      </c>
      <c r="L83" s="416">
        <f>[4]酒店主体!P83</f>
        <v>-0.85547743732831305</v>
      </c>
      <c r="M83" s="413">
        <f>[4]酒店主体!S83</f>
        <v>1337.38</v>
      </c>
      <c r="N83" s="414">
        <f>[4]酒店主体!T83</f>
        <v>4587.16</v>
      </c>
      <c r="O83" s="415">
        <f>[4]酒店主体!V83</f>
        <v>-0.70845141656275301</v>
      </c>
      <c r="P83" s="414">
        <f>[4]酒店主体!W83</f>
        <v>9253.7800000000007</v>
      </c>
      <c r="Q83" s="417">
        <f>[4]酒店主体!Y83</f>
        <v>-0.85547743732831305</v>
      </c>
      <c r="R83" s="418">
        <f>[4]酒店主体!Z83</f>
        <v>97247.7</v>
      </c>
      <c r="S83" s="419">
        <f>[4]酒店主体!AA83</f>
        <v>1.3752304681756001E-2</v>
      </c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</row>
    <row r="84" spans="1:41" ht="16.5" customHeight="1">
      <c r="A84" s="47"/>
      <c r="B84" s="47"/>
      <c r="C84" s="48"/>
      <c r="D84" s="48"/>
      <c r="E84" s="49"/>
      <c r="F84" s="184"/>
      <c r="G84" s="257"/>
      <c r="H84" s="258"/>
      <c r="I84" s="258"/>
      <c r="J84" s="259"/>
      <c r="K84" s="258"/>
      <c r="L84" s="260"/>
      <c r="M84" s="258"/>
      <c r="N84" s="258"/>
      <c r="O84" s="259"/>
      <c r="P84" s="258"/>
      <c r="Q84" s="259"/>
      <c r="R84" s="261"/>
      <c r="S84" s="262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spans="1:41" ht="16.5" customHeight="1">
      <c r="A85" s="253"/>
      <c r="B85" s="253"/>
      <c r="C85" s="204"/>
      <c r="D85" s="200"/>
      <c r="E85" s="254"/>
      <c r="F85" s="184"/>
      <c r="G85" s="420" t="s">
        <v>409</v>
      </c>
      <c r="H85" s="421">
        <f>[4]酒店主体!J85</f>
        <v>129030.87</v>
      </c>
      <c r="I85" s="422">
        <f>[4]酒店主体!K85</f>
        <v>631295.71</v>
      </c>
      <c r="J85" s="423">
        <f>[4]酒店主体!M85</f>
        <v>-0.79560946168951496</v>
      </c>
      <c r="K85" s="424">
        <f>[4]酒店主体!N85</f>
        <v>808427.54</v>
      </c>
      <c r="L85" s="425">
        <f>[4]酒店主体!P85</f>
        <v>-0.84039278275947904</v>
      </c>
      <c r="M85" s="421">
        <f>[4]酒店主体!S85</f>
        <v>129030.87</v>
      </c>
      <c r="N85" s="422">
        <f>[4]酒店主体!T85</f>
        <v>631295.71</v>
      </c>
      <c r="O85" s="423">
        <f>[4]酒店主体!V85</f>
        <v>-0.79560946168951496</v>
      </c>
      <c r="P85" s="424">
        <f>[4]酒店主体!W85</f>
        <v>808427.54</v>
      </c>
      <c r="Q85" s="426">
        <f>[4]酒店主体!Y85</f>
        <v>-0.84039278275947904</v>
      </c>
      <c r="R85" s="427">
        <f>[4]酒店主体!Z85</f>
        <v>11217170.33</v>
      </c>
      <c r="S85" s="428">
        <f>[4]酒店主体!AA85</f>
        <v>1.1502978576951E-2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spans="1:41" ht="16.5" customHeight="1">
      <c r="A86" s="253"/>
      <c r="B86" s="253"/>
      <c r="C86" s="204"/>
      <c r="D86" s="200"/>
      <c r="E86" s="254"/>
      <c r="F86" s="184"/>
      <c r="G86" s="429" t="s">
        <v>410</v>
      </c>
      <c r="H86" s="430">
        <f>[4]酒店主体!J86</f>
        <v>-74973.64</v>
      </c>
      <c r="I86" s="431">
        <f>[4]酒店主体!K86</f>
        <v>196223.84</v>
      </c>
      <c r="J86" s="432">
        <f>[4]酒店主体!M86</f>
        <v>-1.3820822179404899</v>
      </c>
      <c r="K86" s="433">
        <f>[4]酒店主体!N86</f>
        <v>354893.1</v>
      </c>
      <c r="L86" s="434">
        <f>[4]酒店主体!P86</f>
        <v>-1.21125696723887</v>
      </c>
      <c r="M86" s="430">
        <f>[4]酒店主体!S86</f>
        <v>-74973.64</v>
      </c>
      <c r="N86" s="431">
        <f>[4]酒店主体!T86</f>
        <v>196223.84</v>
      </c>
      <c r="O86" s="432">
        <f>[4]酒店主体!V86</f>
        <v>-1.3820822179404899</v>
      </c>
      <c r="P86" s="433">
        <f>[4]酒店主体!W86</f>
        <v>354893.1</v>
      </c>
      <c r="Q86" s="435">
        <f>[4]酒店主体!Y86</f>
        <v>-1.21125696723887</v>
      </c>
      <c r="R86" s="436">
        <f>[4]酒店主体!Z86</f>
        <v>5065398.33</v>
      </c>
      <c r="S86" s="437">
        <f>[4]酒店主体!AA86</f>
        <v>-1.4801134109427501E-2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spans="1:41" s="7" customFormat="1" ht="16.5" customHeight="1">
      <c r="A87" s="263"/>
      <c r="B87" s="263"/>
      <c r="C87" s="235"/>
      <c r="D87" s="264"/>
      <c r="E87" s="265"/>
      <c r="F87" s="236"/>
      <c r="G87" s="438" t="s">
        <v>411</v>
      </c>
      <c r="H87" s="439">
        <f>[4]酒店主体!J87</f>
        <v>-0.58105196066646703</v>
      </c>
      <c r="I87" s="440">
        <f>[4]酒店主体!K87</f>
        <v>0.31082713994682498</v>
      </c>
      <c r="J87" s="439">
        <f>[4]酒店主体!M87</f>
        <v>-2.8693733139450801</v>
      </c>
      <c r="K87" s="441">
        <f>[4]酒店主体!N87</f>
        <v>0.43899184829848797</v>
      </c>
      <c r="L87" s="442">
        <f>[4]酒店主体!P87</f>
        <v>-2.3236053537636199</v>
      </c>
      <c r="M87" s="439">
        <f>[4]酒店主体!S87</f>
        <v>-0.58105196066646703</v>
      </c>
      <c r="N87" s="440">
        <f>[4]酒店主体!T87</f>
        <v>0.31082713994682498</v>
      </c>
      <c r="O87" s="439">
        <f>[4]酒店主体!V87</f>
        <v>-2.8693733139450801</v>
      </c>
      <c r="P87" s="441">
        <f>[4]酒店主体!W87</f>
        <v>0.43899184829848797</v>
      </c>
      <c r="Q87" s="443">
        <f>[4]酒店主体!Y87</f>
        <v>-2.3236053537636199</v>
      </c>
      <c r="R87" s="444">
        <f>[4]酒店主体!Z87</f>
        <v>0.45157541349378799</v>
      </c>
      <c r="S87" s="445">
        <f>[4]酒店主体!AA87</f>
        <v>-1.2867218703758301</v>
      </c>
      <c r="T87" s="136"/>
      <c r="U87" s="136"/>
      <c r="V87" s="136"/>
      <c r="W87" s="136"/>
      <c r="X87" s="136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</row>
    <row r="88" spans="1:41" ht="16.5" customHeight="1">
      <c r="A88" s="47"/>
      <c r="B88" s="47"/>
      <c r="C88" s="48"/>
      <c r="D88" s="48"/>
      <c r="E88" s="49"/>
      <c r="F88" s="184"/>
      <c r="G88" s="266"/>
      <c r="H88" s="239"/>
      <c r="I88" s="239"/>
      <c r="J88" s="65"/>
      <c r="K88" s="239"/>
      <c r="L88" s="63"/>
      <c r="M88" s="239"/>
      <c r="N88" s="239"/>
      <c r="O88" s="65"/>
      <c r="P88" s="239"/>
      <c r="Q88" s="63"/>
      <c r="R88" s="239"/>
      <c r="S88" s="267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spans="1:41" ht="16.5" customHeight="1">
      <c r="A89" s="47"/>
      <c r="B89" s="47"/>
      <c r="C89" s="48"/>
      <c r="D89" s="48"/>
      <c r="E89" s="49"/>
      <c r="F89" s="184"/>
      <c r="G89" s="446" t="s">
        <v>412</v>
      </c>
      <c r="H89" s="268"/>
      <c r="I89" s="269"/>
      <c r="J89" s="270"/>
      <c r="K89" s="269"/>
      <c r="L89" s="271"/>
      <c r="M89" s="268"/>
      <c r="N89" s="269"/>
      <c r="O89" s="270"/>
      <c r="P89" s="269"/>
      <c r="Q89" s="270"/>
      <c r="R89" s="272"/>
      <c r="S89" s="27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spans="1:41" s="5" customFormat="1" ht="16.5" customHeight="1">
      <c r="A90" s="47"/>
      <c r="B90" s="47"/>
      <c r="C90" s="204"/>
      <c r="D90" s="221"/>
      <c r="E90" s="49"/>
      <c r="F90" s="184"/>
      <c r="G90" s="447" t="s">
        <v>413</v>
      </c>
      <c r="H90" s="448">
        <f>[4]酒店主体!J90</f>
        <v>63460.92</v>
      </c>
      <c r="I90" s="449">
        <f>[4]酒店主体!K90</f>
        <v>94310.13</v>
      </c>
      <c r="J90" s="450">
        <f>[4]酒店主体!M90</f>
        <v>-0.32710388587100903</v>
      </c>
      <c r="K90" s="449">
        <f>[4]酒店主体!N90</f>
        <v>92279.85</v>
      </c>
      <c r="L90" s="451">
        <f>[4]酒店主体!P90</f>
        <v>-0.31229927226799797</v>
      </c>
      <c r="M90" s="448">
        <f>[4]酒店主体!S90</f>
        <v>63460.92</v>
      </c>
      <c r="N90" s="449">
        <f>[4]酒店主体!T90</f>
        <v>94310.13</v>
      </c>
      <c r="O90" s="450">
        <f>[4]酒店主体!V90</f>
        <v>-0.32710388587100903</v>
      </c>
      <c r="P90" s="452">
        <f>[4]酒店主体!W90</f>
        <v>92279.85</v>
      </c>
      <c r="Q90" s="453">
        <f>[4]酒店主体!Y90</f>
        <v>-0.31229927226799797</v>
      </c>
      <c r="R90" s="454">
        <f>[4]酒店主体!Z90</f>
        <v>1265636.46</v>
      </c>
      <c r="S90" s="455">
        <f>[4]酒店主体!AA90</f>
        <v>5.0141507459416902E-2</v>
      </c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</row>
    <row r="91" spans="1:41" ht="16.5" customHeight="1">
      <c r="A91" s="47"/>
      <c r="B91" s="47"/>
      <c r="C91" s="204"/>
      <c r="D91" s="221"/>
      <c r="E91" s="49"/>
      <c r="F91" s="184"/>
      <c r="G91" s="274" t="s">
        <v>372</v>
      </c>
      <c r="H91" s="60">
        <f>[4]酒店主体!J91</f>
        <v>24152.05</v>
      </c>
      <c r="I91" s="64">
        <f>[4]酒店主体!K91</f>
        <v>40760</v>
      </c>
      <c r="J91" s="251">
        <f>[4]酒店主体!M91</f>
        <v>-0.40745706575073598</v>
      </c>
      <c r="K91" s="64">
        <f>[4]酒店主体!N91</f>
        <v>45050</v>
      </c>
      <c r="L91" s="250">
        <f>[4]酒店主体!P91</f>
        <v>-0.46388346281908999</v>
      </c>
      <c r="M91" s="60">
        <f>[4]酒店主体!S91</f>
        <v>24152.05</v>
      </c>
      <c r="N91" s="64">
        <f>[4]酒店主体!T91</f>
        <v>40760</v>
      </c>
      <c r="O91" s="251">
        <f>[4]酒店主体!V91</f>
        <v>-0.40745706575073598</v>
      </c>
      <c r="P91" s="61">
        <f>[4]酒店主体!W91</f>
        <v>45050</v>
      </c>
      <c r="Q91" s="252">
        <f>[4]酒店主体!Y91</f>
        <v>-0.46388346281908999</v>
      </c>
      <c r="R91" s="57">
        <f>[4]酒店主体!Z91</f>
        <v>489120</v>
      </c>
      <c r="S91" s="58">
        <f>[4]酒店主体!AA91</f>
        <v>4.93785778541053E-2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spans="1:41" ht="16.5" customHeight="1">
      <c r="A92" s="47"/>
      <c r="B92" s="47"/>
      <c r="C92" s="204"/>
      <c r="D92" s="221"/>
      <c r="E92" s="49"/>
      <c r="F92" s="184"/>
      <c r="G92" s="234" t="s">
        <v>373</v>
      </c>
      <c r="H92" s="51">
        <f>[4]酒店主体!J92</f>
        <v>16272.26</v>
      </c>
      <c r="I92" s="55">
        <f>[4]酒店主体!K92</f>
        <v>18383.310000000001</v>
      </c>
      <c r="J92" s="111">
        <f>[4]酒店主体!M92</f>
        <v>-0.114835141223207</v>
      </c>
      <c r="K92" s="55">
        <f>[4]酒店主体!N92</f>
        <v>20448.45</v>
      </c>
      <c r="L92" s="112">
        <f>[4]酒店主体!P92</f>
        <v>-0.20423014947343199</v>
      </c>
      <c r="M92" s="51">
        <f>[4]酒店主体!S92</f>
        <v>16272.26</v>
      </c>
      <c r="N92" s="55">
        <f>[4]酒店主体!T92</f>
        <v>18383.310000000001</v>
      </c>
      <c r="O92" s="111">
        <f>[4]酒店主体!V92</f>
        <v>-0.114835141223207</v>
      </c>
      <c r="P92" s="52">
        <f>[4]酒店主体!W92</f>
        <v>20448.45</v>
      </c>
      <c r="Q92" s="113">
        <f>[4]酒店主体!Y92</f>
        <v>-0.20423014947343199</v>
      </c>
      <c r="R92" s="57">
        <f>[4]酒店主体!Z92</f>
        <v>225799.8</v>
      </c>
      <c r="S92" s="58">
        <f>[4]酒店主体!AA92</f>
        <v>7.2064988542948197E-2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spans="1:41" ht="16.5" customHeight="1">
      <c r="A93" s="47"/>
      <c r="B93" s="47"/>
      <c r="C93" s="204"/>
      <c r="D93" s="221"/>
      <c r="E93" s="49"/>
      <c r="F93" s="184"/>
      <c r="G93" s="274" t="s">
        <v>406</v>
      </c>
      <c r="H93" s="60">
        <f>[4]酒店主体!J93</f>
        <v>22581.78</v>
      </c>
      <c r="I93" s="64">
        <f>[4]酒店主体!K93</f>
        <v>32644</v>
      </c>
      <c r="J93" s="251">
        <f>[4]酒店主体!M93</f>
        <v>-0.30824102438426698</v>
      </c>
      <c r="K93" s="64">
        <f>[4]酒店主体!N93</f>
        <v>24658.07</v>
      </c>
      <c r="L93" s="250">
        <f>[4]酒店主体!P93</f>
        <v>-8.42032648946167E-2</v>
      </c>
      <c r="M93" s="60">
        <f>[4]酒店主体!S93</f>
        <v>22581.78</v>
      </c>
      <c r="N93" s="64">
        <f>[4]酒店主体!T93</f>
        <v>32644</v>
      </c>
      <c r="O93" s="251">
        <f>[4]酒店主体!V93</f>
        <v>-0.30824102438426698</v>
      </c>
      <c r="P93" s="61">
        <f>[4]酒店主体!W93</f>
        <v>24658.07</v>
      </c>
      <c r="Q93" s="252">
        <f>[4]酒店主体!Y93</f>
        <v>-8.42032648946167E-2</v>
      </c>
      <c r="R93" s="57">
        <f>[4]酒店主体!Z93</f>
        <v>400228</v>
      </c>
      <c r="S93" s="58">
        <f>[4]酒店主体!AA93</f>
        <v>5.6422289295101798E-2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spans="1:41" ht="16.5" customHeight="1">
      <c r="A94" s="47"/>
      <c r="B94" s="47"/>
      <c r="C94" s="204"/>
      <c r="D94" s="221"/>
      <c r="E94" s="49"/>
      <c r="F94" s="184"/>
      <c r="G94" s="234" t="s">
        <v>414</v>
      </c>
      <c r="H94" s="51">
        <f>[4]酒店主体!J94</f>
        <v>330.86</v>
      </c>
      <c r="I94" s="55">
        <f>[4]酒店主体!K94</f>
        <v>2000</v>
      </c>
      <c r="J94" s="111">
        <f>[4]酒店主体!M94</f>
        <v>-0.83457000000000003</v>
      </c>
      <c r="K94" s="55">
        <f>[4]酒店主体!N94</f>
        <v>803.12</v>
      </c>
      <c r="L94" s="112">
        <f>[4]酒店主体!P94</f>
        <v>-0.58803167646179899</v>
      </c>
      <c r="M94" s="51">
        <f>[4]酒店主体!S94</f>
        <v>330.86</v>
      </c>
      <c r="N94" s="55">
        <f>[4]酒店主体!T94</f>
        <v>2000</v>
      </c>
      <c r="O94" s="111">
        <f>[4]酒店主体!V94</f>
        <v>-0.83457000000000003</v>
      </c>
      <c r="P94" s="52">
        <f>[4]酒店主体!W94</f>
        <v>803.12</v>
      </c>
      <c r="Q94" s="113">
        <f>[4]酒店主体!Y94</f>
        <v>-0.58803167646179899</v>
      </c>
      <c r="R94" s="57">
        <f>[4]酒店主体!Z94</f>
        <v>24000</v>
      </c>
      <c r="S94" s="58">
        <f>[4]酒店主体!AA94</f>
        <v>1.3785833333333299E-2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spans="1:41" ht="16.5" customHeight="1">
      <c r="A95" s="47"/>
      <c r="B95" s="47"/>
      <c r="C95" s="204"/>
      <c r="D95" s="221"/>
      <c r="E95" s="49"/>
      <c r="F95" s="184"/>
      <c r="G95" s="274" t="s">
        <v>415</v>
      </c>
      <c r="H95" s="60">
        <f>[4]酒店主体!J95</f>
        <v>44.82</v>
      </c>
      <c r="I95" s="64">
        <f>[4]酒店主体!K95</f>
        <v>0</v>
      </c>
      <c r="J95" s="251" t="str">
        <f>[4]酒店主体!M95</f>
        <v/>
      </c>
      <c r="K95" s="64">
        <f>[4]酒店主体!N95</f>
        <v>883.04</v>
      </c>
      <c r="L95" s="250">
        <f>[4]酒店主体!P95</f>
        <v>-0.94924352237724197</v>
      </c>
      <c r="M95" s="60">
        <f>[4]酒店主体!S95</f>
        <v>44.82</v>
      </c>
      <c r="N95" s="64">
        <f>[4]酒店主体!T95</f>
        <v>0</v>
      </c>
      <c r="O95" s="251" t="str">
        <f>[4]酒店主体!V95</f>
        <v/>
      </c>
      <c r="P95" s="61">
        <f>[4]酒店主体!W95</f>
        <v>883.04</v>
      </c>
      <c r="Q95" s="252">
        <f>[4]酒店主体!Y95</f>
        <v>-0.94924352237724197</v>
      </c>
      <c r="R95" s="57">
        <f>[4]酒店主体!Z95</f>
        <v>120000</v>
      </c>
      <c r="S95" s="58">
        <f>[4]酒店主体!AA95</f>
        <v>3.7350000000000003E-4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spans="1:41" ht="16.5" customHeight="1">
      <c r="A96" s="47"/>
      <c r="B96" s="47"/>
      <c r="C96" s="204"/>
      <c r="D96" s="221"/>
      <c r="E96" s="49"/>
      <c r="F96" s="184"/>
      <c r="G96" s="234" t="s">
        <v>416</v>
      </c>
      <c r="H96" s="51">
        <f>[4]酒店主体!J96</f>
        <v>79.150000000000006</v>
      </c>
      <c r="I96" s="55">
        <f>[4]酒店主体!K96</f>
        <v>522.82000000000005</v>
      </c>
      <c r="J96" s="111">
        <f>[4]酒店主体!M96</f>
        <v>-0.84860946406028803</v>
      </c>
      <c r="K96" s="55">
        <f>[4]酒店主体!N96</f>
        <v>437.17</v>
      </c>
      <c r="L96" s="112">
        <f>[4]酒店主体!P96</f>
        <v>-0.81894915021616299</v>
      </c>
      <c r="M96" s="51">
        <f>[4]酒店主体!S96</f>
        <v>79.150000000000006</v>
      </c>
      <c r="N96" s="55">
        <f>[4]酒店主体!T96</f>
        <v>522.82000000000005</v>
      </c>
      <c r="O96" s="111">
        <f>[4]酒店主体!V96</f>
        <v>-0.84860946406028803</v>
      </c>
      <c r="P96" s="52">
        <f>[4]酒店主体!W96</f>
        <v>437.17</v>
      </c>
      <c r="Q96" s="113">
        <f>[4]酒店主体!Y96</f>
        <v>-0.81894915021616299</v>
      </c>
      <c r="R96" s="57">
        <f>[4]酒店主体!Z96</f>
        <v>6488.66</v>
      </c>
      <c r="S96" s="58">
        <f>[4]酒店主体!AA96</f>
        <v>1.2198204251725299E-2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spans="1:41" s="5" customFormat="1" ht="16.5" customHeight="1">
      <c r="A97" s="275"/>
      <c r="B97" s="275"/>
      <c r="C97" s="204"/>
      <c r="D97" s="221"/>
      <c r="E97" s="276"/>
      <c r="F97" s="184"/>
      <c r="G97" s="456" t="s">
        <v>417</v>
      </c>
      <c r="H97" s="457">
        <f>[4]酒店主体!J97</f>
        <v>31057.48</v>
      </c>
      <c r="I97" s="458">
        <f>[4]酒店主体!K97</f>
        <v>44556.32</v>
      </c>
      <c r="J97" s="459">
        <f>[4]酒店主体!M97</f>
        <v>-0.30296128585125498</v>
      </c>
      <c r="K97" s="458">
        <f>[4]酒店主体!N97</f>
        <v>49204.95</v>
      </c>
      <c r="L97" s="460">
        <f>[4]酒店主体!P97</f>
        <v>-0.36881390998263403</v>
      </c>
      <c r="M97" s="457">
        <f>[4]酒店主体!S97</f>
        <v>31057.48</v>
      </c>
      <c r="N97" s="458">
        <f>[4]酒店主体!T97</f>
        <v>44556.32</v>
      </c>
      <c r="O97" s="459">
        <f>[4]酒店主体!V97</f>
        <v>-0.30296128585125498</v>
      </c>
      <c r="P97" s="461">
        <f>[4]酒店主体!W97</f>
        <v>49204.95</v>
      </c>
      <c r="Q97" s="462">
        <f>[4]酒店主体!Y97</f>
        <v>-0.36881390998263403</v>
      </c>
      <c r="R97" s="454">
        <f>[4]酒店主体!Z97</f>
        <v>534737.84</v>
      </c>
      <c r="S97" s="455">
        <f>[4]酒店主体!AA97</f>
        <v>5.80798246856815E-2</v>
      </c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</row>
    <row r="98" spans="1:41" ht="16.5" customHeight="1">
      <c r="A98" s="47"/>
      <c r="B98" s="47"/>
      <c r="C98" s="204"/>
      <c r="D98" s="221"/>
      <c r="E98" s="49"/>
      <c r="F98" s="184"/>
      <c r="G98" s="234" t="s">
        <v>372</v>
      </c>
      <c r="H98" s="51">
        <f>[4]酒店主体!J98</f>
        <v>24893.94</v>
      </c>
      <c r="I98" s="55">
        <f>[4]酒店主体!K98</f>
        <v>31299</v>
      </c>
      <c r="J98" s="111">
        <f>[4]酒店主体!M98</f>
        <v>-0.20464104284481899</v>
      </c>
      <c r="K98" s="55">
        <f>[4]酒店主体!N98</f>
        <v>33663.94</v>
      </c>
      <c r="L98" s="112">
        <f>[4]酒店主体!P98</f>
        <v>-0.26051614873362999</v>
      </c>
      <c r="M98" s="51">
        <f>[4]酒店主体!S98</f>
        <v>24893.94</v>
      </c>
      <c r="N98" s="55">
        <f>[4]酒店主体!T98</f>
        <v>31299</v>
      </c>
      <c r="O98" s="111">
        <f>[4]酒店主体!V98</f>
        <v>-0.20464104284481899</v>
      </c>
      <c r="P98" s="52">
        <f>[4]酒店主体!W98</f>
        <v>33663.94</v>
      </c>
      <c r="Q98" s="113">
        <f>[4]酒店主体!Y98</f>
        <v>-0.26051614873362999</v>
      </c>
      <c r="R98" s="57">
        <f>[4]酒店主体!Z98</f>
        <v>375588</v>
      </c>
      <c r="S98" s="58">
        <f>[4]酒店主体!AA98</f>
        <v>6.6279913096265103E-2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spans="1:41" ht="16.5" customHeight="1">
      <c r="A99" s="47"/>
      <c r="B99" s="47"/>
      <c r="C99" s="204"/>
      <c r="D99" s="221"/>
      <c r="E99" s="49"/>
      <c r="F99" s="184"/>
      <c r="G99" s="274" t="s">
        <v>373</v>
      </c>
      <c r="H99" s="60">
        <f>[4]酒店主体!J99</f>
        <v>3256.59</v>
      </c>
      <c r="I99" s="64">
        <f>[4]酒店主体!K99</f>
        <v>6813.32</v>
      </c>
      <c r="J99" s="251">
        <f>[4]酒店主体!M99</f>
        <v>-0.52202597265356698</v>
      </c>
      <c r="K99" s="64">
        <f>[4]酒店主体!N99</f>
        <v>4530.12</v>
      </c>
      <c r="L99" s="250">
        <f>[4]酒店主体!P99</f>
        <v>-0.28112500331117102</v>
      </c>
      <c r="M99" s="60">
        <f>[4]酒店主体!S99</f>
        <v>3256.59</v>
      </c>
      <c r="N99" s="64">
        <f>[4]酒店主体!T99</f>
        <v>6813.32</v>
      </c>
      <c r="O99" s="251">
        <f>[4]酒店主体!V99</f>
        <v>-0.52202597265356698</v>
      </c>
      <c r="P99" s="61">
        <f>[4]酒店主体!W99</f>
        <v>4530.12</v>
      </c>
      <c r="Q99" s="252">
        <f>[4]酒店主体!Y99</f>
        <v>-0.28112500331117102</v>
      </c>
      <c r="R99" s="57">
        <f>[4]酒店主体!Z99</f>
        <v>81759.839999999997</v>
      </c>
      <c r="S99" s="58">
        <f>[4]酒店主体!AA99</f>
        <v>3.9831168945536101E-2</v>
      </c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spans="1:41" ht="16.5" customHeight="1">
      <c r="A100" s="47"/>
      <c r="B100" s="47"/>
      <c r="C100" s="204"/>
      <c r="D100" s="221"/>
      <c r="E100" s="49"/>
      <c r="F100" s="184"/>
      <c r="G100" s="234" t="s">
        <v>406</v>
      </c>
      <c r="H100" s="51">
        <f>[4]酒店主体!J100</f>
        <v>2906.95</v>
      </c>
      <c r="I100" s="55">
        <f>[4]酒店主体!K100</f>
        <v>6444</v>
      </c>
      <c r="J100" s="111">
        <f>[4]酒店主体!M100</f>
        <v>-0.54889044072005</v>
      </c>
      <c r="K100" s="55">
        <f>[4]酒店主体!N100</f>
        <v>11010.89</v>
      </c>
      <c r="L100" s="112">
        <f>[4]酒店主体!P100</f>
        <v>-0.735993184928739</v>
      </c>
      <c r="M100" s="51">
        <f>[4]酒店主体!S100</f>
        <v>2906.95</v>
      </c>
      <c r="N100" s="55">
        <f>[4]酒店主体!T100</f>
        <v>6444</v>
      </c>
      <c r="O100" s="111">
        <f>[4]酒店主体!V100</f>
        <v>-0.54889044072005</v>
      </c>
      <c r="P100" s="52">
        <f>[4]酒店主体!W100</f>
        <v>11010.89</v>
      </c>
      <c r="Q100" s="113">
        <f>[4]酒店主体!Y100</f>
        <v>-0.735993184928739</v>
      </c>
      <c r="R100" s="57">
        <f>[4]酒店主体!Z100</f>
        <v>77390</v>
      </c>
      <c r="S100" s="58">
        <f>[4]酒店主体!AA100</f>
        <v>3.7562346556402601E-2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spans="1:41" s="5" customFormat="1" ht="16.5" customHeight="1">
      <c r="A101" s="275"/>
      <c r="B101" s="275"/>
      <c r="C101" s="204"/>
      <c r="D101" s="221"/>
      <c r="E101" s="276"/>
      <c r="F101" s="184"/>
      <c r="G101" s="463" t="s">
        <v>418</v>
      </c>
      <c r="H101" s="457">
        <f>[4]酒店主体!J101</f>
        <v>137540.37</v>
      </c>
      <c r="I101" s="458">
        <f>[4]酒店主体!K101</f>
        <v>114000</v>
      </c>
      <c r="J101" s="464">
        <f>[4]酒店主体!M101</f>
        <v>0.20649447368421001</v>
      </c>
      <c r="K101" s="458">
        <f>[4]酒店主体!N101</f>
        <v>124352.42</v>
      </c>
      <c r="L101" s="465">
        <f>[4]酒店主体!P101</f>
        <v>0.106053022530643</v>
      </c>
      <c r="M101" s="457">
        <f>[4]酒店主体!S101</f>
        <v>137540.37</v>
      </c>
      <c r="N101" s="458">
        <f>[4]酒店主体!T101</f>
        <v>114000</v>
      </c>
      <c r="O101" s="464">
        <f>[4]酒店主体!V101</f>
        <v>0.20649447368421001</v>
      </c>
      <c r="P101" s="461">
        <f>[4]酒店主体!W101</f>
        <v>124352.42</v>
      </c>
      <c r="Q101" s="466">
        <f>[4]酒店主体!Y101</f>
        <v>0.106053022530643</v>
      </c>
      <c r="R101" s="454">
        <f>[4]酒店主体!Z101</f>
        <v>1568000</v>
      </c>
      <c r="S101" s="455">
        <f>[4]酒店主体!AA101</f>
        <v>8.7717072704081606E-2</v>
      </c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</row>
    <row r="102" spans="1:41" s="5" customFormat="1" ht="16.5" customHeight="1">
      <c r="A102" s="275"/>
      <c r="B102" s="275"/>
      <c r="C102" s="204"/>
      <c r="D102" s="221"/>
      <c r="E102" s="276"/>
      <c r="F102" s="184"/>
      <c r="G102" s="456" t="s">
        <v>419</v>
      </c>
      <c r="H102" s="448">
        <f>[4]酒店主体!J102</f>
        <v>54923.03</v>
      </c>
      <c r="I102" s="449">
        <f>[4]酒店主体!K102</f>
        <v>70085.31</v>
      </c>
      <c r="J102" s="467">
        <f>[4]酒店主体!M102</f>
        <v>-0.216340342933491</v>
      </c>
      <c r="K102" s="449">
        <f>[4]酒店主体!N102</f>
        <v>65067.81</v>
      </c>
      <c r="L102" s="468">
        <f>[4]酒店主体!P102</f>
        <v>-0.15591088742651699</v>
      </c>
      <c r="M102" s="448">
        <f>[4]酒店主体!S102</f>
        <v>54923.03</v>
      </c>
      <c r="N102" s="469">
        <f>[4]酒店主体!T102</f>
        <v>70085.31</v>
      </c>
      <c r="O102" s="467">
        <f>[4]酒店主体!V102</f>
        <v>-0.216340342933491</v>
      </c>
      <c r="P102" s="469">
        <f>[4]酒店主体!W102</f>
        <v>65067.81</v>
      </c>
      <c r="Q102" s="470">
        <f>[4]酒店主体!Y102</f>
        <v>-0.15591088742651699</v>
      </c>
      <c r="R102" s="454">
        <f>[4]酒店主体!Z102</f>
        <v>937023.72</v>
      </c>
      <c r="S102" s="455">
        <f>[4]酒店主体!AA102</f>
        <v>5.8614343295386402E-2</v>
      </c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</row>
    <row r="103" spans="1:41" ht="16.5" customHeight="1">
      <c r="A103" s="47"/>
      <c r="B103" s="47"/>
      <c r="C103" s="204"/>
      <c r="D103" s="221"/>
      <c r="E103" s="49"/>
      <c r="F103" s="184"/>
      <c r="G103" s="277" t="s">
        <v>372</v>
      </c>
      <c r="H103" s="60">
        <f>[4]酒店主体!J103</f>
        <v>25312.38</v>
      </c>
      <c r="I103" s="64">
        <f>[4]酒店主体!K103</f>
        <v>33792</v>
      </c>
      <c r="J103" s="251">
        <f>[4]酒店主体!M103</f>
        <v>-0.250935724431818</v>
      </c>
      <c r="K103" s="64">
        <f>[4]酒店主体!N103</f>
        <v>34505.22</v>
      </c>
      <c r="L103" s="250">
        <f>[4]酒店主体!P103</f>
        <v>-0.26641882010895801</v>
      </c>
      <c r="M103" s="60">
        <f>[4]酒店主体!S103</f>
        <v>25312.38</v>
      </c>
      <c r="N103" s="64">
        <f>[4]酒店主体!T103</f>
        <v>33792</v>
      </c>
      <c r="O103" s="251">
        <f>[4]酒店主体!V103</f>
        <v>-0.250935724431818</v>
      </c>
      <c r="P103" s="61">
        <f>[4]酒店主体!W103</f>
        <v>34505.22</v>
      </c>
      <c r="Q103" s="252">
        <f>[4]酒店主体!Y103</f>
        <v>-0.26641882010895801</v>
      </c>
      <c r="R103" s="57">
        <f>[4]酒店主体!Z103</f>
        <v>405504</v>
      </c>
      <c r="S103" s="58">
        <f>[4]酒店主体!AA103</f>
        <v>6.2422022964015098E-2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spans="1:41" ht="16.5" customHeight="1">
      <c r="A104" s="47"/>
      <c r="B104" s="47"/>
      <c r="C104" s="204"/>
      <c r="D104" s="221"/>
      <c r="E104" s="49"/>
      <c r="F104" s="184"/>
      <c r="G104" s="234" t="s">
        <v>373</v>
      </c>
      <c r="H104" s="51">
        <f>[4]酒店主体!J104</f>
        <v>13781.49</v>
      </c>
      <c r="I104" s="55">
        <f>[4]酒店主体!K104</f>
        <v>15893.31</v>
      </c>
      <c r="J104" s="111">
        <f>[4]酒店主体!M104</f>
        <v>-0.13287477561313499</v>
      </c>
      <c r="K104" s="55">
        <f>[4]酒店主体!N104</f>
        <v>13909.6</v>
      </c>
      <c r="L104" s="112">
        <f>[4]酒店主体!P104</f>
        <v>-9.2101857709788806E-3</v>
      </c>
      <c r="M104" s="51">
        <f>[4]酒店主体!S104</f>
        <v>13781.49</v>
      </c>
      <c r="N104" s="55">
        <f>[4]酒店主体!T104</f>
        <v>15893.31</v>
      </c>
      <c r="O104" s="111">
        <f>[4]酒店主体!V104</f>
        <v>-0.13287477561313499</v>
      </c>
      <c r="P104" s="52">
        <f>[4]酒店主体!W104</f>
        <v>13909.6</v>
      </c>
      <c r="Q104" s="113">
        <f>[4]酒店主体!Y104</f>
        <v>-9.2101857709788806E-3</v>
      </c>
      <c r="R104" s="57">
        <f>[4]酒店主体!Z104</f>
        <v>190719.72</v>
      </c>
      <c r="S104" s="58">
        <f>[4]酒店主体!AA104</f>
        <v>7.2260435365572098E-2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spans="1:41" ht="16.5" customHeight="1">
      <c r="A105" s="47"/>
      <c r="B105" s="47"/>
      <c r="C105" s="204"/>
      <c r="D105" s="221"/>
      <c r="E105" s="49"/>
      <c r="F105" s="184"/>
      <c r="G105" s="274" t="s">
        <v>406</v>
      </c>
      <c r="H105" s="60">
        <f>[4]酒店主体!J105</f>
        <v>15829.16</v>
      </c>
      <c r="I105" s="64">
        <f>[4]酒店主体!K105</f>
        <v>20400</v>
      </c>
      <c r="J105" s="251">
        <f>[4]酒店主体!M105</f>
        <v>-0.224060784313726</v>
      </c>
      <c r="K105" s="64">
        <f>[4]酒店主体!N105</f>
        <v>16652.990000000002</v>
      </c>
      <c r="L105" s="250">
        <f>[4]酒店主体!P105</f>
        <v>-4.9470395406470601E-2</v>
      </c>
      <c r="M105" s="60">
        <f>[4]酒店主体!S105</f>
        <v>15829.16</v>
      </c>
      <c r="N105" s="278">
        <f>[4]酒店主体!T105</f>
        <v>20400</v>
      </c>
      <c r="O105" s="251">
        <f>[4]酒店主体!V105</f>
        <v>-0.224060784313726</v>
      </c>
      <c r="P105" s="61">
        <f>[4]酒店主体!W105</f>
        <v>16652.990000000002</v>
      </c>
      <c r="Q105" s="252">
        <f>[4]酒店主体!Y105</f>
        <v>-4.9470395406470601E-2</v>
      </c>
      <c r="R105" s="57">
        <f>[4]酒店主体!Z105</f>
        <v>340800</v>
      </c>
      <c r="S105" s="58">
        <f>[4]酒店主体!AA105</f>
        <v>4.6447065727699501E-2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spans="1:41" s="5" customFormat="1" ht="16.5" customHeight="1">
      <c r="A106" s="253"/>
      <c r="B106" s="253"/>
      <c r="C106" s="204"/>
      <c r="D106" s="200"/>
      <c r="E106" s="254"/>
      <c r="F106" s="184"/>
      <c r="G106" s="399" t="s">
        <v>420</v>
      </c>
      <c r="H106" s="368">
        <f>[4]酒店主体!J106</f>
        <v>286981.8</v>
      </c>
      <c r="I106" s="369">
        <f>[4]酒店主体!K106</f>
        <v>322951.76</v>
      </c>
      <c r="J106" s="370">
        <f>[4]酒店主体!M106</f>
        <v>-0.111378739660685</v>
      </c>
      <c r="K106" s="369">
        <f>[4]酒店主体!N106</f>
        <v>330905.03000000003</v>
      </c>
      <c r="L106" s="371">
        <f>[4]酒店主体!P106</f>
        <v>-0.13273666465571701</v>
      </c>
      <c r="M106" s="368">
        <f>[4]酒店主体!S106</f>
        <v>286981.8</v>
      </c>
      <c r="N106" s="369">
        <f>[4]酒店主体!T106</f>
        <v>322951.76</v>
      </c>
      <c r="O106" s="370">
        <f>[4]酒店主体!V106</f>
        <v>-0.111378739660685</v>
      </c>
      <c r="P106" s="369">
        <f>[4]酒店主体!W106</f>
        <v>330905.03000000003</v>
      </c>
      <c r="Q106" s="372">
        <f>[4]酒店主体!Y106</f>
        <v>-0.13273666465571701</v>
      </c>
      <c r="R106" s="373">
        <f>[4]酒店主体!Z106</f>
        <v>4305398.0199999996</v>
      </c>
      <c r="S106" s="374">
        <f>[4]酒店主体!AA106</f>
        <v>6.6656276299397799E-2</v>
      </c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</row>
    <row r="107" spans="1:41" s="11" customFormat="1" ht="16.5" customHeight="1">
      <c r="A107" s="125"/>
      <c r="B107" s="125"/>
      <c r="C107" s="235"/>
      <c r="D107" s="279"/>
      <c r="E107" s="127"/>
      <c r="F107" s="236"/>
      <c r="G107" s="280" t="s">
        <v>421</v>
      </c>
      <c r="H107" s="281">
        <f>[4]酒店主体!J107</f>
        <v>2.2241328761094099</v>
      </c>
      <c r="I107" s="282">
        <f>[4]酒店主体!K107</f>
        <v>0.51156970479016906</v>
      </c>
      <c r="J107" s="67">
        <f>[4]酒店主体!M107</f>
        <v>3.3476633883581699</v>
      </c>
      <c r="K107" s="282">
        <f>[4]酒店主体!N107</f>
        <v>0.40931934357407002</v>
      </c>
      <c r="L107" s="69">
        <f>[4]酒店主体!P107</f>
        <v>4.4337350800205702</v>
      </c>
      <c r="M107" s="281">
        <f>[4]酒店主体!S107</f>
        <v>2.2241328761094099</v>
      </c>
      <c r="N107" s="282">
        <f>[4]酒店主体!T107</f>
        <v>0.51156970479016906</v>
      </c>
      <c r="O107" s="67">
        <f>[4]酒店主体!V107</f>
        <v>3.3476633883581699</v>
      </c>
      <c r="P107" s="282">
        <f>[4]酒店主体!W107</f>
        <v>0.40931934357407002</v>
      </c>
      <c r="Q107" s="71">
        <f>[4]酒店主体!Y107</f>
        <v>4.4337350800205702</v>
      </c>
      <c r="R107" s="283">
        <f>[4]酒店主体!Z107</f>
        <v>0.383822113183513</v>
      </c>
      <c r="S107" s="284">
        <f>[4]酒店主体!AA107</f>
        <v>5.7946970737613901</v>
      </c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</row>
    <row r="108" spans="1:41" s="3" customFormat="1" ht="16.5" customHeight="1">
      <c r="A108" s="253"/>
      <c r="B108" s="253"/>
      <c r="C108" s="221"/>
      <c r="D108" s="221"/>
      <c r="E108" s="254"/>
      <c r="F108" s="184"/>
      <c r="G108" s="471" t="s">
        <v>422</v>
      </c>
      <c r="H108" s="472">
        <f>[4]酒店主体!J108</f>
        <v>-361955.44</v>
      </c>
      <c r="I108" s="473">
        <f>[4]酒店主体!K108</f>
        <v>-126727.92</v>
      </c>
      <c r="J108" s="474">
        <f>[4]酒店主体!M108</f>
        <v>-1.8561617676672999</v>
      </c>
      <c r="K108" s="473">
        <f>[4]酒店主体!N108</f>
        <v>23988.070000000102</v>
      </c>
      <c r="L108" s="475">
        <f>[4]酒店主体!P108</f>
        <v>-16.088977145722801</v>
      </c>
      <c r="M108" s="472">
        <f>[4]酒店主体!S108</f>
        <v>-361955.44</v>
      </c>
      <c r="N108" s="473">
        <f>[4]酒店主体!T108</f>
        <v>-126727.92</v>
      </c>
      <c r="O108" s="474">
        <f>[4]酒店主体!V108</f>
        <v>-1.8561617676672999</v>
      </c>
      <c r="P108" s="473">
        <f>[4]酒店主体!W108</f>
        <v>23988.070000000102</v>
      </c>
      <c r="Q108" s="476">
        <f>[4]酒店主体!Y108</f>
        <v>-16.088977145722801</v>
      </c>
      <c r="R108" s="477">
        <f>[4]酒店主体!Z108</f>
        <v>760000.31000000099</v>
      </c>
      <c r="S108" s="478">
        <f>[4]酒店主体!AA108</f>
        <v>-0.47625696363202802</v>
      </c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</row>
    <row r="109" spans="1:41" s="9" customFormat="1" ht="16.5" customHeight="1">
      <c r="A109" s="125"/>
      <c r="B109" s="125"/>
      <c r="C109" s="235"/>
      <c r="D109" s="279"/>
      <c r="E109" s="127"/>
      <c r="F109" s="236"/>
      <c r="G109" s="285" t="s">
        <v>423</v>
      </c>
      <c r="H109" s="286">
        <f>[4]酒店主体!J109</f>
        <v>-2.8051848367758798</v>
      </c>
      <c r="I109" s="287">
        <f>[4]酒店主体!K109</f>
        <v>-0.20074256484334399</v>
      </c>
      <c r="J109" s="130">
        <f>[4]酒店主体!M109</f>
        <v>-12.974041025952801</v>
      </c>
      <c r="K109" s="287">
        <f>[4]酒店主体!N109</f>
        <v>2.96725047244186E-2</v>
      </c>
      <c r="L109" s="132">
        <f>[4]酒店主体!P109</f>
        <v>-95.538188226064705</v>
      </c>
      <c r="M109" s="286">
        <f>[4]酒店主体!S109</f>
        <v>-2.8051848367758798</v>
      </c>
      <c r="N109" s="287">
        <f>[4]酒店主体!T109</f>
        <v>-0.20074256484334399</v>
      </c>
      <c r="O109" s="130">
        <f>[4]酒店主体!V109</f>
        <v>-12.974041025952801</v>
      </c>
      <c r="P109" s="287">
        <f>[4]酒店主体!W109</f>
        <v>2.96725047244186E-2</v>
      </c>
      <c r="Q109" s="133">
        <f>[4]酒店主体!Y109</f>
        <v>-95.538188226064705</v>
      </c>
      <c r="R109" s="288">
        <f>[4]酒店主体!Z109</f>
        <v>6.7753300310275405E-2</v>
      </c>
      <c r="S109" s="289">
        <f>[4]酒店主体!AA109</f>
        <v>-41.402925376764998</v>
      </c>
      <c r="T109" s="136"/>
      <c r="U109" s="136"/>
      <c r="V109" s="136"/>
      <c r="W109" s="136"/>
      <c r="X109" s="136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</row>
    <row r="110" spans="1:41" ht="16.5" customHeight="1">
      <c r="A110" s="47"/>
      <c r="B110" s="47"/>
      <c r="C110" s="204"/>
      <c r="D110" s="221"/>
      <c r="E110" s="49"/>
      <c r="F110" s="184"/>
      <c r="G110" s="222" t="s">
        <v>424</v>
      </c>
      <c r="H110" s="51">
        <f>[4]酒店主体!J110</f>
        <v>3136.08</v>
      </c>
      <c r="I110" s="55">
        <f>[4]酒店主体!K110</f>
        <v>9469.44</v>
      </c>
      <c r="J110" s="53">
        <f>[4]酒店主体!M110</f>
        <v>-0.66882096512570999</v>
      </c>
      <c r="K110" s="55">
        <f>[4]酒店主体!N110</f>
        <v>24916.31</v>
      </c>
      <c r="L110" s="54">
        <f>[4]酒店主体!P110</f>
        <v>-0.87413545585201002</v>
      </c>
      <c r="M110" s="51">
        <f>[4]酒店主体!S110</f>
        <v>3136.08</v>
      </c>
      <c r="N110" s="55">
        <f>[4]酒店主体!T110</f>
        <v>9469.44</v>
      </c>
      <c r="O110" s="53">
        <f>[4]酒店主体!V110</f>
        <v>-0.66882096512570999</v>
      </c>
      <c r="P110" s="55">
        <f>[4]酒店主体!W110</f>
        <v>24916.31</v>
      </c>
      <c r="Q110" s="56">
        <f>[4]酒店主体!Y110</f>
        <v>-0.87413545585201002</v>
      </c>
      <c r="R110" s="57">
        <f>[4]酒店主体!Z110</f>
        <v>168257.56</v>
      </c>
      <c r="S110" s="58">
        <f>[4]酒店主体!AA110</f>
        <v>1.86385681570564E-2</v>
      </c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spans="1:41" s="3" customFormat="1" ht="16.5" customHeight="1">
      <c r="A111" s="275"/>
      <c r="B111" s="275"/>
      <c r="C111" s="221"/>
      <c r="D111" s="221"/>
      <c r="E111" s="276"/>
      <c r="F111" s="184"/>
      <c r="G111" s="471" t="s">
        <v>425</v>
      </c>
      <c r="H111" s="472">
        <f>[4]酒店主体!J111</f>
        <v>-365091.52</v>
      </c>
      <c r="I111" s="473">
        <f>[4]酒店主体!K111</f>
        <v>-136197.35999999999</v>
      </c>
      <c r="J111" s="474">
        <f>[4]酒店主体!M111</f>
        <v>-1.6806064375990799</v>
      </c>
      <c r="K111" s="473">
        <f>[4]酒店主体!N111</f>
        <v>-928.23999999987802</v>
      </c>
      <c r="L111" s="475">
        <f>[4]酒店主体!P111</f>
        <v>-392.31586658627901</v>
      </c>
      <c r="M111" s="472">
        <f>[4]酒店主体!S111</f>
        <v>-365091.52</v>
      </c>
      <c r="N111" s="473">
        <f>[4]酒店主体!T111</f>
        <v>-136197.35999999999</v>
      </c>
      <c r="O111" s="474">
        <f>[4]酒店主体!V111</f>
        <v>-1.6806064375990799</v>
      </c>
      <c r="P111" s="473">
        <f>[4]酒店主体!W111</f>
        <v>-928.23999999987802</v>
      </c>
      <c r="Q111" s="476">
        <f>[4]酒店主体!Y111</f>
        <v>-392.31586658627901</v>
      </c>
      <c r="R111" s="477">
        <f>[4]酒店主体!Z111</f>
        <v>591742.75</v>
      </c>
      <c r="S111" s="478">
        <f>[4]酒店主体!AA111</f>
        <v>-0.61697675214440695</v>
      </c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</row>
    <row r="112" spans="1:41" ht="16.5" customHeight="1">
      <c r="A112" s="47"/>
      <c r="B112" s="47"/>
      <c r="C112" s="204"/>
      <c r="D112" s="221"/>
      <c r="E112" s="49"/>
      <c r="F112" s="184"/>
      <c r="G112" s="290" t="s">
        <v>426</v>
      </c>
      <c r="H112" s="51">
        <f>[4]酒店主体!J112</f>
        <v>0</v>
      </c>
      <c r="I112" s="55">
        <f>[4]酒店主体!K112</f>
        <v>0</v>
      </c>
      <c r="J112" s="53" t="str">
        <f>[4]酒店主体!M112</f>
        <v/>
      </c>
      <c r="K112" s="55">
        <f>[4]酒店主体!N112</f>
        <v>0</v>
      </c>
      <c r="L112" s="54" t="str">
        <f>[4]酒店主体!P112</f>
        <v/>
      </c>
      <c r="M112" s="51">
        <f>[4]酒店主体!S112</f>
        <v>0</v>
      </c>
      <c r="N112" s="55">
        <f>[4]酒店主体!T112</f>
        <v>0</v>
      </c>
      <c r="O112" s="53" t="str">
        <f>[4]酒店主体!V112</f>
        <v/>
      </c>
      <c r="P112" s="55">
        <f>[4]酒店主体!W112</f>
        <v>0</v>
      </c>
      <c r="Q112" s="56" t="str">
        <f>[4]酒店主体!Y112</f>
        <v/>
      </c>
      <c r="R112" s="57">
        <f>[4]酒店主体!Z112</f>
        <v>0</v>
      </c>
      <c r="S112" s="58" t="str">
        <f>[4]酒店主体!AA112</f>
        <v/>
      </c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spans="1:41" s="12" customFormat="1" ht="33" customHeight="1">
      <c r="A113" s="221"/>
      <c r="B113" s="221"/>
      <c r="C113" s="221"/>
      <c r="D113" s="221"/>
      <c r="E113" s="291"/>
      <c r="F113" s="184"/>
      <c r="G113" s="471" t="s">
        <v>427</v>
      </c>
      <c r="H113" s="472">
        <f>[4]酒店主体!J113</f>
        <v>-365091.52</v>
      </c>
      <c r="I113" s="473">
        <f>[4]酒店主体!K113</f>
        <v>-136197.35999999999</v>
      </c>
      <c r="J113" s="474">
        <f>[4]酒店主体!M113</f>
        <v>-1.6806064375990799</v>
      </c>
      <c r="K113" s="473">
        <f>[4]酒店主体!N113</f>
        <v>-928.23999999987802</v>
      </c>
      <c r="L113" s="475">
        <f>[4]酒店主体!P113</f>
        <v>-392.31586658627901</v>
      </c>
      <c r="M113" s="472">
        <f>[4]酒店主体!S113</f>
        <v>-365091.52</v>
      </c>
      <c r="N113" s="473">
        <f>[4]酒店主体!T113</f>
        <v>-136197.35999999999</v>
      </c>
      <c r="O113" s="474">
        <f>[4]酒店主体!V113</f>
        <v>-1.6806064375990799</v>
      </c>
      <c r="P113" s="473">
        <f>[4]酒店主体!W113</f>
        <v>-928.23999999987802</v>
      </c>
      <c r="Q113" s="476">
        <f>[4]酒店主体!Y113</f>
        <v>-392.31586658627901</v>
      </c>
      <c r="R113" s="477">
        <f>[4]酒店主体!Z113</f>
        <v>591742.75</v>
      </c>
      <c r="S113" s="478">
        <f>[4]酒店主体!AA113</f>
        <v>-0.61697675214440695</v>
      </c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  <c r="AO113" s="221"/>
    </row>
    <row r="114" spans="1:41" s="5" customFormat="1" ht="16.5" customHeight="1">
      <c r="A114" s="292"/>
      <c r="B114" s="292"/>
      <c r="C114" s="204"/>
      <c r="D114" s="200"/>
      <c r="E114" s="291"/>
      <c r="F114" s="184"/>
      <c r="G114" s="479" t="s">
        <v>352</v>
      </c>
      <c r="H114" s="448">
        <f>[4]酒店主体!J114</f>
        <v>-146465.9</v>
      </c>
      <c r="I114" s="449">
        <f>[4]酒店主体!K114</f>
        <v>-168938.87</v>
      </c>
      <c r="J114" s="467">
        <f>[4]酒店主体!M114</f>
        <v>0.13302427085016</v>
      </c>
      <c r="K114" s="449">
        <f>[4]酒店主体!N114</f>
        <v>-167561.85999999999</v>
      </c>
      <c r="L114" s="468">
        <f>[4]酒店主体!P114</f>
        <v>0.12589953346185101</v>
      </c>
      <c r="M114" s="448">
        <f>[4]酒店主体!S114</f>
        <v>-146465.9</v>
      </c>
      <c r="N114" s="449">
        <f>[4]酒店主体!T114</f>
        <v>-168938.87</v>
      </c>
      <c r="O114" s="467">
        <f>[4]酒店主体!V114</f>
        <v>0.13302427085016</v>
      </c>
      <c r="P114" s="449">
        <f>[4]酒店主体!W114</f>
        <v>-167561.85999999999</v>
      </c>
      <c r="Q114" s="470">
        <f>[4]酒店主体!Y114</f>
        <v>0.12589953346185101</v>
      </c>
      <c r="R114" s="454">
        <f>[4]酒店主体!Z114</f>
        <v>-2136515.11</v>
      </c>
      <c r="S114" s="455">
        <f>[4]酒店主体!AA114</f>
        <v>1.93144635424554</v>
      </c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</row>
    <row r="115" spans="1:41" ht="16.5" customHeight="1">
      <c r="C115" s="204"/>
      <c r="D115" s="221"/>
      <c r="F115" s="184"/>
      <c r="G115" s="222" t="s">
        <v>428</v>
      </c>
      <c r="H115" s="51">
        <f>[4]酒店主体!J115</f>
        <v>236.25</v>
      </c>
      <c r="I115" s="55">
        <f>[4]酒店主体!K115</f>
        <v>0</v>
      </c>
      <c r="J115" s="111" t="str">
        <f>[4]酒店主体!M115</f>
        <v/>
      </c>
      <c r="K115" s="55">
        <f>[4]酒店主体!N115</f>
        <v>4.72</v>
      </c>
      <c r="L115" s="112">
        <f>[4]酒店主体!P115</f>
        <v>49.052966101694899</v>
      </c>
      <c r="M115" s="51">
        <f>[4]酒店主体!S115</f>
        <v>236.25</v>
      </c>
      <c r="N115" s="55">
        <f>[4]酒店主体!T115</f>
        <v>0</v>
      </c>
      <c r="O115" s="111" t="str">
        <f>[4]酒店主体!V115</f>
        <v/>
      </c>
      <c r="P115" s="55">
        <f>[4]酒店主体!W115</f>
        <v>4.72</v>
      </c>
      <c r="Q115" s="113">
        <f>[4]酒店主体!Y115</f>
        <v>49.052966101694899</v>
      </c>
      <c r="R115" s="57">
        <f>[4]酒店主体!Z115</f>
        <v>0</v>
      </c>
      <c r="S115" s="58" t="str">
        <f>[4]酒店主体!AA115</f>
        <v/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spans="1:41" ht="16.5" customHeight="1">
      <c r="C116" s="204"/>
      <c r="D116" s="221"/>
      <c r="F116" s="184"/>
      <c r="G116" s="293" t="s">
        <v>429</v>
      </c>
      <c r="H116" s="103">
        <f>[4]酒店主体!J116</f>
        <v>146702.15</v>
      </c>
      <c r="I116" s="104">
        <f>[4]酒店主体!K116</f>
        <v>168938.87</v>
      </c>
      <c r="J116" s="105">
        <f>[4]酒店主体!M116</f>
        <v>-0.131625836019857</v>
      </c>
      <c r="K116" s="104">
        <f>[4]酒店主体!N116</f>
        <v>166111.63</v>
      </c>
      <c r="L116" s="106">
        <f>[4]酒店主体!P116</f>
        <v>-0.116846002895764</v>
      </c>
      <c r="M116" s="103">
        <f>[4]酒店主体!S116</f>
        <v>146702.15</v>
      </c>
      <c r="N116" s="104">
        <f>[4]酒店主体!T116</f>
        <v>168938.87</v>
      </c>
      <c r="O116" s="105">
        <f>[4]酒店主体!V116</f>
        <v>-0.131625836019857</v>
      </c>
      <c r="P116" s="104">
        <f>[4]酒店主体!W116</f>
        <v>166111.63</v>
      </c>
      <c r="Q116" s="107">
        <f>[4]酒店主体!Y116</f>
        <v>-0.116846002895764</v>
      </c>
      <c r="R116" s="57">
        <f>[4]酒店主体!Z116</f>
        <v>2136515.11</v>
      </c>
      <c r="S116" s="58">
        <f>[4]酒店主体!AA116</f>
        <v>6.86642230206366E-2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spans="1:41" ht="16.5" customHeight="1">
      <c r="C117" s="204"/>
      <c r="D117" s="221"/>
      <c r="F117" s="184"/>
      <c r="G117" s="222" t="s">
        <v>430</v>
      </c>
      <c r="H117" s="51">
        <f>[4]酒店主体!J117</f>
        <v>0</v>
      </c>
      <c r="I117" s="55">
        <f>[4]酒店主体!K117</f>
        <v>0</v>
      </c>
      <c r="J117" s="111" t="str">
        <f>[4]酒店主体!M117</f>
        <v/>
      </c>
      <c r="K117" s="55">
        <f>[4]酒店主体!N117</f>
        <v>0</v>
      </c>
      <c r="L117" s="112" t="str">
        <f>[4]酒店主体!P117</f>
        <v/>
      </c>
      <c r="M117" s="51">
        <f>[4]酒店主体!S117</f>
        <v>0</v>
      </c>
      <c r="N117" s="55">
        <f>[4]酒店主体!T117</f>
        <v>0</v>
      </c>
      <c r="O117" s="111" t="str">
        <f>[4]酒店主体!V117</f>
        <v/>
      </c>
      <c r="P117" s="55">
        <f>[4]酒店主体!W117</f>
        <v>0</v>
      </c>
      <c r="Q117" s="113" t="str">
        <f>[4]酒店主体!Y117</f>
        <v/>
      </c>
      <c r="R117" s="57">
        <f>[4]酒店主体!Z117</f>
        <v>0</v>
      </c>
      <c r="S117" s="58" t="str">
        <f>[4]酒店主体!AA117</f>
        <v/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spans="1:41" ht="16.5" customHeight="1">
      <c r="C118" s="204"/>
      <c r="D118" s="221"/>
      <c r="F118" s="184"/>
      <c r="G118" s="222" t="s">
        <v>431</v>
      </c>
      <c r="H118" s="51">
        <f>[4]酒店主体!J118</f>
        <v>0</v>
      </c>
      <c r="I118" s="55">
        <f>[4]酒店主体!K118</f>
        <v>0</v>
      </c>
      <c r="J118" s="111" t="str">
        <f>[4]酒店主体!M118</f>
        <v/>
      </c>
      <c r="K118" s="55">
        <f>[4]酒店主体!N118</f>
        <v>0</v>
      </c>
      <c r="L118" s="112" t="str">
        <f>[4]酒店主体!P118</f>
        <v/>
      </c>
      <c r="M118" s="51">
        <f>[4]酒店主体!S118</f>
        <v>0</v>
      </c>
      <c r="N118" s="55">
        <f>[4]酒店主体!T118</f>
        <v>0</v>
      </c>
      <c r="O118" s="111" t="str">
        <f>[4]酒店主体!V118</f>
        <v/>
      </c>
      <c r="P118" s="55">
        <f>[4]酒店主体!W118</f>
        <v>0</v>
      </c>
      <c r="Q118" s="113" t="str">
        <f>[4]酒店主体!Y118</f>
        <v/>
      </c>
      <c r="R118" s="57">
        <f>[4]酒店主体!Z118</f>
        <v>0</v>
      </c>
      <c r="S118" s="58" t="str">
        <f>[4]酒店主体!AA118</f>
        <v/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spans="1:41" ht="16.5" customHeight="1">
      <c r="C119" s="204"/>
      <c r="D119" s="221"/>
      <c r="F119" s="184"/>
      <c r="G119" s="222" t="s">
        <v>432</v>
      </c>
      <c r="H119" s="51">
        <f>[4]酒店主体!J119</f>
        <v>0</v>
      </c>
      <c r="I119" s="55">
        <f>[4]酒店主体!K119</f>
        <v>0</v>
      </c>
      <c r="J119" s="111" t="str">
        <f>[4]酒店主体!M119</f>
        <v/>
      </c>
      <c r="K119" s="55">
        <f>[4]酒店主体!N119</f>
        <v>0</v>
      </c>
      <c r="L119" s="112" t="str">
        <f>[4]酒店主体!P119</f>
        <v/>
      </c>
      <c r="M119" s="51">
        <f>[4]酒店主体!S119</f>
        <v>0</v>
      </c>
      <c r="N119" s="55">
        <f>[4]酒店主体!T119</f>
        <v>0</v>
      </c>
      <c r="O119" s="111" t="str">
        <f>[4]酒店主体!V119</f>
        <v/>
      </c>
      <c r="P119" s="55">
        <f>[4]酒店主体!W119</f>
        <v>0</v>
      </c>
      <c r="Q119" s="113" t="str">
        <f>[4]酒店主体!Y119</f>
        <v/>
      </c>
      <c r="R119" s="57">
        <f>[4]酒店主体!Z119</f>
        <v>0</v>
      </c>
      <c r="S119" s="58" t="str">
        <f>[4]酒店主体!AA119</f>
        <v/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spans="1:41" ht="16.5" customHeight="1">
      <c r="C120" s="204"/>
      <c r="D120" s="221"/>
      <c r="F120" s="184"/>
      <c r="G120" s="222" t="s">
        <v>433</v>
      </c>
      <c r="H120" s="51">
        <f>[4]酒店主体!J120</f>
        <v>0</v>
      </c>
      <c r="I120" s="55">
        <f>[4]酒店主体!K120</f>
        <v>0</v>
      </c>
      <c r="J120" s="111" t="str">
        <f>[4]酒店主体!M120</f>
        <v/>
      </c>
      <c r="K120" s="55">
        <f>[4]酒店主体!N120</f>
        <v>1454.95</v>
      </c>
      <c r="L120" s="112">
        <f>[4]酒店主体!P120</f>
        <v>-1</v>
      </c>
      <c r="M120" s="51">
        <f>[4]酒店主体!S120</f>
        <v>0</v>
      </c>
      <c r="N120" s="55">
        <f>[4]酒店主体!T120</f>
        <v>0</v>
      </c>
      <c r="O120" s="111" t="str">
        <f>[4]酒店主体!V120</f>
        <v/>
      </c>
      <c r="P120" s="55">
        <f>[4]酒店主体!W120</f>
        <v>1454.95</v>
      </c>
      <c r="Q120" s="113">
        <f>[4]酒店主体!Y120</f>
        <v>-1</v>
      </c>
      <c r="R120" s="57">
        <f>[4]酒店主体!Z120</f>
        <v>0</v>
      </c>
      <c r="S120" s="58" t="str">
        <f>[4]酒店主体!AA120</f>
        <v/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spans="1:41" ht="16.5" customHeight="1">
      <c r="A121" s="221"/>
      <c r="B121" s="221"/>
      <c r="C121" s="204"/>
      <c r="D121" s="221"/>
      <c r="E121" s="291"/>
      <c r="F121" s="184"/>
      <c r="G121" s="471" t="s">
        <v>434</v>
      </c>
      <c r="H121" s="472">
        <f>[4]酒店主体!J121</f>
        <v>-511557.42</v>
      </c>
      <c r="I121" s="473">
        <f>[4]酒店主体!K121</f>
        <v>-305136.23</v>
      </c>
      <c r="J121" s="474">
        <f>[4]酒店主体!M121</f>
        <v>-0.67648862935745102</v>
      </c>
      <c r="K121" s="473">
        <f>[4]酒店主体!N121</f>
        <v>-168490.1</v>
      </c>
      <c r="L121" s="475">
        <f>[4]酒店主体!P121</f>
        <v>-2.0361274638687998</v>
      </c>
      <c r="M121" s="472">
        <f>[4]酒店主体!S121</f>
        <v>-511557.42</v>
      </c>
      <c r="N121" s="473">
        <f>[4]酒店主体!T121</f>
        <v>-305136.23</v>
      </c>
      <c r="O121" s="474">
        <f>[4]酒店主体!V121</f>
        <v>-0.67648862935745102</v>
      </c>
      <c r="P121" s="473">
        <f>[4]酒店主体!W121</f>
        <v>-168490.1</v>
      </c>
      <c r="Q121" s="476">
        <f>[4]酒店主体!Y121</f>
        <v>-2.0361274638687998</v>
      </c>
      <c r="R121" s="477">
        <f>[4]酒店主体!Z121</f>
        <v>-1544772.36</v>
      </c>
      <c r="S121" s="478">
        <f>[4]酒店主体!AA121</f>
        <v>1.66884608163238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spans="1:41" s="9" customFormat="1" ht="16.5" customHeight="1">
      <c r="A122" s="294"/>
      <c r="B122" s="294"/>
      <c r="C122" s="235"/>
      <c r="D122" s="279"/>
      <c r="E122" s="295"/>
      <c r="F122" s="236"/>
      <c r="G122" s="480" t="s">
        <v>435</v>
      </c>
      <c r="H122" s="481">
        <f>[4]酒店主体!J122</f>
        <v>-3.9646126543206299</v>
      </c>
      <c r="I122" s="482">
        <f>[4]酒店主体!K122</f>
        <v>-0.48334912651315198</v>
      </c>
      <c r="J122" s="483">
        <f>[4]酒店主体!M122</f>
        <v>-7.2023788538133502</v>
      </c>
      <c r="K122" s="482">
        <f>[4]酒店主体!N122</f>
        <v>-0.20841707099686399</v>
      </c>
      <c r="L122" s="484">
        <f>[4]酒店主体!P122</f>
        <v>-18.0224948242377</v>
      </c>
      <c r="M122" s="481">
        <f>[4]酒店主体!S122</f>
        <v>-3.9646126543206299</v>
      </c>
      <c r="N122" s="482">
        <f>[4]酒店主体!T122</f>
        <v>-0.48334912651315198</v>
      </c>
      <c r="O122" s="483">
        <f>[4]酒店主体!V122</f>
        <v>-7.2023788538133502</v>
      </c>
      <c r="P122" s="482">
        <f>[4]酒店主体!W122</f>
        <v>-0.20841707099686399</v>
      </c>
      <c r="Q122" s="485">
        <f>[4]酒店主体!Y122</f>
        <v>-18.0224948242377</v>
      </c>
      <c r="R122" s="486">
        <f>[4]酒店主体!Z122</f>
        <v>-0.137714977534802</v>
      </c>
      <c r="S122" s="487">
        <f>[4]酒店主体!AA122</f>
        <v>-26.7885364779494</v>
      </c>
      <c r="T122" s="136"/>
      <c r="U122" s="136"/>
      <c r="V122" s="136"/>
      <c r="W122" s="136"/>
      <c r="X122" s="136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7"/>
      <c r="AL122" s="237"/>
      <c r="AM122" s="237"/>
      <c r="AN122" s="237"/>
      <c r="AO122" s="237"/>
    </row>
    <row r="123" spans="1:41" ht="16.5" customHeight="1">
      <c r="C123" s="204"/>
      <c r="D123" s="221"/>
      <c r="F123" s="184"/>
      <c r="G123" s="248" t="s">
        <v>436</v>
      </c>
      <c r="H123" s="60">
        <f>[4]酒店主体!J123</f>
        <v>0</v>
      </c>
      <c r="I123" s="64">
        <f>[4]酒店主体!K123</f>
        <v>0</v>
      </c>
      <c r="J123" s="251" t="str">
        <f>[4]酒店主体!M123</f>
        <v/>
      </c>
      <c r="K123" s="64">
        <f>[4]酒店主体!N123</f>
        <v>30026.003349999999</v>
      </c>
      <c r="L123" s="250">
        <f>[4]酒店主体!P123</f>
        <v>-1</v>
      </c>
      <c r="M123" s="60">
        <f>[4]酒店主体!S123</f>
        <v>0</v>
      </c>
      <c r="N123" s="64">
        <f>[4]酒店主体!T123</f>
        <v>0</v>
      </c>
      <c r="O123" s="296" t="str">
        <f>[4]酒店主体!V123</f>
        <v/>
      </c>
      <c r="P123" s="64">
        <f>[4]酒店主体!W123</f>
        <v>30026.003349999999</v>
      </c>
      <c r="Q123" s="297">
        <f>[4]酒店主体!Y123</f>
        <v>-1</v>
      </c>
      <c r="R123" s="57">
        <f>[4]酒店主体!Z123</f>
        <v>0</v>
      </c>
      <c r="S123" s="58" t="str">
        <f>[4]酒店主体!AA123</f>
        <v/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spans="1:41" s="5" customFormat="1" ht="16.5" customHeight="1">
      <c r="A124" s="292"/>
      <c r="B124" s="292"/>
      <c r="C124" s="204"/>
      <c r="D124" s="221"/>
      <c r="E124" s="291"/>
      <c r="F124" s="184"/>
      <c r="G124" s="488" t="s">
        <v>355</v>
      </c>
      <c r="H124" s="489">
        <f>[4]酒店主体!J124</f>
        <v>-511557.42</v>
      </c>
      <c r="I124" s="490">
        <f>[4]酒店主体!K124</f>
        <v>-305136.23</v>
      </c>
      <c r="J124" s="491">
        <f>[4]酒店主体!M124</f>
        <v>-0.67648862935745102</v>
      </c>
      <c r="K124" s="490">
        <f>[4]酒店主体!N124</f>
        <v>-198516.10334999999</v>
      </c>
      <c r="L124" s="492">
        <f>[4]酒店主体!P124</f>
        <v>-1.57690641397531</v>
      </c>
      <c r="M124" s="489">
        <f>[4]酒店主体!S124</f>
        <v>-511557.42</v>
      </c>
      <c r="N124" s="490">
        <f>[4]酒店主体!T124</f>
        <v>-305136.23</v>
      </c>
      <c r="O124" s="491">
        <f>[4]酒店主体!V124</f>
        <v>-0.67648862935745102</v>
      </c>
      <c r="P124" s="490">
        <f>[4]酒店主体!W124</f>
        <v>-198516.10334999999</v>
      </c>
      <c r="Q124" s="493">
        <f>[4]酒店主体!Y124</f>
        <v>-1.57690641397531</v>
      </c>
      <c r="R124" s="477">
        <f>[4]酒店主体!Z124</f>
        <v>-1544772.36</v>
      </c>
      <c r="S124" s="478">
        <f>[4]酒店主体!AA124</f>
        <v>1.66884608163238</v>
      </c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</row>
    <row r="125" spans="1:41" s="5" customFormat="1" ht="16.5" customHeight="1">
      <c r="A125" s="298"/>
      <c r="B125" s="298"/>
      <c r="C125" s="204"/>
      <c r="D125" s="221"/>
      <c r="E125" s="15"/>
      <c r="F125" s="184"/>
      <c r="G125" s="479" t="s">
        <v>356</v>
      </c>
      <c r="H125" s="448">
        <f>[4]酒店主体!J125</f>
        <v>63290.1</v>
      </c>
      <c r="I125" s="449">
        <f>[4]酒店主体!K125</f>
        <v>63658.7</v>
      </c>
      <c r="J125" s="467">
        <f>[4]酒店主体!M125</f>
        <v>-5.7902533353648604E-3</v>
      </c>
      <c r="K125" s="449">
        <f>[4]酒店主体!N125</f>
        <v>71793.600000000006</v>
      </c>
      <c r="L125" s="468">
        <f>[4]酒店主体!P125</f>
        <v>-0.118443705288494</v>
      </c>
      <c r="M125" s="448">
        <f>[4]酒店主体!S125</f>
        <v>63290.1</v>
      </c>
      <c r="N125" s="449">
        <f>[4]酒店主体!T125</f>
        <v>63658.7</v>
      </c>
      <c r="O125" s="467">
        <f>[4]酒店主体!V125</f>
        <v>-5.7902533353648604E-3</v>
      </c>
      <c r="P125" s="449">
        <f>[4]酒店主体!W125</f>
        <v>71793.600000000006</v>
      </c>
      <c r="Q125" s="470">
        <f>[4]酒店主体!Y125</f>
        <v>-0.118443705288494</v>
      </c>
      <c r="R125" s="454">
        <f>[4]酒店主体!Z125</f>
        <v>763904.68</v>
      </c>
      <c r="S125" s="455">
        <f>[4]酒店主体!AA125</f>
        <v>8.2850781854092101E-2</v>
      </c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</row>
    <row r="126" spans="1:41" ht="16.5" customHeight="1">
      <c r="C126" s="204"/>
      <c r="D126" s="221"/>
      <c r="F126" s="184"/>
      <c r="G126" s="222" t="s">
        <v>437</v>
      </c>
      <c r="H126" s="51">
        <f>[4]酒店主体!J126</f>
        <v>0</v>
      </c>
      <c r="I126" s="55">
        <f>[4]酒店主体!K126</f>
        <v>0</v>
      </c>
      <c r="J126" s="111" t="str">
        <f>[4]酒店主体!M126</f>
        <v/>
      </c>
      <c r="K126" s="55">
        <f>[4]酒店主体!N126</f>
        <v>0</v>
      </c>
      <c r="L126" s="112" t="str">
        <f>[4]酒店主体!P126</f>
        <v/>
      </c>
      <c r="M126" s="51">
        <f>[4]酒店主体!S126</f>
        <v>0</v>
      </c>
      <c r="N126" s="55">
        <f>[4]酒店主体!T126</f>
        <v>0</v>
      </c>
      <c r="O126" s="111" t="str">
        <f>[4]酒店主体!V126</f>
        <v/>
      </c>
      <c r="P126" s="55">
        <f>[4]酒店主体!W126</f>
        <v>0</v>
      </c>
      <c r="Q126" s="113" t="str">
        <f>[4]酒店主体!Y126</f>
        <v/>
      </c>
      <c r="R126" s="57">
        <f>[4]酒店主体!Z126</f>
        <v>0</v>
      </c>
      <c r="S126" s="58" t="str">
        <f>[4]酒店主体!AA126</f>
        <v/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spans="1:41" ht="16.5" customHeight="1">
      <c r="C127" s="204"/>
      <c r="D127" s="221"/>
      <c r="F127" s="184"/>
      <c r="G127" s="222" t="s">
        <v>438</v>
      </c>
      <c r="H127" s="51">
        <f>[4]酒店主体!J127</f>
        <v>0</v>
      </c>
      <c r="I127" s="55">
        <f>[4]酒店主体!K127</f>
        <v>0</v>
      </c>
      <c r="J127" s="111" t="str">
        <f>[4]酒店主体!M127</f>
        <v/>
      </c>
      <c r="K127" s="55">
        <f>[4]酒店主体!N127</f>
        <v>0</v>
      </c>
      <c r="L127" s="112" t="str">
        <f>[4]酒店主体!P127</f>
        <v/>
      </c>
      <c r="M127" s="51">
        <f>[4]酒店主体!S127</f>
        <v>0</v>
      </c>
      <c r="N127" s="55">
        <f>[4]酒店主体!T127</f>
        <v>0</v>
      </c>
      <c r="O127" s="111" t="str">
        <f>[4]酒店主体!V127</f>
        <v/>
      </c>
      <c r="P127" s="55">
        <f>[4]酒店主体!W127</f>
        <v>0</v>
      </c>
      <c r="Q127" s="113" t="str">
        <f>[4]酒店主体!Y127</f>
        <v/>
      </c>
      <c r="R127" s="57">
        <f>[4]酒店主体!Z127</f>
        <v>0</v>
      </c>
      <c r="S127" s="58" t="str">
        <f>[4]酒店主体!AA127</f>
        <v/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spans="1:41" ht="16.5" customHeight="1">
      <c r="C128" s="204"/>
      <c r="D128" s="221"/>
      <c r="F128" s="184"/>
      <c r="G128" s="299" t="s">
        <v>439</v>
      </c>
      <c r="H128" s="60">
        <f>[4]酒店主体!J128</f>
        <v>21919.17</v>
      </c>
      <c r="I128" s="64">
        <f>[4]酒店主体!K128</f>
        <v>23000</v>
      </c>
      <c r="J128" s="251">
        <f>[4]酒店主体!M128</f>
        <v>-4.6992608695652201E-2</v>
      </c>
      <c r="K128" s="104">
        <f>[4]酒店主体!N128</f>
        <v>23471.43</v>
      </c>
      <c r="L128" s="250">
        <f>[4]酒店主体!P128</f>
        <v>-6.6134019103224903E-2</v>
      </c>
      <c r="M128" s="60">
        <f>[4]酒店主体!S128</f>
        <v>21919.17</v>
      </c>
      <c r="N128" s="64">
        <f>[4]酒店主体!T128</f>
        <v>23000</v>
      </c>
      <c r="O128" s="251">
        <f>[4]酒店主体!V128</f>
        <v>-4.6992608695652201E-2</v>
      </c>
      <c r="P128" s="64">
        <f>[4]酒店主体!W128</f>
        <v>23471.43</v>
      </c>
      <c r="Q128" s="252">
        <f>[4]酒店主体!Y128</f>
        <v>-6.6134019103224903E-2</v>
      </c>
      <c r="R128" s="57">
        <f>[4]酒店主体!Z128</f>
        <v>276000</v>
      </c>
      <c r="S128" s="58">
        <f>[4]酒店主体!AA128</f>
        <v>7.94172826086956E-2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spans="1:41" ht="16.5" customHeight="1">
      <c r="C129" s="204"/>
      <c r="D129" s="221"/>
      <c r="F129" s="184"/>
      <c r="G129" s="222" t="s">
        <v>440</v>
      </c>
      <c r="H129" s="51">
        <f>[4]酒店主体!J129</f>
        <v>41370.93</v>
      </c>
      <c r="I129" s="55">
        <f>[4]酒店主体!K129</f>
        <v>40658.699999999997</v>
      </c>
      <c r="J129" s="246">
        <f>[4]酒店主体!M129</f>
        <v>1.75172841236933E-2</v>
      </c>
      <c r="K129" s="55">
        <f>[4]酒店主体!N129</f>
        <v>48322.17</v>
      </c>
      <c r="L129" s="112">
        <f>[4]酒店主体!P129</f>
        <v>-0.14385198346845701</v>
      </c>
      <c r="M129" s="51">
        <f>[4]酒店主体!S129</f>
        <v>41370.93</v>
      </c>
      <c r="N129" s="55">
        <f>[4]酒店主体!T129</f>
        <v>40658.699999999997</v>
      </c>
      <c r="O129" s="111">
        <f>[4]酒店主体!V129</f>
        <v>1.75172841236933E-2</v>
      </c>
      <c r="P129" s="55">
        <f>[4]酒店主体!W129</f>
        <v>48322.17</v>
      </c>
      <c r="Q129" s="113">
        <f>[4]酒店主体!Y129</f>
        <v>-0.14385198346845701</v>
      </c>
      <c r="R129" s="57">
        <f>[4]酒店主体!Z129</f>
        <v>487904.68</v>
      </c>
      <c r="S129" s="58">
        <f>[4]酒店主体!AA129</f>
        <v>8.4793058349020206E-2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spans="1:41" ht="16.5" customHeight="1">
      <c r="A130" s="221"/>
      <c r="B130" s="221"/>
      <c r="C130" s="204"/>
      <c r="D130" s="221"/>
      <c r="E130" s="291"/>
      <c r="F130" s="184"/>
      <c r="G130" s="471" t="s">
        <v>441</v>
      </c>
      <c r="H130" s="494">
        <f>[4]酒店主体!J130</f>
        <v>-574847.52</v>
      </c>
      <c r="I130" s="495">
        <f>[4]酒店主体!K130</f>
        <v>-368794.93</v>
      </c>
      <c r="J130" s="496">
        <f>[4]酒店主体!M130</f>
        <v>-0.55871860819778596</v>
      </c>
      <c r="K130" s="473">
        <f>[4]酒店主体!N130</f>
        <v>-240283.7</v>
      </c>
      <c r="L130" s="475">
        <f>[4]酒店主体!P130</f>
        <v>-1.3923700192730499</v>
      </c>
      <c r="M130" s="497">
        <f>[4]酒店主体!S130</f>
        <v>-574847.52</v>
      </c>
      <c r="N130" s="473">
        <f>[4]酒店主体!T130</f>
        <v>-368794.93</v>
      </c>
      <c r="O130" s="474">
        <f>[4]酒店主体!V130</f>
        <v>-0.55871860819778596</v>
      </c>
      <c r="P130" s="473">
        <f>[4]酒店主体!W130</f>
        <v>-240283.7</v>
      </c>
      <c r="Q130" s="476">
        <f>[4]酒店主体!Y130</f>
        <v>-1.3923700192730499</v>
      </c>
      <c r="R130" s="477">
        <f>[4]酒店主体!Z130</f>
        <v>-2308677.04</v>
      </c>
      <c r="S130" s="478">
        <f>[4]酒店主体!AA130</f>
        <v>1.7510056582015501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spans="1:41" ht="16.5" customHeight="1">
      <c r="C131" s="204"/>
      <c r="D131" s="221"/>
      <c r="F131" s="184"/>
      <c r="G131" s="300" t="s">
        <v>442</v>
      </c>
      <c r="H131" s="301">
        <f>[4]酒店主体!J131</f>
        <v>0</v>
      </c>
      <c r="I131" s="302">
        <f>[4]酒店主体!K131</f>
        <v>0</v>
      </c>
      <c r="J131" s="246" t="str">
        <f>[4]酒店主体!M131</f>
        <v/>
      </c>
      <c r="K131" s="55">
        <f>[4]酒店主体!N131</f>
        <v>0</v>
      </c>
      <c r="L131" s="106" t="str">
        <f>[4]酒店主体!P131</f>
        <v/>
      </c>
      <c r="M131" s="103">
        <f>[4]酒店主体!S131</f>
        <v>0</v>
      </c>
      <c r="N131" s="302">
        <f>[4]酒店主体!T131</f>
        <v>0</v>
      </c>
      <c r="O131" s="246" t="str">
        <f>[4]酒店主体!V131</f>
        <v/>
      </c>
      <c r="P131" s="303">
        <f>[4]酒店主体!W131</f>
        <v>0</v>
      </c>
      <c r="Q131" s="107" t="str">
        <f>[4]酒店主体!Y131</f>
        <v/>
      </c>
      <c r="R131" s="57">
        <f>[4]酒店主体!Z131</f>
        <v>0</v>
      </c>
      <c r="S131" s="58" t="str">
        <f>[4]酒店主体!AA131</f>
        <v/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spans="1:41" ht="16.5" customHeight="1">
      <c r="C132" s="204"/>
      <c r="D132" s="221"/>
      <c r="F132" s="184"/>
      <c r="G132" s="498" t="s">
        <v>443</v>
      </c>
      <c r="H132" s="499">
        <f>[4]酒店主体!J132</f>
        <v>-574847.52</v>
      </c>
      <c r="I132" s="500">
        <f>[4]酒店主体!K132</f>
        <v>-368794.93</v>
      </c>
      <c r="J132" s="501">
        <f>[4]酒店主体!M132</f>
        <v>-0.55871860819778596</v>
      </c>
      <c r="K132" s="502">
        <f>[4]酒店主体!N132</f>
        <v>-240283.7</v>
      </c>
      <c r="L132" s="503">
        <f>[4]酒店主体!P132</f>
        <v>-1.3923700192730499</v>
      </c>
      <c r="M132" s="504">
        <f>[4]酒店主体!S132</f>
        <v>-574847.52</v>
      </c>
      <c r="N132" s="500">
        <f>[4]酒店主体!T132</f>
        <v>-368794.93</v>
      </c>
      <c r="O132" s="501">
        <f>[4]酒店主体!V132</f>
        <v>-0.55871860819778596</v>
      </c>
      <c r="P132" s="505">
        <f>[4]酒店主体!W132</f>
        <v>-240283.7</v>
      </c>
      <c r="Q132" s="506">
        <f>[4]酒店主体!Y132</f>
        <v>-1.3923700192730499</v>
      </c>
      <c r="R132" s="507">
        <f>[4]酒店主体!Z132</f>
        <v>-2308677.04</v>
      </c>
      <c r="S132" s="445">
        <f>[4]酒店主体!AA132</f>
        <v>1.7510056582015501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spans="1:41" s="5" customFormat="1" ht="16.5" customHeight="1">
      <c r="A133" s="292"/>
      <c r="B133" s="292"/>
      <c r="C133" s="14"/>
      <c r="D133" s="14"/>
      <c r="E133" s="15"/>
      <c r="F133" s="184"/>
      <c r="G133" s="508" t="s">
        <v>444</v>
      </c>
      <c r="H133" s="509">
        <f>[4]酒店主体!J133</f>
        <v>0</v>
      </c>
      <c r="I133" s="510">
        <f>[4]酒店主体!K133</f>
        <v>0</v>
      </c>
      <c r="J133" s="511" t="str">
        <f>[4]酒店主体!M133</f>
        <v/>
      </c>
      <c r="K133" s="512">
        <f>[4]酒店主体!N133</f>
        <v>0</v>
      </c>
      <c r="L133" s="513" t="str">
        <f>[4]酒店主体!P133</f>
        <v/>
      </c>
      <c r="M133" s="509">
        <f>[4]酒店主体!S133</f>
        <v>0</v>
      </c>
      <c r="N133" s="510">
        <f>[4]酒店主体!T133</f>
        <v>0</v>
      </c>
      <c r="O133" s="511" t="str">
        <f>[4]酒店主体!V133</f>
        <v/>
      </c>
      <c r="P133" s="512">
        <f>[4]酒店主体!W133</f>
        <v>0</v>
      </c>
      <c r="Q133" s="514" t="str">
        <f>[4]酒店主体!Y133</f>
        <v/>
      </c>
      <c r="R133" s="515">
        <f>[4]酒店主体!Z133</f>
        <v>0</v>
      </c>
      <c r="S133" s="516">
        <f>[4]酒店主体!AA133</f>
        <v>0</v>
      </c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</row>
    <row r="134" spans="1:41" s="5" customFormat="1" ht="16.5" customHeight="1">
      <c r="A134" s="292"/>
      <c r="B134" s="304" t="s">
        <v>446</v>
      </c>
      <c r="C134" s="292" t="s">
        <v>447</v>
      </c>
      <c r="D134" s="124"/>
      <c r="E134" s="101" t="s">
        <v>448</v>
      </c>
      <c r="F134" s="184"/>
      <c r="G134" s="517" t="s">
        <v>449</v>
      </c>
      <c r="H134" s="518">
        <f>[4]酒店主体!J134</f>
        <v>-574847.52</v>
      </c>
      <c r="I134" s="519">
        <f>[4]酒店主体!K134</f>
        <v>0</v>
      </c>
      <c r="J134" s="520" t="str">
        <f>[4]酒店主体!M134</f>
        <v/>
      </c>
      <c r="K134" s="521">
        <f>[4]酒店主体!N134</f>
        <v>0</v>
      </c>
      <c r="L134" s="522" t="str">
        <f>[4]酒店主体!P134</f>
        <v/>
      </c>
      <c r="M134" s="518">
        <f>[4]酒店主体!S134</f>
        <v>-574847.52</v>
      </c>
      <c r="N134" s="519">
        <f>[4]酒店主体!T134</f>
        <v>0</v>
      </c>
      <c r="O134" s="520" t="str">
        <f>[4]酒店主体!V134</f>
        <v/>
      </c>
      <c r="P134" s="521">
        <f>[4]酒店主体!W134</f>
        <v>0</v>
      </c>
      <c r="Q134" s="523" t="str">
        <f>[4]酒店主体!Y134</f>
        <v/>
      </c>
      <c r="R134" s="524">
        <f>[4]酒店主体!Z134</f>
        <v>0</v>
      </c>
      <c r="S134" s="525">
        <f>[4]酒店主体!AA134</f>
        <v>0</v>
      </c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</row>
    <row r="135" spans="1:41" ht="16.5" customHeight="1">
      <c r="F135" s="184"/>
      <c r="G135" s="526" t="s">
        <v>309</v>
      </c>
      <c r="H135" s="527">
        <f>[4]酒店主体!J135</f>
        <v>0</v>
      </c>
      <c r="I135" s="528">
        <f>[4]酒店主体!K135</f>
        <v>0</v>
      </c>
      <c r="J135" s="529" t="str">
        <f>[4]酒店主体!M135</f>
        <v/>
      </c>
      <c r="K135" s="530">
        <f>[4]酒店主体!N135</f>
        <v>0</v>
      </c>
      <c r="L135" s="531" t="str">
        <f>[4]酒店主体!P135</f>
        <v/>
      </c>
      <c r="M135" s="532">
        <f>[4]酒店主体!S135</f>
        <v>0</v>
      </c>
      <c r="N135" s="533">
        <f>[4]酒店主体!T135</f>
        <v>0</v>
      </c>
      <c r="O135" s="529" t="str">
        <f>[4]酒店主体!V135</f>
        <v/>
      </c>
      <c r="P135" s="530">
        <f>[4]酒店主体!W135</f>
        <v>0</v>
      </c>
      <c r="Q135" s="534" t="str">
        <f>[4]酒店主体!Y135</f>
        <v/>
      </c>
      <c r="R135" s="535">
        <f>[4]酒店主体!Z135</f>
        <v>0</v>
      </c>
      <c r="S135" s="536">
        <f>[4]酒店主体!AA135</f>
        <v>0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spans="1:41">
      <c r="G136" s="266"/>
      <c r="H136" s="84"/>
      <c r="I136" s="84"/>
      <c r="J136" s="84"/>
      <c r="K136" s="84"/>
      <c r="L136" s="84"/>
      <c r="M136" s="84"/>
      <c r="N136" s="305"/>
      <c r="O136" s="84"/>
      <c r="P136" s="84"/>
      <c r="Q136" s="84"/>
      <c r="R136" s="305"/>
      <c r="S136" s="84"/>
      <c r="T136" s="84"/>
      <c r="U136" s="305"/>
      <c r="V136" s="84"/>
      <c r="W136" s="306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spans="1:41">
      <c r="G137" s="266"/>
      <c r="H137" s="307"/>
      <c r="I137" s="84"/>
      <c r="J137" s="84"/>
      <c r="K137" s="84"/>
      <c r="L137" s="84"/>
      <c r="M137" s="84"/>
      <c r="N137" s="305"/>
      <c r="O137" s="84"/>
      <c r="P137" s="84"/>
      <c r="Q137" s="84"/>
      <c r="R137" s="305"/>
      <c r="S137" s="84"/>
      <c r="T137" s="84"/>
      <c r="U137" s="305"/>
      <c r="V137" s="84"/>
      <c r="W137" s="306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spans="1:41">
      <c r="G138" s="925" t="s">
        <v>450</v>
      </c>
      <c r="H138" s="948" t="s">
        <v>328</v>
      </c>
      <c r="I138" s="949"/>
      <c r="J138" s="949"/>
      <c r="K138" s="949"/>
      <c r="L138" s="950"/>
      <c r="M138" s="951" t="s">
        <v>451</v>
      </c>
      <c r="N138" s="952"/>
      <c r="O138" s="952"/>
      <c r="P138" s="952"/>
      <c r="Q138" s="953"/>
      <c r="R138" s="954" t="s">
        <v>330</v>
      </c>
      <c r="S138" s="955"/>
      <c r="T138" s="305"/>
      <c r="U138" s="84"/>
      <c r="V138" s="84"/>
      <c r="W138" s="84"/>
      <c r="X138" s="84"/>
      <c r="Y138" s="84"/>
      <c r="Z138" s="305"/>
      <c r="AA138" s="84"/>
      <c r="AB138" s="84"/>
      <c r="AC138" s="305"/>
      <c r="AD138" s="13"/>
      <c r="AE138" s="31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spans="1:41">
      <c r="G139" s="926"/>
      <c r="H139" s="308" t="s">
        <v>331</v>
      </c>
      <c r="I139" s="309" t="s">
        <v>249</v>
      </c>
      <c r="J139" s="309" t="s">
        <v>332</v>
      </c>
      <c r="K139" s="309" t="s">
        <v>270</v>
      </c>
      <c r="L139" s="310" t="s">
        <v>332</v>
      </c>
      <c r="M139" s="311" t="s">
        <v>331</v>
      </c>
      <c r="N139" s="311" t="s">
        <v>249</v>
      </c>
      <c r="O139" s="311" t="s">
        <v>332</v>
      </c>
      <c r="P139" s="311" t="s">
        <v>270</v>
      </c>
      <c r="Q139" s="312" t="s">
        <v>332</v>
      </c>
      <c r="R139" s="313" t="s">
        <v>245</v>
      </c>
      <c r="S139" s="314" t="s">
        <v>11</v>
      </c>
      <c r="T139" s="305"/>
      <c r="U139" s="84"/>
      <c r="V139" s="84"/>
      <c r="W139" s="84"/>
      <c r="X139" s="84"/>
      <c r="Y139" s="84"/>
      <c r="Z139" s="305"/>
      <c r="AA139" s="84"/>
      <c r="AB139" s="84"/>
      <c r="AC139" s="305"/>
      <c r="AD139" s="13"/>
      <c r="AE139" s="31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spans="1:41">
      <c r="G140" s="537" t="s">
        <v>452</v>
      </c>
      <c r="H140" s="538">
        <f>[4]酒店主体!J140</f>
        <v>-511557.42</v>
      </c>
      <c r="I140" s="539">
        <f>[4]酒店主体!K140</f>
        <v>-305136.23</v>
      </c>
      <c r="J140" s="540">
        <f>[4]酒店主体!M140</f>
        <v>-0.67648862935745102</v>
      </c>
      <c r="K140" s="539">
        <f>[4]酒店主体!N140</f>
        <v>-198516.10334999999</v>
      </c>
      <c r="L140" s="541">
        <f>[4]酒店主体!P140</f>
        <v>-1.57690641397531</v>
      </c>
      <c r="M140" s="539">
        <f>[4]酒店主体!S140</f>
        <v>-511557.42</v>
      </c>
      <c r="N140" s="539">
        <f>[4]酒店主体!T140</f>
        <v>-305136.23</v>
      </c>
      <c r="O140" s="540">
        <f>[4]酒店主体!V140</f>
        <v>-0.67648862935745102</v>
      </c>
      <c r="P140" s="539">
        <f>[4]酒店主体!W140</f>
        <v>-198516.10334999999</v>
      </c>
      <c r="Q140" s="541">
        <f>[4]酒店主体!Y140</f>
        <v>-1.57690641397531</v>
      </c>
      <c r="R140" s="538">
        <f>[4]酒店主体!Z140</f>
        <v>-1544772.36</v>
      </c>
      <c r="S140" s="542">
        <f>[4]酒店主体!AA140</f>
        <v>1.66884608163238</v>
      </c>
      <c r="T140" s="305"/>
      <c r="U140" s="84"/>
      <c r="V140" s="84"/>
      <c r="W140" s="84"/>
      <c r="X140" s="84"/>
      <c r="Y140" s="84"/>
      <c r="Z140" s="305"/>
      <c r="AA140" s="84"/>
      <c r="AB140" s="84"/>
      <c r="AC140" s="305"/>
      <c r="AD140" s="13"/>
      <c r="AE140" s="31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spans="1:41">
      <c r="E141" s="315" t="s">
        <v>453</v>
      </c>
      <c r="G141" s="316" t="s">
        <v>454</v>
      </c>
      <c r="H141" s="108">
        <f>[4]酒店主体!J141</f>
        <v>0</v>
      </c>
      <c r="I141" s="52">
        <f>[4]酒店主体!K141</f>
        <v>0</v>
      </c>
      <c r="J141" s="317" t="str">
        <f>[4]酒店主体!M141</f>
        <v/>
      </c>
      <c r="K141" s="52">
        <f>[4]酒店主体!N141</f>
        <v>0</v>
      </c>
      <c r="L141" s="318" t="str">
        <f>[4]酒店主体!P141</f>
        <v/>
      </c>
      <c r="M141" s="52">
        <f>[4]酒店主体!S141</f>
        <v>0</v>
      </c>
      <c r="N141" s="52">
        <f>[4]酒店主体!T141</f>
        <v>0</v>
      </c>
      <c r="O141" s="317" t="str">
        <f>[4]酒店主体!V141</f>
        <v/>
      </c>
      <c r="P141" s="52">
        <f>[4]酒店主体!W141</f>
        <v>0</v>
      </c>
      <c r="Q141" s="318" t="str">
        <f>[4]酒店主体!Y141</f>
        <v/>
      </c>
      <c r="R141" s="108">
        <f>[4]酒店主体!Z141</f>
        <v>0</v>
      </c>
      <c r="S141" s="318" t="str">
        <f>[4]酒店主体!AA141</f>
        <v/>
      </c>
      <c r="T141" s="305"/>
      <c r="U141" s="84"/>
      <c r="V141" s="84"/>
      <c r="W141" s="84"/>
      <c r="X141" s="84"/>
      <c r="Y141" s="84"/>
      <c r="Z141" s="305"/>
      <c r="AA141" s="84"/>
      <c r="AB141" s="84"/>
      <c r="AC141" s="305"/>
      <c r="AD141" s="13"/>
      <c r="AE141" s="31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spans="1:41">
      <c r="E142" s="315" t="s">
        <v>453</v>
      </c>
      <c r="G142" s="316" t="s">
        <v>455</v>
      </c>
      <c r="H142" s="108">
        <f>[4]酒店主体!J142</f>
        <v>146702.15</v>
      </c>
      <c r="I142" s="52">
        <f>[4]酒店主体!K142</f>
        <v>168938.87</v>
      </c>
      <c r="J142" s="317">
        <f>[4]酒店主体!M142</f>
        <v>-0.131625836019857</v>
      </c>
      <c r="K142" s="52">
        <f>[4]酒店主体!N142</f>
        <v>166111.63</v>
      </c>
      <c r="L142" s="318">
        <f>[4]酒店主体!P142</f>
        <v>-0.116846002895764</v>
      </c>
      <c r="M142" s="52">
        <f>[4]酒店主体!S142</f>
        <v>146702.15</v>
      </c>
      <c r="N142" s="52">
        <f>[4]酒店主体!T142</f>
        <v>168938.87</v>
      </c>
      <c r="O142" s="317">
        <f>[4]酒店主体!V142</f>
        <v>-0.131625836019857</v>
      </c>
      <c r="P142" s="52">
        <f>[4]酒店主体!W142</f>
        <v>166111.63</v>
      </c>
      <c r="Q142" s="318">
        <f>[4]酒店主体!Y142</f>
        <v>-0.116846002895764</v>
      </c>
      <c r="R142" s="108">
        <f>[4]酒店主体!Z142</f>
        <v>2136515.11</v>
      </c>
      <c r="S142" s="318">
        <f>[4]酒店主体!AA142</f>
        <v>6.86642230206366E-2</v>
      </c>
      <c r="T142" s="305"/>
      <c r="U142" s="84"/>
      <c r="V142" s="84"/>
      <c r="W142" s="84"/>
      <c r="X142" s="84"/>
      <c r="Y142" s="84"/>
      <c r="Z142" s="305"/>
      <c r="AA142" s="84"/>
      <c r="AB142" s="84"/>
      <c r="AC142" s="305"/>
      <c r="AD142" s="13"/>
      <c r="AE142" s="31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spans="1:41">
      <c r="E143" s="315" t="s">
        <v>453</v>
      </c>
      <c r="G143" s="316" t="s">
        <v>456</v>
      </c>
      <c r="H143" s="108">
        <f>[4]酒店主体!J143</f>
        <v>0</v>
      </c>
      <c r="I143" s="52">
        <f>[4]酒店主体!K143</f>
        <v>0</v>
      </c>
      <c r="J143" s="317" t="str">
        <f>[4]酒店主体!M143</f>
        <v/>
      </c>
      <c r="K143" s="52">
        <f>[4]酒店主体!N143</f>
        <v>30026.003349999999</v>
      </c>
      <c r="L143" s="318">
        <f>[4]酒店主体!P143</f>
        <v>-1</v>
      </c>
      <c r="M143" s="52">
        <f>[4]酒店主体!S143</f>
        <v>0</v>
      </c>
      <c r="N143" s="52">
        <f>[4]酒店主体!T143</f>
        <v>0</v>
      </c>
      <c r="O143" s="317" t="str">
        <f>[4]酒店主体!V143</f>
        <v/>
      </c>
      <c r="P143" s="52">
        <f>[4]酒店主体!W143</f>
        <v>30026.003349999999</v>
      </c>
      <c r="Q143" s="318">
        <f>[4]酒店主体!Y143</f>
        <v>-1</v>
      </c>
      <c r="R143" s="108">
        <f>[4]酒店主体!Z143</f>
        <v>0</v>
      </c>
      <c r="S143" s="318" t="str">
        <f>[4]酒店主体!AA143</f>
        <v/>
      </c>
      <c r="T143" s="305"/>
      <c r="U143" s="84"/>
      <c r="V143" s="84"/>
      <c r="W143" s="84"/>
      <c r="X143" s="84"/>
      <c r="Y143" s="84"/>
      <c r="Z143" s="305"/>
      <c r="AA143" s="84"/>
      <c r="AB143" s="84"/>
      <c r="AC143" s="305"/>
      <c r="AD143" s="13"/>
      <c r="AE143" s="31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spans="1:41">
      <c r="E144" s="315" t="s">
        <v>457</v>
      </c>
      <c r="G144" s="316" t="s">
        <v>458</v>
      </c>
      <c r="H144" s="108">
        <f>[4]酒店主体!J144</f>
        <v>0</v>
      </c>
      <c r="I144" s="52">
        <f>[4]酒店主体!K144</f>
        <v>0</v>
      </c>
      <c r="J144" s="317" t="str">
        <f>[4]酒店主体!M144</f>
        <v/>
      </c>
      <c r="K144" s="52">
        <f>[4]酒店主体!N144</f>
        <v>1454.95</v>
      </c>
      <c r="L144" s="318">
        <f>[4]酒店主体!P144</f>
        <v>-1</v>
      </c>
      <c r="M144" s="52">
        <f>[4]酒店主体!S144</f>
        <v>0</v>
      </c>
      <c r="N144" s="52">
        <f>[4]酒店主体!T144</f>
        <v>0</v>
      </c>
      <c r="O144" s="317" t="str">
        <f>[4]酒店主体!V144</f>
        <v/>
      </c>
      <c r="P144" s="52">
        <f>[4]酒店主体!W144</f>
        <v>1454.95</v>
      </c>
      <c r="Q144" s="318">
        <f>[4]酒店主体!Y144</f>
        <v>-1</v>
      </c>
      <c r="R144" s="108">
        <f>[4]酒店主体!Z144</f>
        <v>0</v>
      </c>
      <c r="S144" s="318" t="str">
        <f>[4]酒店主体!AA144</f>
        <v/>
      </c>
      <c r="T144" s="305"/>
      <c r="U144" s="84"/>
      <c r="V144" s="84"/>
      <c r="W144" s="84"/>
      <c r="X144" s="84"/>
      <c r="Y144" s="84"/>
      <c r="Z144" s="305"/>
      <c r="AA144" s="84"/>
      <c r="AB144" s="84"/>
      <c r="AC144" s="305"/>
      <c r="AD144" s="13"/>
      <c r="AE144" s="31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spans="1:45">
      <c r="E145" s="315" t="s">
        <v>457</v>
      </c>
      <c r="G145" s="316" t="s">
        <v>459</v>
      </c>
      <c r="H145" s="108">
        <f>[4]酒店主体!J145</f>
        <v>236.25</v>
      </c>
      <c r="I145" s="52">
        <f>[4]酒店主体!K145</f>
        <v>0</v>
      </c>
      <c r="J145" s="317" t="str">
        <f>[4]酒店主体!M145</f>
        <v/>
      </c>
      <c r="K145" s="52">
        <f>[4]酒店主体!N145</f>
        <v>4.72</v>
      </c>
      <c r="L145" s="318">
        <f>[4]酒店主体!P145</f>
        <v>49.052966101694899</v>
      </c>
      <c r="M145" s="52">
        <f>[4]酒店主体!S145</f>
        <v>236.25</v>
      </c>
      <c r="N145" s="52">
        <f>[4]酒店主体!T145</f>
        <v>0</v>
      </c>
      <c r="O145" s="317" t="str">
        <f>[4]酒店主体!V145</f>
        <v/>
      </c>
      <c r="P145" s="52">
        <f>[4]酒店主体!W145</f>
        <v>4.72</v>
      </c>
      <c r="Q145" s="318">
        <f>[4]酒店主体!Y145</f>
        <v>49.052966101694899</v>
      </c>
      <c r="R145" s="108">
        <f>[4]酒店主体!Z145</f>
        <v>0</v>
      </c>
      <c r="S145" s="318" t="str">
        <f>[4]酒店主体!AA145</f>
        <v/>
      </c>
      <c r="T145" s="305"/>
      <c r="U145" s="84"/>
      <c r="V145" s="84"/>
      <c r="W145" s="84"/>
      <c r="X145" s="84"/>
      <c r="Y145" s="84"/>
      <c r="Z145" s="305"/>
      <c r="AA145" s="84"/>
      <c r="AB145" s="84"/>
      <c r="AC145" s="305"/>
      <c r="AD145" s="13"/>
      <c r="AE145" s="31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spans="1:45">
      <c r="E146" s="315" t="s">
        <v>453</v>
      </c>
      <c r="G146" s="316" t="s">
        <v>460</v>
      </c>
      <c r="H146" s="108">
        <f>[4]酒店主体!J146</f>
        <v>41370.93</v>
      </c>
      <c r="I146" s="52">
        <f>[4]酒店主体!K146</f>
        <v>40658.699999999997</v>
      </c>
      <c r="J146" s="317">
        <f>[4]酒店主体!M146</f>
        <v>1.75172841236933E-2</v>
      </c>
      <c r="K146" s="52">
        <f>[4]酒店主体!N146</f>
        <v>48322.17</v>
      </c>
      <c r="L146" s="318">
        <f>[4]酒店主体!P146</f>
        <v>-0.14385198346845701</v>
      </c>
      <c r="M146" s="52">
        <f>[4]酒店主体!S146</f>
        <v>41370.93</v>
      </c>
      <c r="N146" s="52">
        <f>[4]酒店主体!T146</f>
        <v>40658.699999999997</v>
      </c>
      <c r="O146" s="317">
        <f>[4]酒店主体!V146</f>
        <v>1.75172841236933E-2</v>
      </c>
      <c r="P146" s="52">
        <f>[4]酒店主体!W146</f>
        <v>48322.17</v>
      </c>
      <c r="Q146" s="318">
        <f>[4]酒店主体!Y146</f>
        <v>-0.14385198346845701</v>
      </c>
      <c r="R146" s="108">
        <f>[4]酒店主体!Z146</f>
        <v>487904.68</v>
      </c>
      <c r="S146" s="318">
        <f>[4]酒店主体!AA146</f>
        <v>8.4793058349020206E-2</v>
      </c>
      <c r="T146" s="305"/>
      <c r="U146" s="84"/>
      <c r="V146" s="84"/>
      <c r="W146" s="84"/>
      <c r="X146" s="84"/>
      <c r="Y146" s="84"/>
      <c r="Z146" s="305"/>
      <c r="AA146" s="84"/>
      <c r="AB146" s="84"/>
      <c r="AC146" s="305"/>
      <c r="AD146" s="13"/>
      <c r="AE146" s="31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spans="1:45">
      <c r="E147" s="315" t="s">
        <v>461</v>
      </c>
      <c r="G147" s="316" t="s">
        <v>462</v>
      </c>
      <c r="H147" s="108">
        <f>[4]酒店主体!J147</f>
        <v>0</v>
      </c>
      <c r="I147" s="52">
        <f>[4]酒店主体!K147</f>
        <v>0</v>
      </c>
      <c r="J147" s="317" t="str">
        <f>[4]酒店主体!M147</f>
        <v/>
      </c>
      <c r="K147" s="52">
        <f>[4]酒店主体!N147</f>
        <v>0</v>
      </c>
      <c r="L147" s="318" t="str">
        <f>[4]酒店主体!P147</f>
        <v/>
      </c>
      <c r="M147" s="52">
        <f>[4]酒店主体!S147</f>
        <v>0</v>
      </c>
      <c r="N147" s="52">
        <f>[4]酒店主体!T147</f>
        <v>0</v>
      </c>
      <c r="O147" s="317" t="str">
        <f>[4]酒店主体!V147</f>
        <v/>
      </c>
      <c r="P147" s="52">
        <f>[4]酒店主体!W147</f>
        <v>0</v>
      </c>
      <c r="Q147" s="318" t="str">
        <f>[4]酒店主体!Y147</f>
        <v/>
      </c>
      <c r="R147" s="108">
        <f>[4]酒店主体!Z147</f>
        <v>0</v>
      </c>
      <c r="S147" s="318" t="str">
        <f>[4]酒店主体!AA147</f>
        <v/>
      </c>
      <c r="T147" s="305"/>
      <c r="U147" s="84"/>
      <c r="V147" s="84"/>
      <c r="W147" s="84"/>
      <c r="X147" s="84"/>
      <c r="Y147" s="84"/>
      <c r="Z147" s="305"/>
      <c r="AA147" s="84"/>
      <c r="AB147" s="84"/>
      <c r="AC147" s="305"/>
      <c r="AD147" s="13"/>
      <c r="AE147" s="31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spans="1:45">
      <c r="G148" s="543" t="s">
        <v>463</v>
      </c>
      <c r="H148" s="544">
        <f>[4]酒店主体!J148</f>
        <v>-406462.45</v>
      </c>
      <c r="I148" s="545">
        <f>[4]酒店主体!K148</f>
        <v>-176856.06</v>
      </c>
      <c r="J148" s="546">
        <f>[4]酒店主体!M148</f>
        <v>-1.2982670200840201</v>
      </c>
      <c r="K148" s="545">
        <f>[4]酒店主体!N148</f>
        <v>-49250.409999999902</v>
      </c>
      <c r="L148" s="547">
        <f>[4]酒店主体!P148</f>
        <v>-7.2529759650732002</v>
      </c>
      <c r="M148" s="545">
        <f>[4]酒店主体!S148</f>
        <v>-406462.45</v>
      </c>
      <c r="N148" s="545">
        <f>[4]酒店主体!T148</f>
        <v>-176856.06</v>
      </c>
      <c r="O148" s="546">
        <f>[4]酒店主体!V148</f>
        <v>-1.2982670200840201</v>
      </c>
      <c r="P148" s="545">
        <f>[4]酒店主体!W148</f>
        <v>-49250.409999999902</v>
      </c>
      <c r="Q148" s="547">
        <f>[4]酒店主体!Y148</f>
        <v>-7.2529759650732002</v>
      </c>
      <c r="R148" s="544">
        <f>[4]酒店主体!Z148</f>
        <v>103838.07</v>
      </c>
      <c r="S148" s="547">
        <f>[4]酒店主体!AA148</f>
        <v>-3.9143875651771798</v>
      </c>
      <c r="T148" s="305"/>
      <c r="U148" s="84"/>
      <c r="V148" s="84"/>
      <c r="W148" s="84"/>
      <c r="X148" s="84"/>
      <c r="Y148" s="84"/>
      <c r="Z148" s="305"/>
      <c r="AA148" s="84"/>
      <c r="AB148" s="84"/>
      <c r="AC148" s="305"/>
      <c r="AD148" s="13"/>
      <c r="AE148" s="31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spans="1:45">
      <c r="G149" s="266"/>
      <c r="H149" s="84"/>
      <c r="I149" s="84"/>
      <c r="J149" s="84"/>
      <c r="K149" s="84"/>
      <c r="L149" s="84"/>
      <c r="M149" s="305"/>
      <c r="N149" s="84"/>
      <c r="O149" s="84"/>
      <c r="P149" s="305"/>
      <c r="Q149" s="84"/>
      <c r="R149" s="84"/>
      <c r="S149" s="84"/>
      <c r="T149" s="84"/>
      <c r="U149" s="84"/>
      <c r="V149" s="305"/>
      <c r="W149" s="84"/>
      <c r="X149" s="84"/>
      <c r="Y149" s="305"/>
      <c r="Z149" s="13"/>
      <c r="AA149" s="31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</row>
    <row r="150" spans="1:45">
      <c r="G150" s="266"/>
      <c r="H150" s="84"/>
      <c r="I150" s="84"/>
      <c r="J150" s="84"/>
      <c r="K150" s="84"/>
      <c r="L150" s="84"/>
      <c r="M150" s="305"/>
      <c r="N150" s="84"/>
      <c r="O150" s="84"/>
      <c r="P150" s="305"/>
      <c r="Q150" s="84"/>
      <c r="R150" s="84"/>
      <c r="S150" s="84"/>
      <c r="T150" s="84"/>
      <c r="U150" s="84"/>
      <c r="V150" s="305"/>
      <c r="W150" s="84"/>
      <c r="X150" s="84"/>
      <c r="Y150" s="305"/>
      <c r="Z150" s="13"/>
      <c r="AA150" s="31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spans="1:45">
      <c r="G151" s="925" t="s">
        <v>464</v>
      </c>
      <c r="H151" s="928" t="s">
        <v>465</v>
      </c>
      <c r="I151" s="932" t="s">
        <v>328</v>
      </c>
      <c r="J151" s="933"/>
      <c r="K151" s="934" t="s">
        <v>329</v>
      </c>
      <c r="L151" s="935"/>
      <c r="M151" s="930" t="s">
        <v>466</v>
      </c>
      <c r="N151" s="84"/>
      <c r="O151" s="84"/>
      <c r="P151" s="305"/>
      <c r="Q151" s="84"/>
      <c r="R151" s="84"/>
      <c r="S151" s="84"/>
      <c r="T151" s="84"/>
      <c r="U151" s="84"/>
      <c r="V151" s="305"/>
      <c r="W151" s="84"/>
      <c r="X151" s="84"/>
      <c r="Y151" s="305"/>
      <c r="Z151" s="13"/>
      <c r="AA151" s="31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spans="1:45" ht="15.65" customHeight="1">
      <c r="G152" s="926"/>
      <c r="H152" s="929"/>
      <c r="I152" s="309" t="s">
        <v>467</v>
      </c>
      <c r="J152" s="309" t="s">
        <v>468</v>
      </c>
      <c r="K152" s="311" t="s">
        <v>469</v>
      </c>
      <c r="L152" s="311" t="s">
        <v>470</v>
      </c>
      <c r="M152" s="931"/>
      <c r="N152" s="84"/>
      <c r="O152" s="84"/>
      <c r="P152" s="305"/>
      <c r="Q152" s="84"/>
      <c r="R152" s="84"/>
      <c r="S152" s="84"/>
      <c r="T152" s="84"/>
      <c r="U152" s="84"/>
      <c r="V152" s="305"/>
      <c r="W152" s="84"/>
      <c r="X152" s="84"/>
      <c r="Y152" s="305"/>
      <c r="Z152" s="13"/>
      <c r="AA152" s="31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</row>
    <row r="153" spans="1:45">
      <c r="G153" s="319" t="s">
        <v>354</v>
      </c>
      <c r="H153" s="320">
        <f>[4]酒店主体!H153</f>
        <v>0</v>
      </c>
      <c r="I153" s="321">
        <f>[4]酒店主体!I153</f>
        <v>0</v>
      </c>
      <c r="J153" s="322">
        <f>[4]酒店主体!J153</f>
        <v>0</v>
      </c>
      <c r="K153" s="321">
        <f>[4]酒店主体!K153</f>
        <v>0</v>
      </c>
      <c r="L153" s="321">
        <f>[4]酒店主体!L153</f>
        <v>0</v>
      </c>
      <c r="M153" s="322">
        <f>[4]酒店主体!M153</f>
        <v>0</v>
      </c>
      <c r="N153" s="84"/>
      <c r="O153" s="84"/>
      <c r="P153" s="305"/>
      <c r="Q153" s="84"/>
      <c r="R153" s="84"/>
      <c r="S153" s="84"/>
      <c r="T153" s="84"/>
      <c r="U153" s="84"/>
      <c r="V153" s="305"/>
      <c r="W153" s="84"/>
      <c r="X153" s="84"/>
      <c r="Y153" s="305"/>
      <c r="Z153" s="13"/>
      <c r="AA153" s="31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spans="1:45">
      <c r="G154" s="266"/>
      <c r="H154" s="84"/>
      <c r="I154" s="84"/>
      <c r="J154" s="84"/>
      <c r="K154" s="84"/>
      <c r="L154" s="84"/>
      <c r="M154" s="305"/>
      <c r="N154" s="84"/>
      <c r="O154" s="84"/>
      <c r="P154" s="305"/>
      <c r="Q154" s="84"/>
      <c r="R154" s="84"/>
      <c r="S154" s="84"/>
      <c r="T154" s="84"/>
      <c r="U154" s="84"/>
      <c r="V154" s="305"/>
      <c r="W154" s="84"/>
      <c r="X154" s="84"/>
      <c r="Y154" s="305"/>
      <c r="Z154" s="84"/>
      <c r="AA154" s="306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spans="1:45">
      <c r="G155" s="266"/>
      <c r="H155" s="84"/>
      <c r="I155" s="84"/>
      <c r="J155" s="84"/>
      <c r="K155" s="84"/>
      <c r="L155" s="84"/>
      <c r="M155" s="305"/>
      <c r="N155" s="84"/>
      <c r="O155" s="84"/>
      <c r="P155" s="305"/>
      <c r="Q155" s="84"/>
      <c r="R155" s="84"/>
      <c r="S155" s="84"/>
      <c r="T155" s="84"/>
      <c r="U155" s="84"/>
      <c r="V155" s="305"/>
      <c r="W155" s="84"/>
      <c r="X155" s="84"/>
      <c r="Y155" s="305"/>
      <c r="Z155" s="84"/>
      <c r="AA155" s="306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spans="1:45" ht="17.149999999999999">
      <c r="G156" s="925" t="s">
        <v>471</v>
      </c>
      <c r="H156" s="936" t="s">
        <v>2</v>
      </c>
      <c r="I156" s="937"/>
      <c r="J156" s="937"/>
      <c r="K156" s="937"/>
      <c r="L156" s="937"/>
      <c r="M156" s="938" t="s">
        <v>210</v>
      </c>
      <c r="N156" s="939"/>
      <c r="O156" s="939"/>
      <c r="P156" s="939"/>
      <c r="Q156" s="939"/>
      <c r="R156" s="936" t="s">
        <v>241</v>
      </c>
      <c r="S156" s="937"/>
      <c r="T156" s="937"/>
      <c r="U156" s="937"/>
      <c r="V156" s="937"/>
      <c r="W156" s="914" t="s">
        <v>5</v>
      </c>
      <c r="X156" s="915"/>
      <c r="Y156" s="916" t="s">
        <v>6</v>
      </c>
      <c r="Z156" s="916"/>
      <c r="AA156" s="916"/>
      <c r="AB156" s="916"/>
      <c r="AC156" s="916"/>
      <c r="AD156" s="917" t="s">
        <v>7</v>
      </c>
      <c r="AE156" s="918"/>
      <c r="AF156" s="919"/>
      <c r="AG156" s="920" t="s">
        <v>8</v>
      </c>
      <c r="AH156" s="921"/>
      <c r="AI156" s="921"/>
      <c r="AJ156" s="922"/>
      <c r="AK156" s="323" t="s">
        <v>472</v>
      </c>
      <c r="AL156" s="13"/>
      <c r="AM156" s="13"/>
      <c r="AN156" s="13"/>
      <c r="AO156" s="13"/>
      <c r="AP156" s="13"/>
      <c r="AQ156" s="13"/>
      <c r="AR156" s="13"/>
      <c r="AS156" s="13"/>
    </row>
    <row r="157" spans="1:45" ht="29.15">
      <c r="G157" s="927"/>
      <c r="H157" s="324" t="s">
        <v>9</v>
      </c>
      <c r="I157" s="324" t="s">
        <v>10</v>
      </c>
      <c r="J157" s="325" t="s">
        <v>11</v>
      </c>
      <c r="K157" s="324" t="s">
        <v>12</v>
      </c>
      <c r="L157" s="326" t="s">
        <v>13</v>
      </c>
      <c r="M157" s="327" t="s">
        <v>9</v>
      </c>
      <c r="N157" s="327" t="s">
        <v>10</v>
      </c>
      <c r="O157" s="328" t="s">
        <v>11</v>
      </c>
      <c r="P157" s="327" t="s">
        <v>12</v>
      </c>
      <c r="Q157" s="329" t="s">
        <v>13</v>
      </c>
      <c r="R157" s="324" t="s">
        <v>9</v>
      </c>
      <c r="S157" s="324" t="s">
        <v>10</v>
      </c>
      <c r="T157" s="325" t="s">
        <v>11</v>
      </c>
      <c r="U157" s="324" t="s">
        <v>12</v>
      </c>
      <c r="V157" s="326" t="s">
        <v>13</v>
      </c>
      <c r="W157" s="327" t="s">
        <v>226</v>
      </c>
      <c r="X157" s="327" t="s">
        <v>15</v>
      </c>
      <c r="Y157" s="324" t="s">
        <v>16</v>
      </c>
      <c r="Z157" s="324" t="s">
        <v>227</v>
      </c>
      <c r="AA157" s="330" t="s">
        <v>228</v>
      </c>
      <c r="AB157" s="324" t="s">
        <v>226</v>
      </c>
      <c r="AC157" s="324" t="s">
        <v>19</v>
      </c>
      <c r="AD157" s="327" t="s">
        <v>20</v>
      </c>
      <c r="AE157" s="327" t="s">
        <v>226</v>
      </c>
      <c r="AF157" s="327" t="s">
        <v>21</v>
      </c>
      <c r="AG157" s="324" t="s">
        <v>22</v>
      </c>
      <c r="AH157" s="324" t="s">
        <v>226</v>
      </c>
      <c r="AI157" s="324" t="s">
        <v>23</v>
      </c>
      <c r="AJ157" s="331" t="s">
        <v>24</v>
      </c>
      <c r="AK157" s="332" t="s">
        <v>9</v>
      </c>
      <c r="AL157" s="13"/>
      <c r="AM157" s="13"/>
      <c r="AN157" s="13"/>
      <c r="AO157" s="13"/>
      <c r="AP157" s="13"/>
      <c r="AQ157" s="13"/>
      <c r="AR157" s="13"/>
      <c r="AS157" s="13"/>
    </row>
    <row r="158" spans="1:45">
      <c r="G158" s="333" t="str">
        <f>H2</f>
        <v>2026年1月</v>
      </c>
      <c r="H158" s="334">
        <f>[4]酒店主体!H158</f>
        <v>129030.87</v>
      </c>
      <c r="I158" s="334">
        <f>[4]酒店主体!I158</f>
        <v>631295.71</v>
      </c>
      <c r="J158" s="335">
        <f>[4]酒店主体!J158</f>
        <v>0.20439053831048501</v>
      </c>
      <c r="K158" s="334">
        <f>[4]酒店主体!K158</f>
        <v>808427.54</v>
      </c>
      <c r="L158" s="335">
        <f>[4]酒店主体!L158</f>
        <v>-0.84039278275947904</v>
      </c>
      <c r="M158" s="334">
        <f>[4]酒店主体!M158</f>
        <v>-361955.44</v>
      </c>
      <c r="N158" s="334">
        <f>[4]酒店主体!N158</f>
        <v>-126727.92</v>
      </c>
      <c r="O158" s="335">
        <f>[4]酒店主体!O158</f>
        <v>-0.85616176766730001</v>
      </c>
      <c r="P158" s="334">
        <f>[4]酒店主体!P158</f>
        <v>23988.070000000102</v>
      </c>
      <c r="Q158" s="335">
        <f>[4]酒店主体!Q158</f>
        <v>-16.088977145722801</v>
      </c>
      <c r="R158" s="334">
        <f>[4]酒店主体!R158</f>
        <v>-406462.45</v>
      </c>
      <c r="S158" s="334">
        <f>[4]酒店主体!S158</f>
        <v>-176856.06</v>
      </c>
      <c r="T158" s="335">
        <f>[4]酒店主体!T158</f>
        <v>-0.29826702008401601</v>
      </c>
      <c r="U158" s="334">
        <f>[4]酒店主体!U158</f>
        <v>-49250.409999999902</v>
      </c>
      <c r="V158" s="336">
        <f>[4]酒店主体!V158</f>
        <v>-7.2529759650732002</v>
      </c>
      <c r="W158" s="334">
        <f>[4]酒店主体!W158</f>
        <v>0.51806265066897195</v>
      </c>
      <c r="X158" s="336">
        <f>[4]酒店主体!X158</f>
        <v>-2.8051848367758798</v>
      </c>
      <c r="Y158" s="336">
        <f>[4]酒店主体!Y158</f>
        <v>3.2112757919209499E-2</v>
      </c>
      <c r="Z158" s="337">
        <f>[4]酒店主体!Z158</f>
        <v>165.84337858220201</v>
      </c>
      <c r="AA158" s="337">
        <f>[4]酒店主体!AA158</f>
        <v>5.3256882689140799</v>
      </c>
      <c r="AB158" s="338">
        <f>[4]酒店主体!AB158</f>
        <v>0.81298808872838801</v>
      </c>
      <c r="AC158" s="336">
        <f>[4]酒店主体!AC158</f>
        <v>-0.59771863062783703</v>
      </c>
      <c r="AD158" s="336">
        <f>[4]酒店主体!AD158</f>
        <v>0.47804757233193801</v>
      </c>
      <c r="AE158" s="338">
        <f>[4]酒店主体!AE158</f>
        <v>0.98638897028471095</v>
      </c>
      <c r="AF158" s="336">
        <f>[4]酒店主体!AF158</f>
        <v>-0.59752879962580197</v>
      </c>
      <c r="AG158" s="336">
        <f>[4]酒店主体!AG158</f>
        <v>1.06594933444997</v>
      </c>
      <c r="AH158" s="338">
        <f>[4]酒店主体!AH158</f>
        <v>1.1984063893771899</v>
      </c>
      <c r="AI158" s="339">
        <f>[4]酒店主体!AI158</f>
        <v>1.6072897904199201E-3</v>
      </c>
      <c r="AJ158" s="340">
        <f>[4]酒店主体!AJ158</f>
        <v>2.2241328761094099</v>
      </c>
      <c r="AK158" s="341">
        <f>[4]酒店主体!AK158</f>
        <v>0</v>
      </c>
      <c r="AL158" s="13"/>
      <c r="AM158" s="13"/>
      <c r="AN158" s="13"/>
      <c r="AO158" s="13"/>
      <c r="AP158" s="13"/>
      <c r="AQ158" s="13"/>
      <c r="AR158" s="13"/>
      <c r="AS158" s="13"/>
    </row>
    <row r="159" spans="1:45">
      <c r="G159" s="342" t="s">
        <v>473</v>
      </c>
      <c r="H159" s="343">
        <f>[4]酒店主体!H159</f>
        <v>129030.87</v>
      </c>
      <c r="I159" s="343">
        <f>[4]酒店主体!I159</f>
        <v>631295.71</v>
      </c>
      <c r="J159" s="344">
        <f>[4]酒店主体!J159</f>
        <v>0.20439053831048501</v>
      </c>
      <c r="K159" s="343">
        <f>[4]酒店主体!K159</f>
        <v>808427.54</v>
      </c>
      <c r="L159" s="344">
        <f>[4]酒店主体!L159</f>
        <v>-0.84039278275947904</v>
      </c>
      <c r="M159" s="343">
        <f>[4]酒店主体!M159</f>
        <v>-361955.44</v>
      </c>
      <c r="N159" s="343">
        <f>[4]酒店主体!N159</f>
        <v>-126727.92</v>
      </c>
      <c r="O159" s="344">
        <f>[4]酒店主体!O159</f>
        <v>-0.85616176766730001</v>
      </c>
      <c r="P159" s="343">
        <f>[4]酒店主体!P159</f>
        <v>23988.070000000102</v>
      </c>
      <c r="Q159" s="344">
        <f>[4]酒店主体!Q159</f>
        <v>-16.088977145722801</v>
      </c>
      <c r="R159" s="343">
        <f>[4]酒店主体!R159</f>
        <v>-406462.45</v>
      </c>
      <c r="S159" s="343">
        <f>[4]酒店主体!S159</f>
        <v>-176856.06</v>
      </c>
      <c r="T159" s="344">
        <f>[4]酒店主体!T159</f>
        <v>-0.29826702008401601</v>
      </c>
      <c r="U159" s="343">
        <f>[4]酒店主体!U159</f>
        <v>-49250.409999999902</v>
      </c>
      <c r="V159" s="345">
        <f>[4]酒店主体!V159</f>
        <v>-7.2529759650732002</v>
      </c>
      <c r="W159" s="343">
        <f>[4]酒店主体!W159</f>
        <v>0.51806265066897195</v>
      </c>
      <c r="X159" s="345">
        <f>[4]酒店主体!X159</f>
        <v>-2.8051848367758798</v>
      </c>
      <c r="Y159" s="345">
        <f>[4]酒店主体!Y159</f>
        <v>3.2112757919209499E-2</v>
      </c>
      <c r="Z159" s="343">
        <f>[4]酒店主体!Z159</f>
        <v>165.84337858220201</v>
      </c>
      <c r="AA159" s="346">
        <f>[4]酒店主体!AA159</f>
        <v>5.3256882689140799</v>
      </c>
      <c r="AB159" s="347">
        <f>[4]酒店主体!AB159</f>
        <v>0.81298808872838801</v>
      </c>
      <c r="AC159" s="348">
        <f>[4]酒店主体!AC159</f>
        <v>-0.59771863062783703</v>
      </c>
      <c r="AD159" s="348">
        <f>[4]酒店主体!AD159</f>
        <v>0.47804757233193801</v>
      </c>
      <c r="AE159" s="347">
        <f>[4]酒店主体!AE159</f>
        <v>0.98638897028471095</v>
      </c>
      <c r="AF159" s="348">
        <f>[4]酒店主体!AF159</f>
        <v>-0.59752879962580197</v>
      </c>
      <c r="AG159" s="348">
        <f>[4]酒店主体!AG159</f>
        <v>1.06594933444997</v>
      </c>
      <c r="AH159" s="347">
        <f>[4]酒店主体!AH159</f>
        <v>1.1984063893771899</v>
      </c>
      <c r="AI159" s="348">
        <f>[4]酒店主体!AI159</f>
        <v>1.6072897904199201E-3</v>
      </c>
      <c r="AJ159" s="349">
        <f>[4]酒店主体!AJ159</f>
        <v>2.2241328761094099</v>
      </c>
      <c r="AK159" s="350">
        <f>[4]酒店主体!AK159</f>
        <v>0</v>
      </c>
      <c r="AL159" s="13"/>
      <c r="AM159" s="13"/>
      <c r="AN159" s="13"/>
      <c r="AO159" s="13"/>
      <c r="AP159" s="13"/>
      <c r="AQ159" s="13"/>
      <c r="AR159" s="13"/>
      <c r="AS159" s="13"/>
    </row>
    <row r="160" spans="1:45" s="13" customFormat="1">
      <c r="A160" s="14"/>
      <c r="B160" s="14"/>
      <c r="C160" s="14"/>
      <c r="D160" s="14"/>
      <c r="E160" s="15"/>
      <c r="F160" s="16"/>
      <c r="G160" s="266"/>
      <c r="H160" s="84"/>
      <c r="I160" s="84"/>
      <c r="J160" s="84"/>
      <c r="K160" s="84"/>
      <c r="L160" s="84"/>
      <c r="M160" s="305"/>
      <c r="N160" s="84"/>
      <c r="O160" s="84"/>
      <c r="P160" s="305"/>
      <c r="Q160" s="84"/>
      <c r="R160" s="84"/>
      <c r="S160" s="84"/>
      <c r="T160" s="84"/>
      <c r="U160" s="84"/>
      <c r="V160" s="305"/>
      <c r="W160" s="84"/>
      <c r="X160" s="84"/>
      <c r="Y160" s="305"/>
      <c r="Z160" s="84"/>
      <c r="AA160" s="306"/>
    </row>
    <row r="161" spans="1:27" s="13" customFormat="1">
      <c r="A161" s="14"/>
      <c r="B161" s="14"/>
      <c r="C161" s="14"/>
      <c r="D161" s="14"/>
      <c r="E161" s="15"/>
      <c r="F161" s="16"/>
      <c r="G161" s="266"/>
      <c r="H161" s="84"/>
      <c r="I161" s="84"/>
      <c r="J161" s="84"/>
      <c r="K161" s="84"/>
      <c r="L161" s="84"/>
      <c r="M161" s="305"/>
      <c r="N161" s="84"/>
      <c r="O161" s="84"/>
      <c r="P161" s="305"/>
      <c r="Q161" s="84"/>
      <c r="R161" s="84"/>
      <c r="S161" s="84"/>
      <c r="T161" s="84"/>
      <c r="U161" s="84"/>
      <c r="V161" s="305"/>
      <c r="W161" s="84"/>
      <c r="X161" s="84"/>
      <c r="Y161" s="305"/>
      <c r="Z161" s="84"/>
      <c r="AA161" s="306"/>
    </row>
    <row r="162" spans="1:27" s="13" customFormat="1">
      <c r="A162" s="14"/>
      <c r="B162" s="14"/>
      <c r="C162" s="14"/>
      <c r="D162" s="14"/>
      <c r="E162" s="15"/>
      <c r="F162" s="16"/>
      <c r="G162" s="266"/>
      <c r="H162" s="84"/>
      <c r="I162" s="84"/>
      <c r="J162" s="84"/>
      <c r="K162" s="84"/>
      <c r="L162" s="84"/>
      <c r="M162" s="305"/>
      <c r="N162" s="84"/>
      <c r="O162" s="84"/>
      <c r="P162" s="305"/>
      <c r="Q162" s="84"/>
      <c r="R162" s="84"/>
      <c r="S162" s="84"/>
      <c r="T162" s="84"/>
      <c r="U162" s="84"/>
      <c r="V162" s="305"/>
      <c r="W162" s="84"/>
      <c r="X162" s="84"/>
      <c r="Y162" s="305"/>
      <c r="Z162" s="84"/>
      <c r="AA162" s="306"/>
    </row>
    <row r="163" spans="1:27" s="13" customFormat="1">
      <c r="A163" s="14"/>
      <c r="B163" s="14"/>
      <c r="C163" s="14"/>
      <c r="D163" s="14"/>
      <c r="E163" s="15"/>
      <c r="F163" s="16"/>
      <c r="G163" s="266"/>
      <c r="H163" s="84"/>
      <c r="I163" s="84"/>
      <c r="J163" s="84"/>
      <c r="K163" s="84"/>
      <c r="L163" s="84"/>
      <c r="M163" s="305"/>
      <c r="N163" s="84"/>
      <c r="O163" s="84"/>
      <c r="P163" s="305"/>
      <c r="Q163" s="84"/>
      <c r="R163" s="84"/>
      <c r="S163" s="84"/>
      <c r="T163" s="84"/>
      <c r="U163" s="84"/>
      <c r="V163" s="305"/>
      <c r="W163" s="84"/>
      <c r="X163" s="84"/>
      <c r="Y163" s="305"/>
      <c r="Z163" s="84"/>
      <c r="AA163" s="306"/>
    </row>
    <row r="164" spans="1:27" s="13" customFormat="1">
      <c r="A164" s="14"/>
      <c r="B164" s="14"/>
      <c r="C164" s="14"/>
      <c r="D164" s="14"/>
      <c r="E164" s="15"/>
      <c r="F164" s="16"/>
      <c r="G164" s="266"/>
      <c r="H164" s="84"/>
      <c r="I164" s="84"/>
      <c r="J164" s="84"/>
      <c r="K164" s="84"/>
      <c r="L164" s="84"/>
      <c r="M164" s="305"/>
      <c r="N164" s="84"/>
      <c r="O164" s="84"/>
      <c r="P164" s="305"/>
      <c r="Q164" s="84"/>
      <c r="R164" s="84"/>
      <c r="S164" s="84"/>
      <c r="T164" s="84"/>
      <c r="U164" s="84"/>
      <c r="V164" s="305"/>
      <c r="W164" s="84"/>
      <c r="X164" s="84"/>
      <c r="Y164" s="305"/>
      <c r="Z164" s="84"/>
      <c r="AA164" s="306"/>
    </row>
    <row r="165" spans="1:27" s="13" customFormat="1">
      <c r="A165" s="14"/>
      <c r="B165" s="14"/>
      <c r="C165" s="14"/>
      <c r="D165" s="14"/>
      <c r="E165" s="15"/>
      <c r="F165" s="16"/>
      <c r="G165" s="266"/>
      <c r="H165" s="84"/>
      <c r="I165" s="84"/>
      <c r="J165" s="84"/>
      <c r="K165" s="84"/>
      <c r="L165" s="84"/>
      <c r="M165" s="305"/>
      <c r="N165" s="84"/>
      <c r="O165" s="84"/>
      <c r="P165" s="305"/>
      <c r="Q165" s="84"/>
      <c r="R165" s="84"/>
      <c r="S165" s="84"/>
      <c r="T165" s="84"/>
      <c r="U165" s="84"/>
      <c r="V165" s="305"/>
      <c r="W165" s="84"/>
      <c r="X165" s="84"/>
      <c r="Y165" s="305"/>
      <c r="Z165" s="84"/>
      <c r="AA165" s="306"/>
    </row>
    <row r="166" spans="1:27" s="13" customFormat="1">
      <c r="A166" s="14"/>
      <c r="B166" s="14"/>
      <c r="C166" s="14"/>
      <c r="D166" s="14"/>
      <c r="E166" s="15"/>
      <c r="F166" s="16"/>
      <c r="G166" s="266"/>
      <c r="H166" s="84"/>
      <c r="I166" s="84"/>
      <c r="J166" s="84"/>
      <c r="K166" s="84"/>
      <c r="L166" s="84"/>
      <c r="M166" s="305"/>
      <c r="N166" s="84"/>
      <c r="O166" s="84"/>
      <c r="P166" s="305"/>
      <c r="Q166" s="84"/>
      <c r="R166" s="84"/>
      <c r="S166" s="84"/>
      <c r="T166" s="84"/>
      <c r="U166" s="84"/>
      <c r="V166" s="305"/>
      <c r="W166" s="84"/>
      <c r="X166" s="84"/>
      <c r="Y166" s="305"/>
      <c r="Z166" s="84"/>
      <c r="AA166" s="306"/>
    </row>
    <row r="167" spans="1:27" s="13" customFormat="1">
      <c r="A167" s="14"/>
      <c r="B167" s="14"/>
      <c r="C167" s="14"/>
      <c r="D167" s="14"/>
      <c r="E167" s="15"/>
      <c r="F167" s="16"/>
      <c r="G167" s="266"/>
      <c r="H167" s="84"/>
      <c r="I167" s="84"/>
      <c r="J167" s="84"/>
      <c r="K167" s="84"/>
      <c r="L167" s="84"/>
      <c r="M167" s="305"/>
      <c r="N167" s="84"/>
      <c r="O167" s="84"/>
      <c r="P167" s="305"/>
      <c r="Q167" s="84"/>
      <c r="R167" s="84"/>
      <c r="S167" s="84"/>
      <c r="T167" s="84"/>
      <c r="U167" s="84"/>
      <c r="V167" s="305"/>
      <c r="W167" s="84"/>
      <c r="X167" s="84"/>
      <c r="Y167" s="305"/>
      <c r="Z167" s="84"/>
      <c r="AA167" s="306"/>
    </row>
    <row r="168" spans="1:27" s="13" customFormat="1">
      <c r="A168" s="14"/>
      <c r="B168" s="14"/>
      <c r="C168" s="14"/>
      <c r="D168" s="14"/>
      <c r="E168" s="15"/>
      <c r="F168" s="16"/>
      <c r="G168" s="266"/>
      <c r="H168" s="84"/>
      <c r="I168" s="84"/>
      <c r="J168" s="84"/>
      <c r="K168" s="84"/>
      <c r="L168" s="84"/>
      <c r="M168" s="305"/>
      <c r="N168" s="84"/>
      <c r="O168" s="84"/>
      <c r="P168" s="305"/>
      <c r="Q168" s="84"/>
      <c r="R168" s="84"/>
      <c r="S168" s="84"/>
      <c r="T168" s="84"/>
      <c r="U168" s="84"/>
      <c r="V168" s="305"/>
      <c r="W168" s="84"/>
      <c r="X168" s="84"/>
      <c r="Y168" s="305"/>
      <c r="Z168" s="84"/>
      <c r="AA168" s="306"/>
    </row>
    <row r="169" spans="1:27" s="13" customFormat="1">
      <c r="A169" s="14"/>
      <c r="B169" s="14"/>
      <c r="C169" s="14"/>
      <c r="D169" s="14"/>
      <c r="E169" s="15"/>
      <c r="F169" s="16"/>
      <c r="G169" s="266"/>
      <c r="H169" s="84"/>
      <c r="I169" s="84"/>
      <c r="J169" s="84"/>
      <c r="K169" s="84"/>
      <c r="L169" s="84"/>
      <c r="M169" s="305"/>
      <c r="N169" s="84"/>
      <c r="O169" s="84"/>
      <c r="P169" s="305"/>
      <c r="Q169" s="84"/>
      <c r="R169" s="84"/>
      <c r="S169" s="84"/>
      <c r="T169" s="84"/>
      <c r="U169" s="84"/>
      <c r="V169" s="305"/>
      <c r="W169" s="84"/>
      <c r="X169" s="84"/>
      <c r="Y169" s="305"/>
      <c r="Z169" s="84"/>
      <c r="AA169" s="306"/>
    </row>
    <row r="170" spans="1:27" s="13" customFormat="1">
      <c r="A170" s="14"/>
      <c r="B170" s="14"/>
      <c r="C170" s="14"/>
      <c r="D170" s="14"/>
      <c r="E170" s="15"/>
      <c r="F170" s="16"/>
      <c r="G170" s="266"/>
      <c r="H170" s="84"/>
      <c r="I170" s="84"/>
      <c r="J170" s="84"/>
      <c r="K170" s="84"/>
      <c r="L170" s="84"/>
      <c r="M170" s="305"/>
      <c r="N170" s="84"/>
      <c r="O170" s="84"/>
      <c r="P170" s="305"/>
      <c r="Q170" s="84"/>
      <c r="R170" s="84"/>
      <c r="S170" s="84"/>
      <c r="T170" s="84"/>
      <c r="U170" s="84"/>
      <c r="V170" s="305"/>
      <c r="W170" s="84"/>
      <c r="X170" s="84"/>
      <c r="Y170" s="305"/>
      <c r="Z170" s="84"/>
      <c r="AA170" s="306"/>
    </row>
    <row r="171" spans="1:27" s="13" customFormat="1">
      <c r="A171" s="14"/>
      <c r="B171" s="14"/>
      <c r="C171" s="14"/>
      <c r="D171" s="14"/>
      <c r="E171" s="15"/>
      <c r="F171" s="16"/>
      <c r="G171" s="266"/>
      <c r="H171" s="84"/>
      <c r="I171" s="84"/>
      <c r="J171" s="84"/>
      <c r="K171" s="84"/>
      <c r="L171" s="84"/>
      <c r="M171" s="305"/>
      <c r="N171" s="84"/>
      <c r="O171" s="84"/>
      <c r="P171" s="305"/>
      <c r="Q171" s="84"/>
      <c r="R171" s="84"/>
      <c r="S171" s="84"/>
      <c r="T171" s="84"/>
      <c r="U171" s="84"/>
      <c r="V171" s="305"/>
      <c r="W171" s="84"/>
      <c r="X171" s="84"/>
      <c r="Y171" s="305"/>
      <c r="Z171" s="84"/>
      <c r="AA171" s="306"/>
    </row>
    <row r="172" spans="1:27" s="13" customFormat="1">
      <c r="A172" s="14"/>
      <c r="B172" s="14"/>
      <c r="C172" s="14"/>
      <c r="D172" s="14"/>
      <c r="E172" s="15"/>
      <c r="F172" s="16"/>
      <c r="G172" s="266"/>
      <c r="H172" s="84"/>
      <c r="I172" s="84"/>
      <c r="J172" s="84"/>
      <c r="K172" s="84"/>
      <c r="L172" s="84"/>
      <c r="M172" s="305"/>
      <c r="N172" s="84"/>
      <c r="O172" s="84"/>
      <c r="P172" s="305"/>
      <c r="Q172" s="84"/>
      <c r="R172" s="84"/>
      <c r="S172" s="84"/>
      <c r="T172" s="84"/>
      <c r="U172" s="84"/>
      <c r="V172" s="305"/>
      <c r="W172" s="84"/>
      <c r="X172" s="84"/>
      <c r="Y172" s="305"/>
      <c r="Z172" s="84"/>
      <c r="AA172" s="306"/>
    </row>
    <row r="173" spans="1:27" s="13" customFormat="1">
      <c r="A173" s="14"/>
      <c r="B173" s="14"/>
      <c r="C173" s="14"/>
      <c r="D173" s="14"/>
      <c r="E173" s="15"/>
      <c r="F173" s="16"/>
      <c r="G173" s="266"/>
      <c r="H173" s="84"/>
      <c r="I173" s="84"/>
      <c r="J173" s="84"/>
      <c r="K173" s="84"/>
      <c r="L173" s="84"/>
      <c r="M173" s="305"/>
      <c r="N173" s="84"/>
      <c r="O173" s="84"/>
      <c r="P173" s="305"/>
      <c r="Q173" s="84"/>
      <c r="R173" s="84"/>
      <c r="S173" s="84"/>
      <c r="T173" s="84"/>
      <c r="U173" s="84"/>
      <c r="V173" s="305"/>
      <c r="W173" s="84"/>
      <c r="X173" s="84"/>
      <c r="Y173" s="305"/>
      <c r="Z173" s="84"/>
      <c r="AA173" s="306"/>
    </row>
    <row r="174" spans="1:27" s="13" customFormat="1">
      <c r="A174" s="14"/>
      <c r="B174" s="14"/>
      <c r="C174" s="14"/>
      <c r="D174" s="14"/>
      <c r="E174" s="15"/>
      <c r="F174" s="16"/>
      <c r="G174" s="266"/>
      <c r="H174" s="84"/>
      <c r="I174" s="84"/>
      <c r="J174" s="84"/>
      <c r="K174" s="84"/>
      <c r="L174" s="84"/>
      <c r="M174" s="305"/>
      <c r="N174" s="84"/>
      <c r="O174" s="84"/>
      <c r="P174" s="305"/>
      <c r="Q174" s="84"/>
      <c r="R174" s="84"/>
      <c r="S174" s="84"/>
      <c r="T174" s="84"/>
      <c r="U174" s="84"/>
      <c r="V174" s="305"/>
      <c r="W174" s="84"/>
      <c r="X174" s="84"/>
      <c r="Y174" s="305"/>
      <c r="Z174" s="84"/>
      <c r="AA174" s="306"/>
    </row>
    <row r="175" spans="1:27" s="13" customFormat="1">
      <c r="A175" s="14"/>
      <c r="B175" s="14"/>
      <c r="C175" s="14"/>
      <c r="D175" s="14"/>
      <c r="E175" s="15"/>
      <c r="F175" s="16"/>
      <c r="G175" s="266"/>
      <c r="H175" s="84"/>
      <c r="I175" s="84"/>
      <c r="J175" s="84"/>
      <c r="K175" s="84"/>
      <c r="L175" s="84"/>
      <c r="M175" s="305"/>
      <c r="N175" s="84"/>
      <c r="O175" s="84"/>
      <c r="P175" s="305"/>
      <c r="Q175" s="84"/>
      <c r="R175" s="84"/>
      <c r="S175" s="84"/>
      <c r="T175" s="84"/>
      <c r="U175" s="84"/>
      <c r="V175" s="305"/>
      <c r="W175" s="84"/>
      <c r="X175" s="84"/>
      <c r="Y175" s="305"/>
      <c r="Z175" s="84"/>
      <c r="AA175" s="306"/>
    </row>
    <row r="176" spans="1:27" s="13" customFormat="1">
      <c r="A176" s="14"/>
      <c r="B176" s="14"/>
      <c r="C176" s="14"/>
      <c r="D176" s="14"/>
      <c r="E176" s="15"/>
      <c r="F176" s="16"/>
      <c r="G176" s="266"/>
      <c r="H176" s="84"/>
      <c r="I176" s="84"/>
      <c r="J176" s="84"/>
      <c r="K176" s="84"/>
      <c r="L176" s="84"/>
      <c r="M176" s="305"/>
      <c r="N176" s="84"/>
      <c r="O176" s="84"/>
      <c r="P176" s="305"/>
      <c r="Q176" s="84"/>
      <c r="R176" s="84"/>
      <c r="S176" s="84"/>
      <c r="T176" s="84"/>
      <c r="U176" s="84"/>
      <c r="V176" s="305"/>
      <c r="W176" s="84"/>
      <c r="X176" s="84"/>
      <c r="Y176" s="305"/>
      <c r="Z176" s="84"/>
      <c r="AA176" s="306"/>
    </row>
    <row r="177" spans="1:27" s="13" customFormat="1">
      <c r="A177" s="14"/>
      <c r="B177" s="14"/>
      <c r="C177" s="14"/>
      <c r="D177" s="14"/>
      <c r="E177" s="15"/>
      <c r="F177" s="16"/>
      <c r="G177" s="266"/>
      <c r="H177" s="84"/>
      <c r="I177" s="84"/>
      <c r="J177" s="84"/>
      <c r="K177" s="84"/>
      <c r="L177" s="84"/>
      <c r="M177" s="305"/>
      <c r="N177" s="84"/>
      <c r="O177" s="84"/>
      <c r="P177" s="305"/>
      <c r="Q177" s="84"/>
      <c r="R177" s="84"/>
      <c r="S177" s="84"/>
      <c r="T177" s="84"/>
      <c r="U177" s="84"/>
      <c r="V177" s="305"/>
      <c r="W177" s="84"/>
      <c r="X177" s="84"/>
      <c r="Y177" s="305"/>
      <c r="Z177" s="84"/>
      <c r="AA177" s="306"/>
    </row>
    <row r="178" spans="1:27" s="13" customFormat="1">
      <c r="A178" s="14"/>
      <c r="B178" s="14"/>
      <c r="C178" s="14"/>
      <c r="D178" s="14"/>
      <c r="E178" s="15"/>
      <c r="F178" s="16"/>
      <c r="G178" s="266"/>
      <c r="H178" s="84"/>
      <c r="I178" s="84"/>
      <c r="J178" s="84"/>
      <c r="K178" s="84"/>
      <c r="L178" s="84"/>
      <c r="M178" s="305"/>
      <c r="N178" s="84"/>
      <c r="O178" s="84"/>
      <c r="P178" s="305"/>
      <c r="Q178" s="84"/>
      <c r="R178" s="84"/>
      <c r="S178" s="84"/>
      <c r="T178" s="84"/>
      <c r="U178" s="84"/>
      <c r="V178" s="305"/>
      <c r="W178" s="84"/>
      <c r="X178" s="84"/>
      <c r="Y178" s="305"/>
      <c r="Z178" s="84"/>
      <c r="AA178" s="306"/>
    </row>
    <row r="179" spans="1:27" s="13" customFormat="1">
      <c r="A179" s="14"/>
      <c r="B179" s="14"/>
      <c r="C179" s="14"/>
      <c r="D179" s="14"/>
      <c r="E179" s="15"/>
      <c r="F179" s="16"/>
      <c r="G179" s="266"/>
      <c r="H179" s="84"/>
      <c r="I179" s="84"/>
      <c r="J179" s="84"/>
      <c r="K179" s="84"/>
      <c r="L179" s="84"/>
      <c r="M179" s="305"/>
      <c r="N179" s="84"/>
      <c r="O179" s="84"/>
      <c r="P179" s="305"/>
      <c r="Q179" s="84"/>
      <c r="R179" s="84"/>
      <c r="S179" s="84"/>
      <c r="T179" s="84"/>
      <c r="U179" s="84"/>
      <c r="V179" s="305"/>
      <c r="W179" s="84"/>
      <c r="X179" s="84"/>
      <c r="Y179" s="305"/>
      <c r="Z179" s="84"/>
      <c r="AA179" s="306"/>
    </row>
    <row r="180" spans="1:27" s="13" customFormat="1">
      <c r="A180" s="14"/>
      <c r="B180" s="14"/>
      <c r="C180" s="14"/>
      <c r="D180" s="14"/>
      <c r="E180" s="15"/>
      <c r="F180" s="16"/>
      <c r="G180" s="266"/>
      <c r="H180" s="84"/>
      <c r="I180" s="84"/>
      <c r="J180" s="84"/>
      <c r="K180" s="84"/>
      <c r="L180" s="84"/>
      <c r="M180" s="305"/>
      <c r="N180" s="84"/>
      <c r="O180" s="84"/>
      <c r="P180" s="305"/>
      <c r="Q180" s="84"/>
      <c r="R180" s="84"/>
      <c r="S180" s="84"/>
      <c r="T180" s="84"/>
      <c r="U180" s="84"/>
      <c r="V180" s="305"/>
      <c r="W180" s="84"/>
      <c r="X180" s="84"/>
      <c r="Y180" s="305"/>
      <c r="Z180" s="84"/>
      <c r="AA180" s="306"/>
    </row>
    <row r="181" spans="1:27" s="13" customFormat="1">
      <c r="A181" s="14"/>
      <c r="B181" s="14"/>
      <c r="C181" s="14"/>
      <c r="D181" s="14"/>
      <c r="E181" s="15"/>
      <c r="F181" s="16"/>
      <c r="G181" s="266"/>
      <c r="H181" s="84"/>
      <c r="I181" s="84"/>
      <c r="J181" s="84"/>
      <c r="K181" s="84"/>
      <c r="L181" s="84"/>
      <c r="M181" s="305"/>
      <c r="N181" s="84"/>
      <c r="O181" s="84"/>
      <c r="P181" s="305"/>
      <c r="Q181" s="84"/>
      <c r="R181" s="84"/>
      <c r="S181" s="84"/>
      <c r="T181" s="84"/>
      <c r="U181" s="84"/>
      <c r="V181" s="305"/>
      <c r="W181" s="84"/>
      <c r="X181" s="84"/>
      <c r="Y181" s="305"/>
      <c r="Z181" s="84"/>
      <c r="AA181" s="306"/>
    </row>
    <row r="182" spans="1:27" s="13" customFormat="1">
      <c r="A182" s="14"/>
      <c r="B182" s="14"/>
      <c r="C182" s="14"/>
      <c r="D182" s="14"/>
      <c r="E182" s="15"/>
      <c r="F182" s="16"/>
      <c r="G182" s="266"/>
      <c r="H182" s="84"/>
      <c r="I182" s="84"/>
      <c r="J182" s="84"/>
      <c r="K182" s="84"/>
      <c r="L182" s="84"/>
      <c r="M182" s="305"/>
      <c r="N182" s="84"/>
      <c r="O182" s="84"/>
      <c r="P182" s="305"/>
      <c r="Q182" s="84"/>
      <c r="R182" s="84"/>
      <c r="S182" s="84"/>
      <c r="T182" s="84"/>
      <c r="U182" s="84"/>
      <c r="V182" s="305"/>
      <c r="W182" s="84"/>
      <c r="X182" s="84"/>
      <c r="Y182" s="305"/>
      <c r="Z182" s="84"/>
      <c r="AA182" s="306"/>
    </row>
    <row r="183" spans="1:27" s="13" customFormat="1">
      <c r="A183" s="14"/>
      <c r="B183" s="14"/>
      <c r="C183" s="14"/>
      <c r="D183" s="14"/>
      <c r="E183" s="15"/>
      <c r="F183" s="16"/>
      <c r="G183" s="266"/>
      <c r="H183" s="84"/>
      <c r="I183" s="84"/>
      <c r="J183" s="84"/>
      <c r="K183" s="84"/>
      <c r="L183" s="84"/>
      <c r="M183" s="305"/>
      <c r="N183" s="84"/>
      <c r="O183" s="84"/>
      <c r="P183" s="305"/>
      <c r="Q183" s="84"/>
      <c r="R183" s="84"/>
      <c r="S183" s="84"/>
      <c r="T183" s="84"/>
      <c r="U183" s="84"/>
      <c r="V183" s="305"/>
      <c r="W183" s="84"/>
      <c r="X183" s="84"/>
      <c r="Y183" s="305"/>
      <c r="Z183" s="84"/>
      <c r="AA183" s="306"/>
    </row>
    <row r="184" spans="1:27" s="13" customFormat="1">
      <c r="A184" s="14"/>
      <c r="B184" s="14"/>
      <c r="C184" s="14"/>
      <c r="D184" s="14"/>
      <c r="E184" s="15"/>
      <c r="F184" s="16"/>
      <c r="G184" s="266"/>
      <c r="H184" s="84"/>
      <c r="I184" s="84"/>
      <c r="J184" s="84"/>
      <c r="K184" s="84"/>
      <c r="L184" s="84"/>
      <c r="M184" s="305"/>
      <c r="N184" s="84"/>
      <c r="O184" s="84"/>
      <c r="P184" s="305"/>
      <c r="Q184" s="84"/>
      <c r="R184" s="84"/>
      <c r="S184" s="84"/>
      <c r="T184" s="84"/>
      <c r="U184" s="84"/>
      <c r="V184" s="305"/>
      <c r="W184" s="84"/>
      <c r="X184" s="84"/>
      <c r="Y184" s="305"/>
      <c r="Z184" s="84"/>
      <c r="AA184" s="306"/>
    </row>
  </sheetData>
  <mergeCells count="22">
    <mergeCell ref="I2:Q2"/>
    <mergeCell ref="H3:L3"/>
    <mergeCell ref="M3:Q3"/>
    <mergeCell ref="R3:S3"/>
    <mergeCell ref="H138:L138"/>
    <mergeCell ref="M138:Q138"/>
    <mergeCell ref="R138:S138"/>
    <mergeCell ref="W156:X156"/>
    <mergeCell ref="Y156:AC156"/>
    <mergeCell ref="AD156:AF156"/>
    <mergeCell ref="AG156:AJ156"/>
    <mergeCell ref="G3:G4"/>
    <mergeCell ref="G138:G139"/>
    <mergeCell ref="G151:G152"/>
    <mergeCell ref="G156:G157"/>
    <mergeCell ref="H151:H152"/>
    <mergeCell ref="M151:M152"/>
    <mergeCell ref="I151:J151"/>
    <mergeCell ref="K151:L151"/>
    <mergeCell ref="H156:L156"/>
    <mergeCell ref="M156:Q156"/>
    <mergeCell ref="R156:V156"/>
  </mergeCells>
  <phoneticPr fontId="54" type="noConversion"/>
  <conditionalFormatting sqref="A13:E16 C43:D48 C49">
    <cfRule type="cellIs" dxfId="27" priority="15" stopIfTrue="1" operator="lessThan">
      <formula>0</formula>
    </cfRule>
  </conditionalFormatting>
  <conditionalFormatting sqref="D56">
    <cfRule type="cellIs" dxfId="26" priority="11" stopIfTrue="1" operator="lessThan">
      <formula>0</formula>
    </cfRule>
  </conditionalFormatting>
  <conditionalFormatting sqref="D60">
    <cfRule type="cellIs" dxfId="25" priority="10" stopIfTrue="1" operator="lessThan">
      <formula>0</formula>
    </cfRule>
  </conditionalFormatting>
  <conditionalFormatting sqref="D64:D65">
    <cfRule type="cellIs" dxfId="24" priority="9" stopIfTrue="1" operator="lessThan">
      <formula>0</formula>
    </cfRule>
  </conditionalFormatting>
  <conditionalFormatting sqref="D77">
    <cfRule type="cellIs" dxfId="23" priority="8" stopIfTrue="1" operator="lessThan">
      <formula>0</formula>
    </cfRule>
  </conditionalFormatting>
  <conditionalFormatting sqref="D82:D83">
    <cfRule type="cellIs" dxfId="22" priority="7" stopIfTrue="1" operator="lessThan">
      <formula>0</formula>
    </cfRule>
  </conditionalFormatting>
  <conditionalFormatting sqref="D85:D86">
    <cfRule type="cellIs" dxfId="21" priority="6" stopIfTrue="1" operator="lessThan">
      <formula>0</formula>
    </cfRule>
  </conditionalFormatting>
  <conditionalFormatting sqref="D106">
    <cfRule type="cellIs" dxfId="20" priority="5" stopIfTrue="1" operator="lessThan">
      <formula>0</formula>
    </cfRule>
  </conditionalFormatting>
  <conditionalFormatting sqref="D114">
    <cfRule type="cellIs" dxfId="19" priority="4" stopIfTrue="1" operator="lessThan">
      <formula>0</formula>
    </cfRule>
  </conditionalFormatting>
  <conditionalFormatting sqref="G5:G14">
    <cfRule type="cellIs" dxfId="18" priority="13" stopIfTrue="1" operator="lessThan">
      <formula>0</formula>
    </cfRule>
  </conditionalFormatting>
  <conditionalFormatting sqref="G16:G40">
    <cfRule type="cellIs" dxfId="17" priority="3" stopIfTrue="1" operator="lessThan">
      <formula>0</formula>
    </cfRule>
  </conditionalFormatting>
  <conditionalFormatting sqref="G43:G49">
    <cfRule type="cellIs" dxfId="16" priority="12" stopIfTrue="1" operator="lessThan">
      <formula>0</formula>
    </cfRule>
  </conditionalFormatting>
  <conditionalFormatting sqref="G15:S15">
    <cfRule type="cellIs" dxfId="15" priority="2" operator="equal">
      <formula>0</formula>
    </cfRule>
  </conditionalFormatting>
  <conditionalFormatting sqref="G41:S41">
    <cfRule type="cellIs" dxfId="14" priority="1" operator="equal">
      <formula>0</formula>
    </cfRule>
  </conditionalFormatting>
  <dataValidations count="1">
    <dataValidation type="list" allowBlank="1" showInputMessage="1" showErrorMessage="1" sqref="S2 U2" xr:uid="{00000000-0002-0000-0E00-000000000000}">
      <formula1>"元,万元"</formula1>
    </dataValidation>
  </dataValidations>
  <hyperlinks>
    <hyperlink ref="G42" location="'6.1客房'!F1" display="ROOMS    客房" xr:uid="{00000000-0004-0000-0E00-000000000000}"/>
    <hyperlink ref="G102" location="物业保养!A1" display="POM 物业运营及保养" xr:uid="{00000000-0004-0000-0E00-000001000000}"/>
    <hyperlink ref="G97" location="营销!A1" display="Sales &amp; Marketing 营销" xr:uid="{00000000-0004-0000-0E00-000002000000}"/>
    <hyperlink ref="G90" location="行政!A1" display="A&amp;G 行政部" xr:uid="{00000000-0004-0000-0E00-000003000000}"/>
    <hyperlink ref="G101" location="工程!A1" display="Utility 能源费用" xr:uid="{00000000-0004-0000-0E00-000004000000}"/>
    <hyperlink ref="G51" location="餐饮!A1" display="FOOD &amp; BEVERAGE 餐饮" xr:uid="{00000000-0004-0000-0E00-000005000000}"/>
    <hyperlink ref="T3" location="'汇总-累计'!A1" display="返回" xr:uid="{00000000-0004-0000-0E00-000006000000}"/>
  </hyperlink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0">
    <tabColor theme="2"/>
  </sheetPr>
  <dimension ref="A1:AS184"/>
  <sheetViews>
    <sheetView zoomScale="80" zoomScaleNormal="80" zoomScaleSheetLayoutView="70" workbookViewId="0">
      <pane xSplit="7" ySplit="4" topLeftCell="H5" activePane="bottomRight" state="frozen"/>
      <selection pane="topRight"/>
      <selection pane="bottomLeft"/>
      <selection pane="bottomRight" activeCell="N21" sqref="N21"/>
    </sheetView>
  </sheetViews>
  <sheetFormatPr defaultColWidth="8.7109375" defaultRowHeight="16.3" outlineLevelCol="1"/>
  <cols>
    <col min="1" max="4" width="0.2109375" style="14" customWidth="1" outlineLevel="1"/>
    <col min="5" max="5" width="0.2109375" style="15" customWidth="1" outlineLevel="1"/>
    <col min="6" max="6" width="0.2109375" style="16" customWidth="1" outlineLevel="1"/>
    <col min="7" max="7" width="55.2109375" style="17" customWidth="1"/>
    <col min="8" max="8" width="12.140625" style="18" customWidth="1"/>
    <col min="9" max="9" width="13.35546875" style="18" customWidth="1"/>
    <col min="10" max="10" width="8.640625" style="18" customWidth="1"/>
    <col min="11" max="11" width="12" style="18" customWidth="1"/>
    <col min="12" max="12" width="8.2109375" style="18" customWidth="1"/>
    <col min="13" max="13" width="12" style="19" customWidth="1"/>
    <col min="14" max="14" width="9.85546875" style="18" customWidth="1"/>
    <col min="15" max="15" width="10.140625" style="18" customWidth="1"/>
    <col min="16" max="16" width="11.2109375" style="19" customWidth="1"/>
    <col min="17" max="17" width="9.5" style="18" customWidth="1"/>
    <col min="18" max="18" width="11.2109375" style="18" customWidth="1"/>
    <col min="19" max="19" width="10.2109375" style="18" customWidth="1"/>
    <col min="20" max="20" width="7" style="18" customWidth="1"/>
    <col min="21" max="21" width="11.7109375" style="18" customWidth="1"/>
    <col min="22" max="22" width="7.7109375" style="19" customWidth="1"/>
    <col min="23" max="23" width="10.5" style="18" customWidth="1"/>
    <col min="24" max="24" width="7.85546875" style="18" customWidth="1"/>
    <col min="25" max="25" width="6.35546875" style="19" customWidth="1"/>
    <col min="26" max="26" width="8.640625" style="18" customWidth="1"/>
    <col min="27" max="27" width="7.640625" style="20" customWidth="1"/>
    <col min="28" max="28" width="7.7109375" style="21" customWidth="1"/>
    <col min="29" max="29" width="8.2109375" style="21" customWidth="1"/>
    <col min="30" max="30" width="6.5" style="21" customWidth="1"/>
    <col min="31" max="31" width="7.7109375" style="21" customWidth="1"/>
    <col min="32" max="32" width="14.7109375" style="21" customWidth="1"/>
    <col min="33" max="33" width="8.35546875" style="21" customWidth="1"/>
    <col min="34" max="34" width="9.7109375" style="21" customWidth="1"/>
    <col min="35" max="35" width="10.7109375" style="21" customWidth="1"/>
    <col min="36" max="36" width="11.35546875" style="21" customWidth="1"/>
    <col min="37" max="37" width="14.7109375" style="21" customWidth="1"/>
    <col min="38" max="16384" width="8.7109375" style="21"/>
  </cols>
  <sheetData>
    <row r="1" spans="1:45" s="1" customFormat="1" ht="20.25" hidden="1" customHeight="1">
      <c r="A1" s="22"/>
      <c r="B1" s="23"/>
      <c r="C1" s="24"/>
      <c r="D1" s="23"/>
      <c r="E1" s="24"/>
      <c r="F1" s="24"/>
      <c r="G1" s="22"/>
      <c r="H1" s="25" t="s">
        <v>312</v>
      </c>
      <c r="I1" s="25" t="s">
        <v>313</v>
      </c>
      <c r="J1" s="25" t="s">
        <v>314</v>
      </c>
      <c r="K1" s="25" t="s">
        <v>315</v>
      </c>
      <c r="L1" s="25"/>
      <c r="M1" s="25"/>
      <c r="N1" s="25" t="s">
        <v>316</v>
      </c>
      <c r="O1" s="25"/>
      <c r="P1" s="25"/>
      <c r="Q1" s="25" t="s">
        <v>317</v>
      </c>
      <c r="R1" s="25" t="s">
        <v>318</v>
      </c>
      <c r="S1" s="25" t="s">
        <v>319</v>
      </c>
      <c r="T1" s="25" t="s">
        <v>474</v>
      </c>
      <c r="U1" s="25" t="s">
        <v>474</v>
      </c>
      <c r="V1" s="25" t="s">
        <v>474</v>
      </c>
      <c r="W1" s="25" t="s">
        <v>474</v>
      </c>
      <c r="X1" s="25" t="s">
        <v>474</v>
      </c>
      <c r="Y1" s="25" t="s">
        <v>474</v>
      </c>
      <c r="Z1" s="25" t="s">
        <v>474</v>
      </c>
      <c r="AA1" s="25" t="s">
        <v>474</v>
      </c>
      <c r="AB1" s="25" t="s">
        <v>474</v>
      </c>
      <c r="AC1" s="25" t="s">
        <v>474</v>
      </c>
      <c r="AD1" s="25" t="s">
        <v>474</v>
      </c>
      <c r="AE1" s="25" t="s">
        <v>474</v>
      </c>
      <c r="AF1" s="25" t="s">
        <v>474</v>
      </c>
      <c r="AG1" s="25" t="s">
        <v>474</v>
      </c>
      <c r="AH1" s="25" t="s">
        <v>474</v>
      </c>
      <c r="AI1" s="25" t="s">
        <v>474</v>
      </c>
      <c r="AJ1" s="25" t="s">
        <v>474</v>
      </c>
      <c r="AK1" s="25" t="s">
        <v>474</v>
      </c>
      <c r="AL1" s="22"/>
      <c r="AM1" s="22"/>
      <c r="AN1" s="22"/>
      <c r="AO1" s="22"/>
      <c r="AP1" s="22"/>
      <c r="AQ1" s="22"/>
      <c r="AR1" s="22"/>
      <c r="AS1" s="22"/>
    </row>
    <row r="2" spans="1:45" ht="20.7" customHeight="1">
      <c r="G2" s="26" t="str">
        <f>""&amp;[5]DT!B6&amp;"酒店主体"</f>
        <v>武汉市碧桂园凤凰酒店有限公司酒店主体</v>
      </c>
      <c r="H2" s="27" t="str">
        <f>""&amp;[5]DT!B1&amp;"年"&amp;[5]DT!B2&amp;"月"</f>
        <v>2026年1月</v>
      </c>
      <c r="I2" s="940" t="s">
        <v>324</v>
      </c>
      <c r="J2" s="940"/>
      <c r="K2" s="940"/>
      <c r="L2" s="940"/>
      <c r="M2" s="940"/>
      <c r="N2" s="940"/>
      <c r="O2" s="940"/>
      <c r="P2" s="940"/>
      <c r="Q2" s="940"/>
      <c r="R2" s="28" t="s">
        <v>325</v>
      </c>
      <c r="S2" s="29" t="s">
        <v>326</v>
      </c>
      <c r="T2" s="13"/>
      <c r="U2" s="30"/>
      <c r="V2" s="13"/>
      <c r="W2" s="31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5" s="2" customFormat="1" ht="16.5" customHeight="1">
      <c r="A3" s="32"/>
      <c r="B3" s="32"/>
      <c r="C3" s="32"/>
      <c r="D3" s="32"/>
      <c r="E3" s="33"/>
      <c r="F3" s="34"/>
      <c r="G3" s="923" t="s">
        <v>327</v>
      </c>
      <c r="H3" s="956" t="s">
        <v>328</v>
      </c>
      <c r="I3" s="956"/>
      <c r="J3" s="956"/>
      <c r="K3" s="956"/>
      <c r="L3" s="957"/>
      <c r="M3" s="958" t="s">
        <v>329</v>
      </c>
      <c r="N3" s="959"/>
      <c r="O3" s="959"/>
      <c r="P3" s="959"/>
      <c r="Q3" s="960"/>
      <c r="R3" s="946" t="s">
        <v>330</v>
      </c>
      <c r="S3" s="947"/>
      <c r="T3" s="35" t="s">
        <v>475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</row>
    <row r="4" spans="1:45" s="2" customFormat="1" ht="16.399999999999999" customHeight="1">
      <c r="A4" s="32"/>
      <c r="B4" s="32"/>
      <c r="C4" s="32"/>
      <c r="D4" s="32"/>
      <c r="E4" s="33"/>
      <c r="F4" s="36"/>
      <c r="G4" s="924"/>
      <c r="H4" s="37" t="s">
        <v>331</v>
      </c>
      <c r="I4" s="38" t="s">
        <v>249</v>
      </c>
      <c r="J4" s="39" t="s">
        <v>332</v>
      </c>
      <c r="K4" s="40" t="s">
        <v>270</v>
      </c>
      <c r="L4" s="41" t="s">
        <v>332</v>
      </c>
      <c r="M4" s="42" t="s">
        <v>331</v>
      </c>
      <c r="N4" s="43" t="s">
        <v>249</v>
      </c>
      <c r="O4" s="44" t="s">
        <v>332</v>
      </c>
      <c r="P4" s="43" t="s">
        <v>270</v>
      </c>
      <c r="Q4" s="44" t="s">
        <v>332</v>
      </c>
      <c r="R4" s="45" t="s">
        <v>245</v>
      </c>
      <c r="S4" s="46" t="s">
        <v>11</v>
      </c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</row>
    <row r="5" spans="1:45" ht="16.5" customHeight="1">
      <c r="A5" s="47"/>
      <c r="B5" s="47"/>
      <c r="C5" s="48"/>
      <c r="D5" s="48"/>
      <c r="E5" s="49"/>
      <c r="F5" s="36"/>
      <c r="G5" s="50" t="s">
        <v>333</v>
      </c>
      <c r="H5" s="51">
        <f>[5]酒店主体!J5</f>
        <v>10261</v>
      </c>
      <c r="I5" s="52">
        <f>[5]酒店主体!K5</f>
        <v>10261</v>
      </c>
      <c r="J5" s="53">
        <f>[5]酒店主体!M5</f>
        <v>0</v>
      </c>
      <c r="K5" s="52">
        <f>[5]酒店主体!N5</f>
        <v>10261</v>
      </c>
      <c r="L5" s="54">
        <f>[5]酒店主体!P5</f>
        <v>0</v>
      </c>
      <c r="M5" s="51">
        <f>[5]酒店主体!S5</f>
        <v>10261</v>
      </c>
      <c r="N5" s="55">
        <f>[5]酒店主体!T5</f>
        <v>10261</v>
      </c>
      <c r="O5" s="53">
        <f>[5]酒店主体!V5</f>
        <v>0</v>
      </c>
      <c r="P5" s="52">
        <f>[5]酒店主体!W5</f>
        <v>10261</v>
      </c>
      <c r="Q5" s="56">
        <f>[5]酒店主体!Y5</f>
        <v>0</v>
      </c>
      <c r="R5" s="57">
        <f>[5]酒店主体!Z5</f>
        <v>120815</v>
      </c>
      <c r="S5" s="58">
        <f>[5]酒店主体!AA5</f>
        <v>8.4931506849315094E-2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spans="1:45" ht="16.5" customHeight="1">
      <c r="A6" s="47"/>
      <c r="B6" s="47"/>
      <c r="C6" s="48"/>
      <c r="D6" s="48"/>
      <c r="E6" s="49"/>
      <c r="F6" s="36"/>
      <c r="G6" s="50" t="s">
        <v>334</v>
      </c>
      <c r="H6" s="51">
        <f>[5]酒店主体!J6</f>
        <v>10261</v>
      </c>
      <c r="I6" s="52">
        <f>[5]酒店主体!K6</f>
        <v>10261</v>
      </c>
      <c r="J6" s="53">
        <f>[5]酒店主体!M6</f>
        <v>0</v>
      </c>
      <c r="K6" s="52">
        <f>[5]酒店主体!N6</f>
        <v>10261</v>
      </c>
      <c r="L6" s="54">
        <f>[5]酒店主体!P6</f>
        <v>0</v>
      </c>
      <c r="M6" s="51">
        <f>[5]酒店主体!S6</f>
        <v>10261</v>
      </c>
      <c r="N6" s="55">
        <f>[5]酒店主体!T6</f>
        <v>10261</v>
      </c>
      <c r="O6" s="53">
        <f>[5]酒店主体!V6</f>
        <v>0</v>
      </c>
      <c r="P6" s="52">
        <f>[5]酒店主体!W6</f>
        <v>10261</v>
      </c>
      <c r="Q6" s="56">
        <f>[5]酒店主体!Y6</f>
        <v>0</v>
      </c>
      <c r="R6" s="57">
        <f>[5]酒店主体!Z6</f>
        <v>120815</v>
      </c>
      <c r="S6" s="58">
        <f>[5]酒店主体!AA6</f>
        <v>8.4931506849315094E-2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spans="1:45" ht="16.5" customHeight="1">
      <c r="A7" s="47"/>
      <c r="B7" s="47"/>
      <c r="C7" s="48"/>
      <c r="D7" s="48"/>
      <c r="E7" s="49"/>
      <c r="F7" s="36"/>
      <c r="G7" s="59" t="s">
        <v>335</v>
      </c>
      <c r="H7" s="60">
        <f>[5]酒店主体!J7</f>
        <v>2307.5</v>
      </c>
      <c r="I7" s="61">
        <f>[5]酒店主体!K7</f>
        <v>2427</v>
      </c>
      <c r="J7" s="62">
        <f>[5]酒店主体!M7</f>
        <v>-4.9237742068397199E-2</v>
      </c>
      <c r="K7" s="61">
        <f>[5]酒店主体!N7</f>
        <v>1824</v>
      </c>
      <c r="L7" s="63">
        <f>[5]酒店主体!P7</f>
        <v>0.26507675438596501</v>
      </c>
      <c r="M7" s="60">
        <f>[5]酒店主体!S7</f>
        <v>2307.5</v>
      </c>
      <c r="N7" s="64">
        <f>[5]酒店主体!T7</f>
        <v>2427</v>
      </c>
      <c r="O7" s="62">
        <f>[5]酒店主体!V7</f>
        <v>-4.9237742068397199E-2</v>
      </c>
      <c r="P7" s="61">
        <f>[5]酒店主体!W7</f>
        <v>1824</v>
      </c>
      <c r="Q7" s="65">
        <f>[5]酒店主体!Y7</f>
        <v>0.26507675438596501</v>
      </c>
      <c r="R7" s="57">
        <f>[5]酒店主体!Z7</f>
        <v>38576.5</v>
      </c>
      <c r="S7" s="58">
        <f>[5]酒店主体!AA7</f>
        <v>5.98162093502521E-2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5" ht="16.5" customHeight="1">
      <c r="A8" s="47"/>
      <c r="B8" s="47"/>
      <c r="C8" s="48"/>
      <c r="D8" s="48"/>
      <c r="E8" s="49"/>
      <c r="F8" s="36"/>
      <c r="G8" s="50" t="s">
        <v>336</v>
      </c>
      <c r="H8" s="51">
        <f>[5]酒店主体!J8</f>
        <v>2217</v>
      </c>
      <c r="I8" s="52">
        <f>[5]酒店主体!K8</f>
        <v>2427</v>
      </c>
      <c r="J8" s="53">
        <f>[5]酒店主体!M8</f>
        <v>-8.6526576019777507E-2</v>
      </c>
      <c r="K8" s="52">
        <f>[5]酒店主体!N8</f>
        <v>1733</v>
      </c>
      <c r="L8" s="54">
        <f>[5]酒店主体!P8</f>
        <v>0.27928447778418902</v>
      </c>
      <c r="M8" s="51">
        <f>[5]酒店主体!S8</f>
        <v>2217</v>
      </c>
      <c r="N8" s="55">
        <f>[5]酒店主体!T8</f>
        <v>2427</v>
      </c>
      <c r="O8" s="53">
        <f>[5]酒店主体!V8</f>
        <v>-8.6526576019777507E-2</v>
      </c>
      <c r="P8" s="52">
        <f>[5]酒店主体!W8</f>
        <v>1733</v>
      </c>
      <c r="Q8" s="56">
        <f>[5]酒店主体!Y8</f>
        <v>0.27928447778418902</v>
      </c>
      <c r="R8" s="57">
        <f>[5]酒店主体!Z8</f>
        <v>38576.5</v>
      </c>
      <c r="S8" s="58">
        <f>[5]酒店主体!AA8</f>
        <v>5.7470221507912797E-2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5" ht="16.5" customHeight="1">
      <c r="A9" s="47" t="s">
        <v>337</v>
      </c>
      <c r="B9" s="47"/>
      <c r="C9" s="48"/>
      <c r="D9" s="48"/>
      <c r="E9" s="49"/>
      <c r="F9" s="36"/>
      <c r="G9" s="66" t="s">
        <v>338</v>
      </c>
      <c r="H9" s="67">
        <f>[5]酒店主体!J9</f>
        <v>0.224880615924374</v>
      </c>
      <c r="I9" s="68">
        <f>[5]酒店主体!K9</f>
        <v>0.236526654322191</v>
      </c>
      <c r="J9" s="67">
        <f>[5]酒店主体!M9</f>
        <v>-4.9237742068397303E-2</v>
      </c>
      <c r="K9" s="68">
        <f>[5]酒店主体!N9</f>
        <v>0.177760452197642</v>
      </c>
      <c r="L9" s="69">
        <f>[5]酒店主体!P9</f>
        <v>0.26507675438596501</v>
      </c>
      <c r="M9" s="67">
        <f>[5]酒店主体!S9</f>
        <v>0.224880615924374</v>
      </c>
      <c r="N9" s="70">
        <f>[5]酒店主体!T9</f>
        <v>0.236526654322191</v>
      </c>
      <c r="O9" s="67">
        <f>[5]酒店主体!V9</f>
        <v>-4.9237742068397303E-2</v>
      </c>
      <c r="P9" s="68">
        <f>[5]酒店主体!W9</f>
        <v>0.177760452197642</v>
      </c>
      <c r="Q9" s="71">
        <f>[5]酒店主体!Y9</f>
        <v>0.26507675438596501</v>
      </c>
      <c r="R9" s="72">
        <f>[5]酒店主体!Z9</f>
        <v>0.319302238960394</v>
      </c>
      <c r="S9" s="58">
        <f>[5]酒店主体!AA9</f>
        <v>0.70428762622070995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5" ht="16.5" customHeight="1">
      <c r="A10" s="47" t="s">
        <v>337</v>
      </c>
      <c r="B10" s="47"/>
      <c r="C10" s="48"/>
      <c r="D10" s="48"/>
      <c r="E10" s="49"/>
      <c r="F10" s="36"/>
      <c r="G10" s="50" t="s">
        <v>339</v>
      </c>
      <c r="H10" s="67">
        <f>[5]酒店主体!J10</f>
        <v>0.21606081278627801</v>
      </c>
      <c r="I10" s="68">
        <f>[5]酒店主体!K10</f>
        <v>0.236526654322191</v>
      </c>
      <c r="J10" s="67">
        <f>[5]酒店主体!M10</f>
        <v>-8.6526576019777507E-2</v>
      </c>
      <c r="K10" s="68">
        <f>[5]酒店主体!N10</f>
        <v>0.16889192086541299</v>
      </c>
      <c r="L10" s="69">
        <f>[5]酒店主体!P10</f>
        <v>0.27928447778418902</v>
      </c>
      <c r="M10" s="67">
        <f>[5]酒店主体!S10</f>
        <v>0.21606081278627801</v>
      </c>
      <c r="N10" s="70">
        <f>[5]酒店主体!T10</f>
        <v>0.236526654322191</v>
      </c>
      <c r="O10" s="67">
        <f>[5]酒店主体!V10</f>
        <v>-8.6526576019777507E-2</v>
      </c>
      <c r="P10" s="68">
        <f>[5]酒店主体!W10</f>
        <v>0.16889192086541299</v>
      </c>
      <c r="Q10" s="71">
        <f>[5]酒店主体!Y10</f>
        <v>0.27928447778418902</v>
      </c>
      <c r="R10" s="72">
        <f>[5]酒店主体!Z10</f>
        <v>0.319302238960394</v>
      </c>
      <c r="S10" s="58">
        <f>[5]酒店主体!AA10</f>
        <v>0.67666551130284502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5" ht="16.5" customHeight="1">
      <c r="A11" s="47"/>
      <c r="B11" s="47"/>
      <c r="C11" s="48"/>
      <c r="D11" s="48"/>
      <c r="E11" s="49"/>
      <c r="F11" s="36"/>
      <c r="G11" s="66" t="s">
        <v>340</v>
      </c>
      <c r="H11" s="51">
        <f>[5]酒店主体!J11</f>
        <v>221.87889924160299</v>
      </c>
      <c r="I11" s="52">
        <f>[5]酒店主体!K11</f>
        <v>225.60569427276499</v>
      </c>
      <c r="J11" s="53">
        <f>[5]酒店主体!M11</f>
        <v>-1.6519064570486599E-2</v>
      </c>
      <c r="K11" s="52">
        <f>[5]酒店主体!N11</f>
        <v>214.34107456140401</v>
      </c>
      <c r="L11" s="54">
        <f>[5]酒店主体!P11</f>
        <v>3.5167429740773103E-2</v>
      </c>
      <c r="M11" s="51">
        <f>[5]酒店主体!S11</f>
        <v>221.87889924160299</v>
      </c>
      <c r="N11" s="55">
        <f>[5]酒店主体!T11</f>
        <v>225.60569427276499</v>
      </c>
      <c r="O11" s="53">
        <f>[5]酒店主体!V11</f>
        <v>-1.6519064570486599E-2</v>
      </c>
      <c r="P11" s="52">
        <f>[5]酒店主体!W11</f>
        <v>214.34107456140401</v>
      </c>
      <c r="Q11" s="56">
        <f>[5]酒店主体!Y11</f>
        <v>3.5167429740773103E-2</v>
      </c>
      <c r="R11" s="57">
        <f>[5]酒店主体!Z11</f>
        <v>214.84119295426001</v>
      </c>
      <c r="S11" s="58">
        <f>[5]酒店主体!AA11</f>
        <v>1.03275771368874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5" ht="16.5" customHeight="1">
      <c r="A12" s="47"/>
      <c r="B12" s="47"/>
      <c r="C12" s="48"/>
      <c r="D12" s="48"/>
      <c r="E12" s="49"/>
      <c r="F12" s="36"/>
      <c r="G12" s="50" t="s">
        <v>341</v>
      </c>
      <c r="H12" s="51">
        <f>[5]酒店主体!J12</f>
        <v>230.93620207487601</v>
      </c>
      <c r="I12" s="52">
        <f>[5]酒店主体!K12</f>
        <v>225.60569427276499</v>
      </c>
      <c r="J12" s="53">
        <f>[5]酒店主体!M12</f>
        <v>2.36275410480839E-2</v>
      </c>
      <c r="K12" s="52">
        <f>[5]酒店主体!N12</f>
        <v>225.59614541257901</v>
      </c>
      <c r="L12" s="54">
        <f>[5]酒店主体!P12</f>
        <v>2.3670868367588901E-2</v>
      </c>
      <c r="M12" s="51">
        <f>[5]酒店主体!S12</f>
        <v>230.93620207487601</v>
      </c>
      <c r="N12" s="55">
        <f>[5]酒店主体!T12</f>
        <v>225.60569427276499</v>
      </c>
      <c r="O12" s="53">
        <f>[5]酒店主体!V12</f>
        <v>2.36275410480839E-2</v>
      </c>
      <c r="P12" s="52">
        <f>[5]酒店主体!W12</f>
        <v>225.59614541257901</v>
      </c>
      <c r="Q12" s="56">
        <f>[5]酒店主体!Y12</f>
        <v>2.3670868367588901E-2</v>
      </c>
      <c r="R12" s="57">
        <f>[5]酒店主体!Z12</f>
        <v>214.84119295426001</v>
      </c>
      <c r="S12" s="58">
        <f>[5]酒店主体!AA12</f>
        <v>1.0749158431830299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5" ht="16.5" customHeight="1">
      <c r="A13" s="73"/>
      <c r="B13" s="73"/>
      <c r="C13" s="73"/>
      <c r="D13" s="73"/>
      <c r="E13" s="73"/>
      <c r="F13" s="36"/>
      <c r="G13" s="74" t="s">
        <v>342</v>
      </c>
      <c r="H13" s="75">
        <f>[5]酒店主体!J13</f>
        <v>49.896263522073902</v>
      </c>
      <c r="I13" s="76">
        <f>[5]酒店主体!K13</f>
        <v>53.361760062372099</v>
      </c>
      <c r="J13" s="77">
        <f>[5]酒店主体!M13</f>
        <v>-6.4943445198351005E-2</v>
      </c>
      <c r="K13" s="76">
        <f>[5]酒店主体!N13</f>
        <v>38.101366338563501</v>
      </c>
      <c r="L13" s="78">
        <f>[5]酒店主体!P13</f>
        <v>0.30956625226251899</v>
      </c>
      <c r="M13" s="75">
        <f>[5]酒店主体!S13</f>
        <v>49.896263522073902</v>
      </c>
      <c r="N13" s="79">
        <f>[5]酒店主体!T13</f>
        <v>53.361760062372099</v>
      </c>
      <c r="O13" s="77">
        <f>[5]酒店主体!V13</f>
        <v>-6.4943445198351005E-2</v>
      </c>
      <c r="P13" s="76">
        <f>[5]酒店主体!W13</f>
        <v>38.101366338563501</v>
      </c>
      <c r="Q13" s="80">
        <f>[5]酒店主体!Y13</f>
        <v>0.30956625226251899</v>
      </c>
      <c r="R13" s="81">
        <f>[5]酒店主体!Z13</f>
        <v>68.599273931217198</v>
      </c>
      <c r="S13" s="82">
        <f>[5]酒店主体!AA13</f>
        <v>0.72735847863497305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spans="1:45" ht="16.5" customHeight="1">
      <c r="A14" s="73"/>
      <c r="B14" s="73"/>
      <c r="C14" s="73"/>
      <c r="D14" s="73"/>
      <c r="E14" s="73"/>
      <c r="F14" s="36"/>
      <c r="G14" s="83"/>
      <c r="H14" s="84"/>
      <c r="I14" s="84"/>
      <c r="J14" s="85"/>
      <c r="K14" s="84"/>
      <c r="L14" s="85"/>
      <c r="M14" s="84"/>
      <c r="N14" s="84"/>
      <c r="O14" s="85"/>
      <c r="P14" s="84"/>
      <c r="Q14" s="85"/>
      <c r="R14" s="84"/>
      <c r="S14" s="86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5" s="3" customFormat="1" ht="16.5" customHeight="1">
      <c r="A15" s="73"/>
      <c r="B15" s="73"/>
      <c r="C15" s="73"/>
      <c r="D15" s="73"/>
      <c r="E15" s="73"/>
      <c r="F15" s="36"/>
      <c r="G15" s="87" t="s">
        <v>343</v>
      </c>
      <c r="H15" s="88" t="s">
        <v>331</v>
      </c>
      <c r="I15" s="89" t="s">
        <v>249</v>
      </c>
      <c r="J15" s="90" t="s">
        <v>332</v>
      </c>
      <c r="K15" s="91" t="s">
        <v>270</v>
      </c>
      <c r="L15" s="90" t="s">
        <v>332</v>
      </c>
      <c r="M15" s="92" t="s">
        <v>331</v>
      </c>
      <c r="N15" s="93" t="s">
        <v>249</v>
      </c>
      <c r="O15" s="94" t="s">
        <v>332</v>
      </c>
      <c r="P15" s="93" t="s">
        <v>270</v>
      </c>
      <c r="Q15" s="95" t="s">
        <v>332</v>
      </c>
      <c r="R15" s="96" t="s">
        <v>245</v>
      </c>
      <c r="S15" s="97" t="s">
        <v>11</v>
      </c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</row>
    <row r="16" spans="1:45" s="4" customFormat="1" ht="16.5" customHeight="1">
      <c r="A16" s="99"/>
      <c r="B16" s="99"/>
      <c r="C16" s="73"/>
      <c r="D16" s="73"/>
      <c r="E16" s="100"/>
      <c r="F16" s="36"/>
      <c r="G16" s="351" t="s">
        <v>344</v>
      </c>
      <c r="H16" s="352">
        <f>[5]酒店主体!J16</f>
        <v>1136568.83</v>
      </c>
      <c r="I16" s="353">
        <f>[5]酒店主体!K16</f>
        <v>1160828.73</v>
      </c>
      <c r="J16" s="354">
        <f>[5]酒店主体!M16</f>
        <v>-2.0898776342311801E-2</v>
      </c>
      <c r="K16" s="353">
        <f>[5]酒店主体!N16</f>
        <v>1251789.25</v>
      </c>
      <c r="L16" s="355">
        <f>[5]酒店主体!P16</f>
        <v>-9.2044583383344994E-2</v>
      </c>
      <c r="M16" s="352">
        <f>[5]酒店主体!S16</f>
        <v>1136568.83</v>
      </c>
      <c r="N16" s="353">
        <f>[5]酒店主体!T16</f>
        <v>1160828.73</v>
      </c>
      <c r="O16" s="354">
        <f>[5]酒店主体!V16</f>
        <v>-2.0898776342311801E-2</v>
      </c>
      <c r="P16" s="353">
        <f>[5]酒店主体!W16</f>
        <v>1251789.25</v>
      </c>
      <c r="Q16" s="356">
        <f>[5]酒店主体!Y16</f>
        <v>-9.2044583383344994E-2</v>
      </c>
      <c r="R16" s="357">
        <f>[5]酒店主体!Z16</f>
        <v>17816639.27</v>
      </c>
      <c r="S16" s="358">
        <f>[5]酒店主体!AA16</f>
        <v>6.3792548795314999E-2</v>
      </c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</row>
    <row r="17" spans="1:41" ht="16.5" customHeight="1">
      <c r="B17" s="47"/>
      <c r="C17" s="48"/>
      <c r="D17" s="48"/>
      <c r="E17" s="48" t="s">
        <v>345</v>
      </c>
      <c r="F17" s="36"/>
      <c r="G17" s="102" t="s">
        <v>346</v>
      </c>
      <c r="H17" s="103">
        <f>[5]酒店主体!J17</f>
        <v>251127.97</v>
      </c>
      <c r="I17" s="104">
        <f>[5]酒店主体!K17</f>
        <v>277975.51</v>
      </c>
      <c r="J17" s="105">
        <f>[5]酒店主体!M17</f>
        <v>-9.6582393175571601E-2</v>
      </c>
      <c r="K17" s="104">
        <f>[5]酒店主体!N17</f>
        <v>395021.8</v>
      </c>
      <c r="L17" s="106">
        <f>[5]酒店主体!P17</f>
        <v>-0.36426807330633398</v>
      </c>
      <c r="M17" s="103">
        <f>[5]酒店主体!S17</f>
        <v>251127.97</v>
      </c>
      <c r="N17" s="104">
        <f>[5]酒店主体!T17</f>
        <v>277975.51</v>
      </c>
      <c r="O17" s="105">
        <f>[5]酒店主体!V17</f>
        <v>-9.6582393175571601E-2</v>
      </c>
      <c r="P17" s="104">
        <f>[5]酒店主体!W17</f>
        <v>395021.8</v>
      </c>
      <c r="Q17" s="107">
        <f>[5]酒店主体!Y17</f>
        <v>-0.36426807330633398</v>
      </c>
      <c r="R17" s="108">
        <f>[5]酒店主体!Z17</f>
        <v>4134679.12</v>
      </c>
      <c r="S17" s="109">
        <f>[5]酒店主体!AA17</f>
        <v>6.07369913629476E-2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spans="1:41" ht="16.5" customHeight="1">
      <c r="A18" s="47"/>
      <c r="B18" s="47"/>
      <c r="C18" s="48"/>
      <c r="D18" s="48"/>
      <c r="E18" s="49"/>
      <c r="F18" s="36"/>
      <c r="G18" s="110" t="s">
        <v>347</v>
      </c>
      <c r="H18" s="51">
        <f>[5]酒店主体!J18</f>
        <v>381828.39</v>
      </c>
      <c r="I18" s="55">
        <f>[5]酒店主体!K18</f>
        <v>427550.53</v>
      </c>
      <c r="J18" s="111">
        <f>[5]酒店主体!M18</f>
        <v>-0.106939734117509</v>
      </c>
      <c r="K18" s="55">
        <f>[5]酒店主体!N18</f>
        <v>485558.88</v>
      </c>
      <c r="L18" s="112">
        <f>[5]酒店主体!P18</f>
        <v>-0.21363112543632201</v>
      </c>
      <c r="M18" s="51">
        <f>[5]酒店主体!S18</f>
        <v>381828.39</v>
      </c>
      <c r="N18" s="55">
        <f>[5]酒店主体!T18</f>
        <v>427550.53</v>
      </c>
      <c r="O18" s="111">
        <f>[5]酒店主体!V18</f>
        <v>-0.106939734117509</v>
      </c>
      <c r="P18" s="55">
        <f>[5]酒店主体!W18</f>
        <v>485558.88</v>
      </c>
      <c r="Q18" s="113">
        <f>[5]酒店主体!Y18</f>
        <v>-0.21363112543632201</v>
      </c>
      <c r="R18" s="108">
        <f>[5]酒店主体!Z18</f>
        <v>5506060.0999999996</v>
      </c>
      <c r="S18" s="109">
        <f>[5]酒店主体!AA18</f>
        <v>6.9346934662046306E-2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1:41" ht="16.5" customHeight="1">
      <c r="A19" s="47"/>
      <c r="B19" s="47"/>
      <c r="C19" s="48"/>
      <c r="D19" s="48"/>
      <c r="E19" s="49"/>
      <c r="F19" s="36"/>
      <c r="G19" s="114" t="s">
        <v>348</v>
      </c>
      <c r="H19" s="51">
        <f>[5]酒店主体!J19</f>
        <v>445590.2</v>
      </c>
      <c r="I19" s="55">
        <f>[5]酒店主体!K19</f>
        <v>545095.5</v>
      </c>
      <c r="J19" s="111">
        <f>[5]酒店主体!M19</f>
        <v>-0.182546544596314</v>
      </c>
      <c r="K19" s="55">
        <f>[5]酒店主体!N19</f>
        <v>550657.59</v>
      </c>
      <c r="L19" s="112">
        <f>[5]酒店主体!P19</f>
        <v>-0.19080349005994801</v>
      </c>
      <c r="M19" s="51">
        <f>[5]酒店主体!S19</f>
        <v>445590.2</v>
      </c>
      <c r="N19" s="55">
        <f>[5]酒店主体!T19</f>
        <v>545095.5</v>
      </c>
      <c r="O19" s="111">
        <f>[5]酒店主体!V19</f>
        <v>-0.182546544596314</v>
      </c>
      <c r="P19" s="55">
        <f>[5]酒店主体!W19</f>
        <v>550657.59</v>
      </c>
      <c r="Q19" s="113">
        <f>[5]酒店主体!Y19</f>
        <v>-0.19080349005994801</v>
      </c>
      <c r="R19" s="108">
        <f>[5]酒店主体!Z19</f>
        <v>6208649.6699999999</v>
      </c>
      <c r="S19" s="109">
        <f>[5]酒店主体!AA19</f>
        <v>7.1769261221659497E-2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 s="5" customFormat="1" ht="16.5" customHeight="1">
      <c r="A20" s="47"/>
      <c r="B20" s="47"/>
      <c r="C20" s="48"/>
      <c r="D20" s="48"/>
      <c r="E20" s="49"/>
      <c r="F20" s="115"/>
      <c r="G20" s="116" t="s">
        <v>349</v>
      </c>
      <c r="H20" s="117">
        <f>[5]酒店主体!J20</f>
        <v>58022.27</v>
      </c>
      <c r="I20" s="118">
        <f>[5]酒店主体!K20</f>
        <v>-89792.8100000001</v>
      </c>
      <c r="J20" s="119">
        <f>[5]酒店主体!M20</f>
        <v>1.64617946581692</v>
      </c>
      <c r="K20" s="118">
        <f>[5]酒店主体!N20</f>
        <v>-179449.02</v>
      </c>
      <c r="L20" s="120">
        <f>[5]酒店主体!P20</f>
        <v>1.3233356749454499</v>
      </c>
      <c r="M20" s="117">
        <f>[5]酒店主体!S20</f>
        <v>58022.27</v>
      </c>
      <c r="N20" s="118">
        <f>[5]酒店主体!T20</f>
        <v>-89792.8100000001</v>
      </c>
      <c r="O20" s="119">
        <f>[5]酒店主体!V20</f>
        <v>1.64617946581692</v>
      </c>
      <c r="P20" s="118">
        <f>[5]酒店主体!W20</f>
        <v>-179449.02</v>
      </c>
      <c r="Q20" s="121">
        <f>[5]酒店主体!Y20</f>
        <v>1.3233356749454499</v>
      </c>
      <c r="R20" s="122">
        <f>[5]酒店主体!Z20</f>
        <v>1967250.38</v>
      </c>
      <c r="S20" s="123">
        <f>[5]酒店主体!AA20</f>
        <v>2.94940952051055E-2</v>
      </c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</row>
    <row r="21" spans="1:41" s="6" customFormat="1" ht="16.5" customHeight="1">
      <c r="A21" s="125"/>
      <c r="B21" s="125"/>
      <c r="C21" s="126"/>
      <c r="D21" s="126"/>
      <c r="E21" s="127"/>
      <c r="F21" s="128"/>
      <c r="G21" s="129" t="s">
        <v>350</v>
      </c>
      <c r="H21" s="130">
        <f>[5]酒店主体!J21</f>
        <v>5.1050379412569298E-2</v>
      </c>
      <c r="I21" s="131">
        <f>[5]酒店主体!K21</f>
        <v>-7.7352332587426603E-2</v>
      </c>
      <c r="J21" s="130">
        <f>[5]酒店主体!M21</f>
        <v>1.65997207459607</v>
      </c>
      <c r="K21" s="131">
        <f>[5]酒店主体!N21</f>
        <v>-0.143354019057122</v>
      </c>
      <c r="L21" s="132">
        <f>[5]酒店主体!P21</f>
        <v>1.3561140437382999</v>
      </c>
      <c r="M21" s="130">
        <f>[5]酒店主体!S21</f>
        <v>5.1050379412569298E-2</v>
      </c>
      <c r="N21" s="131">
        <f>[5]酒店主体!T21</f>
        <v>-7.7352332587426603E-2</v>
      </c>
      <c r="O21" s="130">
        <f>[5]酒店主体!V21</f>
        <v>1.65997207459607</v>
      </c>
      <c r="P21" s="131">
        <f>[5]酒店主体!W21</f>
        <v>-0.143354019057122</v>
      </c>
      <c r="Q21" s="133">
        <f>[5]酒店主体!Y21</f>
        <v>1.3561140437382999</v>
      </c>
      <c r="R21" s="134">
        <f>[5]酒店主体!Z21</f>
        <v>0.110416468009907</v>
      </c>
      <c r="S21" s="135">
        <f>[5]酒店主体!AA21</f>
        <v>0.46234389065940001</v>
      </c>
      <c r="T21" s="136"/>
      <c r="U21" s="136"/>
      <c r="V21" s="136"/>
      <c r="W21" s="136"/>
      <c r="X21" s="136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</row>
    <row r="22" spans="1:41" ht="16.5" customHeight="1">
      <c r="A22" s="47"/>
      <c r="B22" s="47"/>
      <c r="C22" s="48"/>
      <c r="D22" s="48"/>
      <c r="E22" s="49"/>
      <c r="G22" s="138" t="s">
        <v>351</v>
      </c>
      <c r="H22" s="51">
        <f>[5]酒店主体!J22</f>
        <v>28531.81</v>
      </c>
      <c r="I22" s="55">
        <f>[5]酒店主体!K22</f>
        <v>17412.43</v>
      </c>
      <c r="J22" s="111">
        <f>[5]酒店主体!M22</f>
        <v>0.63858864041377295</v>
      </c>
      <c r="K22" s="55">
        <f>[5]酒店主体!N22</f>
        <v>28984.99</v>
      </c>
      <c r="L22" s="112">
        <f>[5]酒店主体!P22</f>
        <v>-1.5634989006378799E-2</v>
      </c>
      <c r="M22" s="51">
        <f>[5]酒店主体!S22</f>
        <v>28531.81</v>
      </c>
      <c r="N22" s="55">
        <f>[5]酒店主体!T22</f>
        <v>17412.43</v>
      </c>
      <c r="O22" s="111">
        <f>[5]酒店主体!V22</f>
        <v>0.63858864041377295</v>
      </c>
      <c r="P22" s="55">
        <f>[5]酒店主体!W22</f>
        <v>28984.99</v>
      </c>
      <c r="Q22" s="113">
        <f>[5]酒店主体!Y22</f>
        <v>-1.5634989006378799E-2</v>
      </c>
      <c r="R22" s="108">
        <f>[5]酒店主体!Z22</f>
        <v>267249.61</v>
      </c>
      <c r="S22" s="109">
        <f>[5]酒店主体!AA22</f>
        <v>0.106760904159972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 spans="1:41" ht="16.5" customHeight="1">
      <c r="A23" s="47"/>
      <c r="B23" s="47"/>
      <c r="C23" s="48"/>
      <c r="D23" s="48"/>
      <c r="E23" s="49"/>
      <c r="G23" s="138" t="s">
        <v>352</v>
      </c>
      <c r="H23" s="51">
        <f>[5]酒店主体!J23</f>
        <v>-138945.96</v>
      </c>
      <c r="I23" s="55">
        <f>[5]酒店主体!K23</f>
        <v>-141666</v>
      </c>
      <c r="J23" s="111">
        <f>[5]酒店主体!M23</f>
        <v>1.9200372707636301E-2</v>
      </c>
      <c r="K23" s="55">
        <f>[5]酒店主体!N23</f>
        <v>-143525.92000000001</v>
      </c>
      <c r="L23" s="112">
        <f>[5]酒店主体!P23</f>
        <v>3.19103336874621E-2</v>
      </c>
      <c r="M23" s="51">
        <f>[5]酒店主体!S23</f>
        <v>-138945.96</v>
      </c>
      <c r="N23" s="55">
        <f>[5]酒店主体!T23</f>
        <v>-141666</v>
      </c>
      <c r="O23" s="111">
        <f>[5]酒店主体!V23</f>
        <v>1.9200372707636301E-2</v>
      </c>
      <c r="P23" s="55">
        <f>[5]酒店主体!W23</f>
        <v>-143525.92000000001</v>
      </c>
      <c r="Q23" s="113">
        <f>[5]酒店主体!Y23</f>
        <v>3.19103336874621E-2</v>
      </c>
      <c r="R23" s="108">
        <f>[5]酒店主体!Z23</f>
        <v>-1700000</v>
      </c>
      <c r="S23" s="109">
        <f>[5]酒店主体!AA23</f>
        <v>1.91826708235294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spans="1:41" s="5" customFormat="1" ht="16.5" customHeight="1">
      <c r="A24" s="47"/>
      <c r="B24" s="47"/>
      <c r="C24" s="48"/>
      <c r="D24" s="48"/>
      <c r="E24" s="49"/>
      <c r="F24" s="16"/>
      <c r="G24" s="139" t="s">
        <v>353</v>
      </c>
      <c r="H24" s="140">
        <f>[5]酒店主体!J24</f>
        <v>-109455.5</v>
      </c>
      <c r="I24" s="141">
        <f>[5]酒店主体!K24</f>
        <v>-248871.24</v>
      </c>
      <c r="J24" s="142">
        <f>[5]酒店主体!M24</f>
        <v>0.56019225041832899</v>
      </c>
      <c r="K24" s="141">
        <f>[5]酒店主体!N24</f>
        <v>-351959.93</v>
      </c>
      <c r="L24" s="143">
        <f>[5]酒店主体!P24</f>
        <v>0.68901147355041203</v>
      </c>
      <c r="M24" s="140">
        <f>[5]酒店主体!S24</f>
        <v>-109455.5</v>
      </c>
      <c r="N24" s="141">
        <f>[5]酒店主体!T24</f>
        <v>-248871.24</v>
      </c>
      <c r="O24" s="142">
        <f>[5]酒店主体!V24</f>
        <v>0.56019225041832899</v>
      </c>
      <c r="P24" s="141">
        <f>[5]酒店主体!W24</f>
        <v>-351959.93</v>
      </c>
      <c r="Q24" s="144">
        <f>[5]酒店主体!Y24</f>
        <v>0.68901147355041203</v>
      </c>
      <c r="R24" s="122">
        <f>[5]酒店主体!Z24</f>
        <v>0.76999999908730399</v>
      </c>
      <c r="S24" s="123">
        <f>[5]酒店主体!AA24</f>
        <v>-142150.00016849299</v>
      </c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</row>
    <row r="25" spans="1:41" ht="16.5" customHeight="1">
      <c r="A25" s="47"/>
      <c r="B25" s="47"/>
      <c r="C25" s="48"/>
      <c r="D25" s="48"/>
      <c r="E25" s="49"/>
      <c r="G25" s="138" t="s">
        <v>354</v>
      </c>
      <c r="H25" s="51">
        <f>[5]酒店主体!J25</f>
        <v>0</v>
      </c>
      <c r="I25" s="55">
        <f>[5]酒店主体!K25</f>
        <v>0</v>
      </c>
      <c r="J25" s="111" t="str">
        <f>[5]酒店主体!M25</f>
        <v/>
      </c>
      <c r="K25" s="55">
        <f>[5]酒店主体!N25</f>
        <v>45500.583100000003</v>
      </c>
      <c r="L25" s="112">
        <f>[5]酒店主体!P25</f>
        <v>-1</v>
      </c>
      <c r="M25" s="51">
        <f>[5]酒店主体!S25</f>
        <v>0</v>
      </c>
      <c r="N25" s="55">
        <f>[5]酒店主体!T25</f>
        <v>0</v>
      </c>
      <c r="O25" s="111" t="str">
        <f>[5]酒店主体!V25</f>
        <v/>
      </c>
      <c r="P25" s="55">
        <f>[5]酒店主体!W25</f>
        <v>45500.583100000003</v>
      </c>
      <c r="Q25" s="113">
        <f>[5]酒店主体!Y25</f>
        <v>-1</v>
      </c>
      <c r="R25" s="108">
        <f>[5]酒店主体!Z25</f>
        <v>0</v>
      </c>
      <c r="S25" s="109" t="str">
        <f>[5]酒店主体!AA25</f>
        <v/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spans="1:41" s="5" customFormat="1" ht="16.5" customHeight="1">
      <c r="A26" s="47"/>
      <c r="B26" s="47"/>
      <c r="C26" s="48"/>
      <c r="D26" s="48"/>
      <c r="E26" s="49"/>
      <c r="F26" s="16"/>
      <c r="G26" s="145" t="s">
        <v>355</v>
      </c>
      <c r="H26" s="117">
        <f>[5]酒店主体!J26</f>
        <v>-109455.5</v>
      </c>
      <c r="I26" s="118">
        <f>[5]酒店主体!K26</f>
        <v>-248871.24</v>
      </c>
      <c r="J26" s="146">
        <f>[5]酒店主体!M26</f>
        <v>0.56019225041832899</v>
      </c>
      <c r="K26" s="118">
        <f>[5]酒店主体!N26</f>
        <v>-397460.51309999998</v>
      </c>
      <c r="L26" s="147">
        <f>[5]酒店主体!P26</f>
        <v>0.72461289513692795</v>
      </c>
      <c r="M26" s="117">
        <f>[5]酒店主体!S26</f>
        <v>-109455.5</v>
      </c>
      <c r="N26" s="118">
        <f>[5]酒店主体!T26</f>
        <v>-248871.24</v>
      </c>
      <c r="O26" s="146">
        <f>[5]酒店主体!V26</f>
        <v>0.56019225041832899</v>
      </c>
      <c r="P26" s="118">
        <f>[5]酒店主体!W26</f>
        <v>-397460.51309999998</v>
      </c>
      <c r="Q26" s="148">
        <f>[5]酒店主体!Y26</f>
        <v>0.72461289513692795</v>
      </c>
      <c r="R26" s="122">
        <f>[5]酒店主体!Z26</f>
        <v>0.76999999908730399</v>
      </c>
      <c r="S26" s="123">
        <f>[5]酒店主体!AA26</f>
        <v>-142150.00016849299</v>
      </c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</row>
    <row r="27" spans="1:41" ht="16.5" customHeight="1">
      <c r="A27" s="47"/>
      <c r="B27" s="47"/>
      <c r="C27" s="48"/>
      <c r="D27" s="48"/>
      <c r="E27" s="49"/>
      <c r="G27" s="138" t="s">
        <v>356</v>
      </c>
      <c r="H27" s="51">
        <f>[5]酒店主体!J27</f>
        <v>624953.99</v>
      </c>
      <c r="I27" s="55">
        <f>[5]酒店主体!K27</f>
        <v>620425.76</v>
      </c>
      <c r="J27" s="111">
        <f>[5]酒店主体!M27</f>
        <v>7.2985847654036496E-3</v>
      </c>
      <c r="K27" s="55">
        <f>[5]酒店主体!N27</f>
        <v>616149.55000000005</v>
      </c>
      <c r="L27" s="112">
        <f>[5]酒店主体!P27</f>
        <v>1.42894529420661E-2</v>
      </c>
      <c r="M27" s="51">
        <f>[5]酒店主体!S27</f>
        <v>624953.99</v>
      </c>
      <c r="N27" s="55">
        <f>[5]酒店主体!T27</f>
        <v>620425.76</v>
      </c>
      <c r="O27" s="111">
        <f>[5]酒店主体!V27</f>
        <v>7.2985847654036496E-3</v>
      </c>
      <c r="P27" s="55">
        <f>[5]酒店主体!W27</f>
        <v>616149.55000000005</v>
      </c>
      <c r="Q27" s="113">
        <f>[5]酒店主体!Y27</f>
        <v>1.42894529420661E-2</v>
      </c>
      <c r="R27" s="108">
        <f>[5]酒店主体!Z27</f>
        <v>7427572.1200000001</v>
      </c>
      <c r="S27" s="109">
        <f>[5]酒店主体!AA27</f>
        <v>8.4139740402816798E-2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spans="1:41" ht="16.5" customHeight="1">
      <c r="A28" s="47"/>
      <c r="B28" s="47"/>
      <c r="C28" s="48"/>
      <c r="D28" s="48"/>
      <c r="E28" s="49"/>
      <c r="G28" s="138" t="s">
        <v>357</v>
      </c>
      <c r="H28" s="51">
        <f>[5]酒店主体!J28</f>
        <v>0</v>
      </c>
      <c r="I28" s="55">
        <f>[5]酒店主体!K28</f>
        <v>0</v>
      </c>
      <c r="J28" s="111" t="str">
        <f>[5]酒店主体!M28</f>
        <v/>
      </c>
      <c r="K28" s="55">
        <f>[5]酒店主体!N28</f>
        <v>0</v>
      </c>
      <c r="L28" s="112" t="str">
        <f>[5]酒店主体!P28</f>
        <v/>
      </c>
      <c r="M28" s="51">
        <f>[5]酒店主体!S28</f>
        <v>0</v>
      </c>
      <c r="N28" s="55">
        <f>[5]酒店主体!T28</f>
        <v>0</v>
      </c>
      <c r="O28" s="111" t="str">
        <f>[5]酒店主体!V28</f>
        <v/>
      </c>
      <c r="P28" s="55">
        <f>[5]酒店主体!W28</f>
        <v>0</v>
      </c>
      <c r="Q28" s="113" t="str">
        <f>[5]酒店主体!Y28</f>
        <v/>
      </c>
      <c r="R28" s="108">
        <f>[5]酒店主体!Z28</f>
        <v>0</v>
      </c>
      <c r="S28" s="109" t="str">
        <f>[5]酒店主体!AA28</f>
        <v/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 spans="1:41" s="5" customFormat="1" ht="16.5" customHeight="1">
      <c r="A29" s="47"/>
      <c r="B29" s="47"/>
      <c r="C29" s="48"/>
      <c r="D29" s="48"/>
      <c r="E29" s="49"/>
      <c r="F29" s="16"/>
      <c r="G29" s="149" t="s">
        <v>358</v>
      </c>
      <c r="H29" s="150">
        <f>[5]酒店主体!J29</f>
        <v>-734409.49</v>
      </c>
      <c r="I29" s="151">
        <f>[5]酒店主体!K29</f>
        <v>-869297</v>
      </c>
      <c r="J29" s="152">
        <f>[5]酒店主体!M29</f>
        <v>0.155168498223277</v>
      </c>
      <c r="K29" s="151">
        <f>[5]酒店主体!N29</f>
        <v>-1013610.0631</v>
      </c>
      <c r="L29" s="153">
        <f>[5]酒店主体!P29</f>
        <v>0.275451658644844</v>
      </c>
      <c r="M29" s="150">
        <f>[5]酒店主体!S29</f>
        <v>-734409.49</v>
      </c>
      <c r="N29" s="151">
        <f>[5]酒店主体!T29</f>
        <v>-869297</v>
      </c>
      <c r="O29" s="152">
        <f>[5]酒店主体!V29</f>
        <v>0.155168498223277</v>
      </c>
      <c r="P29" s="151">
        <f>[5]酒店主体!W29</f>
        <v>-1013610.0631</v>
      </c>
      <c r="Q29" s="154">
        <f>[5]酒店主体!Y29</f>
        <v>0.275451658644844</v>
      </c>
      <c r="R29" s="155">
        <f>[5]酒店主体!Z29</f>
        <v>-7427571.3499999996</v>
      </c>
      <c r="S29" s="156">
        <f>[5]酒店主体!AA29</f>
        <v>1.9011238727447599</v>
      </c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</row>
    <row r="30" spans="1:41" ht="16.5" customHeight="1">
      <c r="A30" s="47"/>
      <c r="B30" s="47"/>
      <c r="C30" s="48"/>
      <c r="D30" s="48"/>
      <c r="E30" s="49"/>
      <c r="G30" s="359" t="s">
        <v>359</v>
      </c>
      <c r="H30" s="157"/>
      <c r="I30" s="157"/>
      <c r="J30" s="158"/>
      <c r="K30" s="157"/>
      <c r="L30" s="159"/>
      <c r="M30" s="157"/>
      <c r="N30" s="157"/>
      <c r="O30" s="158"/>
      <c r="P30" s="157"/>
      <c r="Q30" s="158"/>
      <c r="R30" s="160"/>
      <c r="S30" s="109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1:41" ht="16.5" customHeight="1">
      <c r="A31" s="47"/>
      <c r="B31" s="47"/>
      <c r="C31" s="48"/>
      <c r="D31" s="48"/>
      <c r="E31" s="49"/>
      <c r="G31" s="161" t="s">
        <v>360</v>
      </c>
      <c r="H31" s="51">
        <f>[5]酒店主体!J31</f>
        <v>539485.22</v>
      </c>
      <c r="I31" s="55">
        <f>[5]酒店主体!K31</f>
        <v>588515.1</v>
      </c>
      <c r="J31" s="53">
        <f>[5]酒店主体!M31</f>
        <v>-8.3311167377013801E-2</v>
      </c>
      <c r="K31" s="55">
        <f>[5]酒店主体!N31</f>
        <v>683152.78</v>
      </c>
      <c r="L31" s="54">
        <f>[5]酒店主体!P31</f>
        <v>-0.21030077635049699</v>
      </c>
      <c r="M31" s="51">
        <f>[5]酒店主体!S31</f>
        <v>539485.22</v>
      </c>
      <c r="N31" s="55">
        <f>[5]酒店主体!T31</f>
        <v>588515.1</v>
      </c>
      <c r="O31" s="53">
        <f>[5]酒店主体!V31</f>
        <v>-8.3311167377013801E-2</v>
      </c>
      <c r="P31" s="55">
        <f>[5]酒店主体!W31</f>
        <v>683152.78</v>
      </c>
      <c r="Q31" s="56">
        <f>[5]酒店主体!Y31</f>
        <v>-0.21030077635049699</v>
      </c>
      <c r="R31" s="108">
        <f>[5]酒店主体!Z31</f>
        <v>7179133.0300000003</v>
      </c>
      <c r="S31" s="109">
        <f>[5]酒店主体!AA31</f>
        <v>7.5146291027845702E-2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spans="1:41" ht="16.5" customHeight="1">
      <c r="A32" s="47"/>
      <c r="B32" s="47"/>
      <c r="C32" s="48"/>
      <c r="D32" s="48"/>
      <c r="E32" s="49"/>
      <c r="G32" s="161" t="s">
        <v>361</v>
      </c>
      <c r="H32" s="51">
        <f>[5]酒店主体!J32</f>
        <v>25000</v>
      </c>
      <c r="I32" s="55">
        <f>[5]酒店主体!K32</f>
        <v>25000</v>
      </c>
      <c r="J32" s="53">
        <f>[5]酒店主体!M32</f>
        <v>0</v>
      </c>
      <c r="K32" s="55">
        <f>[5]酒店主体!N32</f>
        <v>50000</v>
      </c>
      <c r="L32" s="54">
        <f>[5]酒店主体!P32</f>
        <v>-0.5</v>
      </c>
      <c r="M32" s="51">
        <f>[5]酒店主体!S32</f>
        <v>25000</v>
      </c>
      <c r="N32" s="55">
        <f>[5]酒店主体!T32</f>
        <v>25000</v>
      </c>
      <c r="O32" s="53">
        <f>[5]酒店主体!V32</f>
        <v>0</v>
      </c>
      <c r="P32" s="55">
        <f>[5]酒店主体!W32</f>
        <v>50000</v>
      </c>
      <c r="Q32" s="56">
        <f>[5]酒店主体!Y32</f>
        <v>-0.5</v>
      </c>
      <c r="R32" s="108">
        <f>[5]酒店主体!Z32</f>
        <v>300000</v>
      </c>
      <c r="S32" s="109">
        <f>[5]酒店主体!AA32</f>
        <v>8.3333333333333301E-2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 spans="1:41" s="7" customFormat="1" ht="16.5" customHeight="1">
      <c r="A33" s="125"/>
      <c r="B33" s="125"/>
      <c r="C33" s="126"/>
      <c r="D33" s="126"/>
      <c r="E33" s="127"/>
      <c r="F33" s="128"/>
      <c r="G33" s="162" t="s">
        <v>362</v>
      </c>
      <c r="H33" s="163">
        <f>[5]酒店主体!J33</f>
        <v>0.47466128382211598</v>
      </c>
      <c r="I33" s="164">
        <f>[5]酒店主体!K33</f>
        <v>0.50697840671121197</v>
      </c>
      <c r="J33" s="163">
        <f>[5]酒店主体!M33</f>
        <v>-6.3744574643206001E-2</v>
      </c>
      <c r="K33" s="164">
        <f>[5]酒店主体!N33</f>
        <v>0.545741050260657</v>
      </c>
      <c r="L33" s="165">
        <f>[5]酒店主体!P33</f>
        <v>-0.13024449306972999</v>
      </c>
      <c r="M33" s="163">
        <f>[5]酒店主体!S33</f>
        <v>0.47466128382211598</v>
      </c>
      <c r="N33" s="164">
        <f>[5]酒店主体!T33</f>
        <v>0.50697840671121197</v>
      </c>
      <c r="O33" s="163">
        <f>[5]酒店主体!V33</f>
        <v>-6.3744574643206001E-2</v>
      </c>
      <c r="P33" s="164">
        <f>[5]酒店主体!W33</f>
        <v>0.545741050260657</v>
      </c>
      <c r="Q33" s="166">
        <f>[5]酒店主体!Y33</f>
        <v>-0.13024449306972999</v>
      </c>
      <c r="R33" s="167">
        <f>[5]酒店主体!Z33</f>
        <v>0.40294541081540303</v>
      </c>
      <c r="S33" s="168">
        <f>[5]酒店主体!AA33</f>
        <v>1.17797912839257</v>
      </c>
      <c r="T33" s="136"/>
      <c r="U33" s="136"/>
      <c r="V33" s="136"/>
      <c r="W33" s="136"/>
      <c r="X33" s="136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</row>
    <row r="34" spans="1:41" ht="16.5" customHeight="1">
      <c r="A34" s="47"/>
      <c r="B34" s="47"/>
      <c r="C34" s="48"/>
      <c r="D34" s="48"/>
      <c r="E34" s="49"/>
      <c r="G34" s="161" t="s">
        <v>363</v>
      </c>
      <c r="H34" s="51">
        <f>[5]酒店主体!J34</f>
        <v>132997.87</v>
      </c>
      <c r="I34" s="55">
        <f>[5]酒店主体!K34</f>
        <v>144300</v>
      </c>
      <c r="J34" s="111">
        <f>[5]酒店主体!M34</f>
        <v>-7.8323839223839301E-2</v>
      </c>
      <c r="K34" s="55">
        <f>[5]酒店主体!N34</f>
        <v>120892.18</v>
      </c>
      <c r="L34" s="112">
        <f>[5]酒店主体!P34</f>
        <v>0.100136253643536</v>
      </c>
      <c r="M34" s="51">
        <f>[5]酒店主体!S34</f>
        <v>132997.87</v>
      </c>
      <c r="N34" s="55">
        <f>[5]酒店主体!T34</f>
        <v>144300</v>
      </c>
      <c r="O34" s="111">
        <f>[5]酒店主体!V34</f>
        <v>-7.8323839223839301E-2</v>
      </c>
      <c r="P34" s="55">
        <f>[5]酒店主体!W34</f>
        <v>120892.18</v>
      </c>
      <c r="Q34" s="113">
        <f>[5]酒店主体!Y34</f>
        <v>0.100136253643536</v>
      </c>
      <c r="R34" s="108">
        <f>[5]酒店主体!Z34</f>
        <v>1486000</v>
      </c>
      <c r="S34" s="109">
        <f>[5]酒店主体!AA34</f>
        <v>8.9500585464333801E-2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 spans="1:41" s="7" customFormat="1" ht="16.5" customHeight="1">
      <c r="A35" s="125"/>
      <c r="B35" s="125"/>
      <c r="C35" s="126"/>
      <c r="D35" s="126"/>
      <c r="E35" s="127"/>
      <c r="F35" s="128"/>
      <c r="G35" s="170" t="s">
        <v>364</v>
      </c>
      <c r="H35" s="171">
        <f>[5]酒店主体!J35</f>
        <v>0.117016995794263</v>
      </c>
      <c r="I35" s="172">
        <f>[5]酒店主体!K35</f>
        <v>0.124307743485984</v>
      </c>
      <c r="J35" s="171">
        <f>[5]酒店主体!M35</f>
        <v>-5.8650792680046901E-2</v>
      </c>
      <c r="K35" s="172">
        <f>[5]酒店主体!N35</f>
        <v>9.6575505820967897E-2</v>
      </c>
      <c r="L35" s="173">
        <f>[5]酒店主体!P35</f>
        <v>0.21166329701849401</v>
      </c>
      <c r="M35" s="171">
        <f>[5]酒店主体!S35</f>
        <v>0.117016995794263</v>
      </c>
      <c r="N35" s="172">
        <f>[5]酒店主体!T35</f>
        <v>0.124307743485984</v>
      </c>
      <c r="O35" s="171">
        <f>[5]酒店主体!V35</f>
        <v>-5.8650792680046901E-2</v>
      </c>
      <c r="P35" s="172">
        <f>[5]酒店主体!W35</f>
        <v>9.6575505820967897E-2</v>
      </c>
      <c r="Q35" s="174">
        <f>[5]酒店主体!Y35</f>
        <v>0.21166329701849401</v>
      </c>
      <c r="R35" s="167">
        <f>[5]酒店主体!Z35</f>
        <v>8.3405179701996596E-2</v>
      </c>
      <c r="S35" s="168">
        <f>[5]酒店主体!AA35</f>
        <v>1.40299434894043</v>
      </c>
      <c r="T35" s="136"/>
      <c r="U35" s="136"/>
      <c r="V35" s="136"/>
      <c r="W35" s="136"/>
      <c r="X35" s="136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</row>
    <row r="36" spans="1:41" ht="16.5" customHeight="1">
      <c r="A36" s="47"/>
      <c r="B36" s="47"/>
      <c r="C36" s="48"/>
      <c r="D36" s="48"/>
      <c r="E36" s="49"/>
      <c r="G36" s="161" t="s">
        <v>365</v>
      </c>
      <c r="H36" s="51">
        <f>[5]酒店主体!J36</f>
        <v>18239.38</v>
      </c>
      <c r="I36" s="55">
        <f>[5]酒店主体!K36</f>
        <v>28000</v>
      </c>
      <c r="J36" s="111">
        <f>[5]酒店主体!M36</f>
        <v>-0.348593571428572</v>
      </c>
      <c r="K36" s="55">
        <f>[5]酒店主体!N36</f>
        <v>32562.07</v>
      </c>
      <c r="L36" s="112">
        <f>[5]酒店主体!P36</f>
        <v>-0.43985809255983999</v>
      </c>
      <c r="M36" s="51">
        <f>[5]酒店主体!S36</f>
        <v>18239.38</v>
      </c>
      <c r="N36" s="55">
        <f>[5]酒店主体!T36</f>
        <v>28000</v>
      </c>
      <c r="O36" s="111">
        <f>[5]酒店主体!V36</f>
        <v>-0.348593571428572</v>
      </c>
      <c r="P36" s="55">
        <f>[5]酒店主体!W36</f>
        <v>32562.07</v>
      </c>
      <c r="Q36" s="113">
        <f>[5]酒店主体!Y36</f>
        <v>-0.43985809255983999</v>
      </c>
      <c r="R36" s="108">
        <f>[5]酒店主体!Z36</f>
        <v>356000</v>
      </c>
      <c r="S36" s="109">
        <f>[5]酒店主体!AA36</f>
        <v>5.12342134831461E-2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41" s="7" customFormat="1" ht="16.5" customHeight="1">
      <c r="A37" s="125"/>
      <c r="B37" s="125"/>
      <c r="C37" s="126"/>
      <c r="D37" s="126"/>
      <c r="E37" s="127"/>
      <c r="F37" s="128"/>
      <c r="G37" s="162" t="s">
        <v>366</v>
      </c>
      <c r="H37" s="163">
        <f>[5]酒店主体!J37</f>
        <v>1.6047756650162601E-2</v>
      </c>
      <c r="I37" s="164">
        <f>[5]酒店主体!K37</f>
        <v>2.4120698666718898E-2</v>
      </c>
      <c r="J37" s="163">
        <f>[5]酒店主体!M37</f>
        <v>-0.33468939387295399</v>
      </c>
      <c r="K37" s="164">
        <f>[5]酒店主体!N37</f>
        <v>2.6012421819407699E-2</v>
      </c>
      <c r="L37" s="165">
        <f>[5]酒店主体!P37</f>
        <v>-0.38307333467161298</v>
      </c>
      <c r="M37" s="163">
        <f>[5]酒店主体!S37</f>
        <v>1.6047756650162601E-2</v>
      </c>
      <c r="N37" s="164">
        <f>[5]酒店主体!T37</f>
        <v>2.4120698666718898E-2</v>
      </c>
      <c r="O37" s="163">
        <f>[5]酒店主体!V37</f>
        <v>-0.33468939387295399</v>
      </c>
      <c r="P37" s="164">
        <f>[5]酒店主体!W37</f>
        <v>2.6012421819407699E-2</v>
      </c>
      <c r="Q37" s="166">
        <f>[5]酒店主体!Y37</f>
        <v>-0.38307333467161298</v>
      </c>
      <c r="R37" s="167">
        <f>[5]酒店主体!Z37</f>
        <v>1.99813216513532E-2</v>
      </c>
      <c r="S37" s="168">
        <f>[5]酒店主体!AA37</f>
        <v>0.80313789699070304</v>
      </c>
      <c r="T37" s="136"/>
      <c r="U37" s="136"/>
      <c r="V37" s="136"/>
      <c r="W37" s="136"/>
      <c r="X37" s="136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</row>
    <row r="38" spans="1:41" ht="16.5" customHeight="1">
      <c r="A38" s="47"/>
      <c r="B38" s="47"/>
      <c r="C38" s="48"/>
      <c r="D38" s="48"/>
      <c r="E38" s="49"/>
      <c r="G38" s="161" t="s">
        <v>367</v>
      </c>
      <c r="H38" s="51">
        <f>[5]酒店主体!J38</f>
        <v>16269.54</v>
      </c>
      <c r="I38" s="55">
        <f>[5]酒店主体!K38</f>
        <v>27108.63</v>
      </c>
      <c r="J38" s="111">
        <f>[5]酒店主体!M38</f>
        <v>-0.39983909183164201</v>
      </c>
      <c r="K38" s="55">
        <f>[5]酒店主体!N38</f>
        <v>25676.9</v>
      </c>
      <c r="L38" s="112">
        <f>[5]酒店主体!P38</f>
        <v>-0.36637444551328202</v>
      </c>
      <c r="M38" s="51">
        <f>[5]酒店主体!S38</f>
        <v>16269.54</v>
      </c>
      <c r="N38" s="55">
        <f>[5]酒店主体!T38</f>
        <v>27108.63</v>
      </c>
      <c r="O38" s="111">
        <f>[5]酒店主体!V38</f>
        <v>-0.39983909183164201</v>
      </c>
      <c r="P38" s="55">
        <f>[5]酒店主体!W38</f>
        <v>25676.9</v>
      </c>
      <c r="Q38" s="113">
        <f>[5]酒店主体!Y38</f>
        <v>-0.36637444551328202</v>
      </c>
      <c r="R38" s="108">
        <f>[5]酒店主体!Z38</f>
        <v>383000.01</v>
      </c>
      <c r="S38" s="109">
        <f>[5]酒店主体!AA38</f>
        <v>4.24792156010649E-2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s="7" customFormat="1" ht="16.5" customHeight="1">
      <c r="A39" s="125"/>
      <c r="B39" s="125"/>
      <c r="C39" s="126"/>
      <c r="D39" s="126"/>
      <c r="E39" s="127"/>
      <c r="F39" s="128"/>
      <c r="G39" s="175" t="s">
        <v>368</v>
      </c>
      <c r="H39" s="176">
        <f>[5]酒店主体!J39</f>
        <v>1.43146104050733E-2</v>
      </c>
      <c r="I39" s="177">
        <f>[5]酒店主体!K39</f>
        <v>2.33528248391991E-2</v>
      </c>
      <c r="J39" s="176">
        <f>[5]酒店主体!M39</f>
        <v>-0.38702874261937897</v>
      </c>
      <c r="K39" s="177">
        <f>[5]酒店主体!N39</f>
        <v>2.05121588957566E-2</v>
      </c>
      <c r="L39" s="178">
        <f>[5]酒店主体!P39</f>
        <v>-0.30214023410112101</v>
      </c>
      <c r="M39" s="176">
        <f>[5]酒店主体!S39</f>
        <v>1.43146104050733E-2</v>
      </c>
      <c r="N39" s="177">
        <f>[5]酒店主体!T39</f>
        <v>2.33528248391991E-2</v>
      </c>
      <c r="O39" s="176">
        <f>[5]酒店主体!V39</f>
        <v>-0.38702874261937897</v>
      </c>
      <c r="P39" s="177">
        <f>[5]酒店主体!W39</f>
        <v>2.05121588957566E-2</v>
      </c>
      <c r="Q39" s="179">
        <f>[5]酒店主体!Y39</f>
        <v>-0.30214023410112101</v>
      </c>
      <c r="R39" s="180">
        <f>[5]酒店主体!Z39</f>
        <v>2.14967595288806E-2</v>
      </c>
      <c r="S39" s="181">
        <f>[5]酒店主体!AA39</f>
        <v>0.66589619639377995</v>
      </c>
      <c r="T39" s="136"/>
      <c r="U39" s="136"/>
      <c r="V39" s="136"/>
      <c r="W39" s="136"/>
      <c r="X39" s="136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</row>
    <row r="40" spans="1:41" ht="16.5" customHeight="1">
      <c r="A40" s="47"/>
      <c r="B40" s="47"/>
      <c r="C40" s="48"/>
      <c r="D40" s="48"/>
      <c r="E40" s="49"/>
      <c r="G40" s="182"/>
      <c r="H40" s="84"/>
      <c r="I40" s="84"/>
      <c r="J40" s="183"/>
      <c r="K40" s="84"/>
      <c r="L40" s="183"/>
      <c r="M40" s="84"/>
      <c r="N40" s="84"/>
      <c r="O40" s="183"/>
      <c r="P40" s="84"/>
      <c r="Q40" s="183"/>
      <c r="R40" s="84"/>
      <c r="S40" s="86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spans="1:41" s="3" customFormat="1" ht="16.5" customHeight="1">
      <c r="A41" s="47"/>
      <c r="B41" s="47"/>
      <c r="C41" s="48"/>
      <c r="D41" s="48"/>
      <c r="E41" s="49"/>
      <c r="F41" s="184"/>
      <c r="G41" s="185" t="s">
        <v>369</v>
      </c>
      <c r="H41" s="186" t="s">
        <v>331</v>
      </c>
      <c r="I41" s="187" t="s">
        <v>249</v>
      </c>
      <c r="J41" s="188" t="s">
        <v>332</v>
      </c>
      <c r="K41" s="187" t="s">
        <v>270</v>
      </c>
      <c r="L41" s="188" t="s">
        <v>332</v>
      </c>
      <c r="M41" s="189" t="s">
        <v>331</v>
      </c>
      <c r="N41" s="190" t="s">
        <v>249</v>
      </c>
      <c r="O41" s="191" t="s">
        <v>332</v>
      </c>
      <c r="P41" s="190" t="s">
        <v>270</v>
      </c>
      <c r="Q41" s="191" t="s">
        <v>332</v>
      </c>
      <c r="R41" s="192" t="s">
        <v>245</v>
      </c>
      <c r="S41" s="193" t="s">
        <v>11</v>
      </c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</row>
    <row r="42" spans="1:41" ht="16.5" customHeight="1">
      <c r="A42" s="47"/>
      <c r="B42" s="47"/>
      <c r="C42" s="48"/>
      <c r="D42" s="48"/>
      <c r="E42" s="49"/>
      <c r="F42" s="184"/>
      <c r="G42" s="360" t="s">
        <v>370</v>
      </c>
      <c r="H42" s="194"/>
      <c r="I42" s="194"/>
      <c r="J42" s="195"/>
      <c r="K42" s="194"/>
      <c r="L42" s="196"/>
      <c r="M42" s="194"/>
      <c r="N42" s="194"/>
      <c r="O42" s="195"/>
      <c r="P42" s="194"/>
      <c r="Q42" s="195"/>
      <c r="R42" s="197"/>
      <c r="S42" s="198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 spans="1:41" s="5" customFormat="1" ht="16.5" customHeight="1">
      <c r="A43" s="47"/>
      <c r="B43" s="47"/>
      <c r="C43" s="199"/>
      <c r="D43" s="200"/>
      <c r="E43" s="49"/>
      <c r="F43" s="184"/>
      <c r="G43" s="361" t="s">
        <v>371</v>
      </c>
      <c r="H43" s="352">
        <f>[5]酒店主体!J43</f>
        <v>512343.26</v>
      </c>
      <c r="I43" s="353">
        <f>[5]酒店主体!K43</f>
        <v>547545.02</v>
      </c>
      <c r="J43" s="362">
        <f>[5]酒店主体!M43</f>
        <v>-6.4290165583096706E-2</v>
      </c>
      <c r="K43" s="353">
        <f>[5]酒店主体!N43</f>
        <v>396434.95</v>
      </c>
      <c r="L43" s="363">
        <f>[5]酒店主体!P43</f>
        <v>0.29237661815639598</v>
      </c>
      <c r="M43" s="352">
        <f>[5]酒店主体!S43</f>
        <v>512343.26</v>
      </c>
      <c r="N43" s="353">
        <f>[5]酒店主体!T43</f>
        <v>547545.02</v>
      </c>
      <c r="O43" s="362">
        <f>[5]酒店主体!V43</f>
        <v>-6.4290165583096706E-2</v>
      </c>
      <c r="P43" s="353">
        <f>[5]酒店主体!W43</f>
        <v>396434.95</v>
      </c>
      <c r="Q43" s="364">
        <f>[5]酒店主体!Y43</f>
        <v>0.29237661815639598</v>
      </c>
      <c r="R43" s="365">
        <f>[5]酒店主体!Z43</f>
        <v>8287821.2800000003</v>
      </c>
      <c r="S43" s="366">
        <f>[5]酒店主体!AA43</f>
        <v>6.1818811324560803E-2</v>
      </c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</row>
    <row r="44" spans="1:41" ht="16.5" customHeight="1">
      <c r="A44" s="47"/>
      <c r="B44" s="47"/>
      <c r="C44" s="199"/>
      <c r="D44" s="200"/>
      <c r="E44" s="49"/>
      <c r="F44" s="184"/>
      <c r="G44" s="201" t="s">
        <v>372</v>
      </c>
      <c r="H44" s="103">
        <f>[5]酒店主体!J44</f>
        <v>78995.490000000005</v>
      </c>
      <c r="I44" s="104">
        <f>[5]酒店主体!K44</f>
        <v>93700.2</v>
      </c>
      <c r="J44" s="105">
        <f>[5]酒店主体!M44</f>
        <v>-0.156933603129983</v>
      </c>
      <c r="K44" s="104">
        <f>[5]酒店主体!N44</f>
        <v>58188.93</v>
      </c>
      <c r="L44" s="106">
        <f>[5]酒店主体!P44</f>
        <v>0.357569042771537</v>
      </c>
      <c r="M44" s="103">
        <f>[5]酒店主体!S44</f>
        <v>78995.490000000005</v>
      </c>
      <c r="N44" s="104">
        <f>[5]酒店主体!T44</f>
        <v>93700.2</v>
      </c>
      <c r="O44" s="105">
        <f>[5]酒店主体!V44</f>
        <v>-0.156933603129983</v>
      </c>
      <c r="P44" s="104">
        <f>[5]酒店主体!W44</f>
        <v>58188.93</v>
      </c>
      <c r="Q44" s="107">
        <f>[5]酒店主体!Y44</f>
        <v>0.357569042771537</v>
      </c>
      <c r="R44" s="57">
        <f>[5]酒店主体!Z44</f>
        <v>1145402.3999999999</v>
      </c>
      <c r="S44" s="58">
        <f>[5]酒店主体!AA44</f>
        <v>6.8967456328011906E-2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 spans="1:41" ht="16.5" customHeight="1">
      <c r="A45" s="47"/>
      <c r="B45" s="47"/>
      <c r="C45" s="199"/>
      <c r="D45" s="200"/>
      <c r="E45" s="49"/>
      <c r="F45" s="184"/>
      <c r="G45" s="202" t="s">
        <v>373</v>
      </c>
      <c r="H45" s="51">
        <f>[5]酒店主体!J45</f>
        <v>28122.21</v>
      </c>
      <c r="I45" s="55">
        <f>[5]酒店主体!K45</f>
        <v>29547.35</v>
      </c>
      <c r="J45" s="111">
        <f>[5]酒店主体!M45</f>
        <v>-4.8232413397479003E-2</v>
      </c>
      <c r="K45" s="55">
        <f>[5]酒店主体!N45</f>
        <v>40610.839999999997</v>
      </c>
      <c r="L45" s="112">
        <f>[5]酒店主体!P45</f>
        <v>-0.30751961791482302</v>
      </c>
      <c r="M45" s="51">
        <f>[5]酒店主体!S45</f>
        <v>28122.21</v>
      </c>
      <c r="N45" s="55">
        <f>[5]酒店主体!T45</f>
        <v>29547.35</v>
      </c>
      <c r="O45" s="111">
        <f>[5]酒店主体!V45</f>
        <v>-4.8232413397479003E-2</v>
      </c>
      <c r="P45" s="55">
        <f>[5]酒店主体!W45</f>
        <v>40610.839999999997</v>
      </c>
      <c r="Q45" s="113">
        <f>[5]酒店主体!Y45</f>
        <v>-0.30751961791482302</v>
      </c>
      <c r="R45" s="57">
        <f>[5]酒店主体!Z45</f>
        <v>356946.82</v>
      </c>
      <c r="S45" s="58">
        <f>[5]酒店主体!AA45</f>
        <v>7.8785433639666502E-2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 spans="1:41" ht="33" customHeight="1">
      <c r="A46" s="47"/>
      <c r="B46" s="47"/>
      <c r="C46" s="199"/>
      <c r="D46" s="200"/>
      <c r="E46" s="49"/>
      <c r="F46" s="184"/>
      <c r="G46" s="203" t="s">
        <v>374</v>
      </c>
      <c r="H46" s="51">
        <f>[5]酒店主体!J46</f>
        <v>92721.15</v>
      </c>
      <c r="I46" s="55">
        <f>[5]酒店主体!K46</f>
        <v>117464.5</v>
      </c>
      <c r="J46" s="111">
        <f>[5]酒店主体!M46</f>
        <v>-0.21064534391241599</v>
      </c>
      <c r="K46" s="55">
        <f>[5]酒店主体!N46</f>
        <v>102999.67</v>
      </c>
      <c r="L46" s="112">
        <f>[5]酒店主体!P46</f>
        <v>-9.9791776031903603E-2</v>
      </c>
      <c r="M46" s="51">
        <f>[5]酒店主体!S46</f>
        <v>92721.15</v>
      </c>
      <c r="N46" s="55">
        <f>[5]酒店主体!T46</f>
        <v>117464.5</v>
      </c>
      <c r="O46" s="111">
        <f>[5]酒店主体!V46</f>
        <v>-0.21064534391241599</v>
      </c>
      <c r="P46" s="55">
        <f>[5]酒店主体!W46</f>
        <v>102999.67</v>
      </c>
      <c r="Q46" s="113">
        <f>[5]酒店主体!Y46</f>
        <v>-9.9791776031903603E-2</v>
      </c>
      <c r="R46" s="57">
        <f>[5]酒店主体!Z46</f>
        <v>1631665.46</v>
      </c>
      <c r="S46" s="58">
        <f>[5]酒店主体!AA46</f>
        <v>5.68260787968142E-2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spans="1:41" s="5" customFormat="1" ht="16.5" customHeight="1">
      <c r="A47" s="47"/>
      <c r="B47" s="47"/>
      <c r="C47" s="199"/>
      <c r="D47" s="200"/>
      <c r="E47" s="49"/>
      <c r="F47" s="184"/>
      <c r="G47" s="367" t="s">
        <v>375</v>
      </c>
      <c r="H47" s="368">
        <f>[5]酒店主体!J47</f>
        <v>199838.85</v>
      </c>
      <c r="I47" s="369">
        <f>[5]酒店主体!K47</f>
        <v>240712.05</v>
      </c>
      <c r="J47" s="370">
        <f>[5]酒店主体!M47</f>
        <v>-0.169801221002438</v>
      </c>
      <c r="K47" s="369">
        <f>[5]酒店主体!N47</f>
        <v>201799.44</v>
      </c>
      <c r="L47" s="371">
        <f>[5]酒店主体!P47</f>
        <v>-9.7155373671999595E-3</v>
      </c>
      <c r="M47" s="368">
        <f>[5]酒店主体!S47</f>
        <v>199838.85</v>
      </c>
      <c r="N47" s="369">
        <f>[5]酒店主体!T47</f>
        <v>240712.05</v>
      </c>
      <c r="O47" s="370">
        <f>[5]酒店主体!V47</f>
        <v>-0.169801221002438</v>
      </c>
      <c r="P47" s="369">
        <f>[5]酒店主体!W47</f>
        <v>201799.44</v>
      </c>
      <c r="Q47" s="372">
        <f>[5]酒店主体!Y47</f>
        <v>-9.7155373671999595E-3</v>
      </c>
      <c r="R47" s="373">
        <f>[5]酒店主体!Z47</f>
        <v>3134014.68</v>
      </c>
      <c r="S47" s="374">
        <f>[5]酒店主体!AA47</f>
        <v>6.3764490726635606E-2</v>
      </c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</row>
    <row r="48" spans="1:41" s="5" customFormat="1" ht="16.5" customHeight="1">
      <c r="A48" s="47"/>
      <c r="B48" s="47"/>
      <c r="C48" s="204"/>
      <c r="D48" s="200"/>
      <c r="E48" s="49"/>
      <c r="F48" s="184"/>
      <c r="G48" s="375" t="s">
        <v>376</v>
      </c>
      <c r="H48" s="376">
        <f>[5]酒店主体!J48</f>
        <v>312504.40999999997</v>
      </c>
      <c r="I48" s="377">
        <f>[5]酒店主体!K48</f>
        <v>306832.96999999997</v>
      </c>
      <c r="J48" s="378">
        <f>[5]酒店主体!M48</f>
        <v>1.8483802441439101E-2</v>
      </c>
      <c r="K48" s="377">
        <f>[5]酒店主体!N48</f>
        <v>194635.51</v>
      </c>
      <c r="L48" s="379">
        <f>[5]酒店主体!P48</f>
        <v>0.60558784982247105</v>
      </c>
      <c r="M48" s="376">
        <f>[5]酒店主体!S48</f>
        <v>312504.40999999997</v>
      </c>
      <c r="N48" s="377">
        <f>[5]酒店主体!T48</f>
        <v>306832.96999999997</v>
      </c>
      <c r="O48" s="378">
        <f>[5]酒店主体!V48</f>
        <v>1.8483802441439101E-2</v>
      </c>
      <c r="P48" s="377">
        <f>[5]酒店主体!W48</f>
        <v>194635.51</v>
      </c>
      <c r="Q48" s="380">
        <f>[5]酒店主体!Y48</f>
        <v>0.60558784982247105</v>
      </c>
      <c r="R48" s="381">
        <f>[5]酒店主体!Z48</f>
        <v>5153806.5999999996</v>
      </c>
      <c r="S48" s="382">
        <f>[5]酒店主体!AA48</f>
        <v>6.0635649385834503E-2</v>
      </c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</row>
    <row r="49" spans="1:41" s="8" customFormat="1" ht="16.5" customHeight="1">
      <c r="A49" s="205"/>
      <c r="B49" s="205"/>
      <c r="C49" s="206"/>
      <c r="D49" s="207"/>
      <c r="E49" s="208"/>
      <c r="F49" s="209"/>
      <c r="G49" s="383" t="s">
        <v>377</v>
      </c>
      <c r="H49" s="384">
        <f>[5]酒店主体!J49</f>
        <v>0.60995124635776399</v>
      </c>
      <c r="I49" s="385">
        <f>[5]酒店主体!K49</f>
        <v>0.560379436927396</v>
      </c>
      <c r="J49" s="386">
        <f>[5]酒店主体!M49</f>
        <v>8.8461150006099096E-2</v>
      </c>
      <c r="K49" s="387">
        <f>[5]酒店主体!N49</f>
        <v>0.49096455799368799</v>
      </c>
      <c r="L49" s="388">
        <f>[5]酒店主体!P49</f>
        <v>0.24235290801908599</v>
      </c>
      <c r="M49" s="386">
        <f>[5]酒店主体!S49</f>
        <v>0.60995124635776399</v>
      </c>
      <c r="N49" s="387">
        <f>[5]酒店主体!T49</f>
        <v>0.560379436927396</v>
      </c>
      <c r="O49" s="386">
        <f>[5]酒店主体!V49</f>
        <v>8.8461150006099096E-2</v>
      </c>
      <c r="P49" s="387">
        <f>[5]酒店主体!W49</f>
        <v>0.49096455799368799</v>
      </c>
      <c r="Q49" s="389">
        <f>[5]酒店主体!Y49</f>
        <v>0.24235290801908599</v>
      </c>
      <c r="R49" s="390">
        <f>[5]酒店主体!Z49</f>
        <v>0.62185300887665895</v>
      </c>
      <c r="S49" s="391">
        <f>[5]酒店主体!AA49</f>
        <v>0.98086081059510499</v>
      </c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</row>
    <row r="50" spans="1:41" ht="16.5" customHeight="1">
      <c r="A50" s="47"/>
      <c r="B50" s="47"/>
      <c r="C50" s="48"/>
      <c r="D50" s="48"/>
      <c r="E50" s="49"/>
      <c r="G50" s="211"/>
      <c r="H50" s="212"/>
      <c r="I50" s="212"/>
      <c r="J50" s="213"/>
      <c r="K50" s="212"/>
      <c r="L50" s="63"/>
      <c r="M50" s="212"/>
      <c r="N50" s="212"/>
      <c r="O50" s="213"/>
      <c r="P50" s="212"/>
      <c r="Q50" s="65"/>
      <c r="R50" s="214"/>
      <c r="S50" s="215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 spans="1:41" ht="16.5" customHeight="1">
      <c r="A51" s="47"/>
      <c r="B51" s="47"/>
      <c r="C51" s="48"/>
      <c r="D51" s="48"/>
      <c r="E51" s="49"/>
      <c r="F51" s="184"/>
      <c r="G51" s="392" t="s">
        <v>378</v>
      </c>
      <c r="H51" s="216"/>
      <c r="I51" s="216"/>
      <c r="J51" s="217"/>
      <c r="K51" s="216"/>
      <c r="L51" s="218"/>
      <c r="M51" s="216"/>
      <c r="N51" s="216"/>
      <c r="O51" s="217"/>
      <c r="P51" s="216"/>
      <c r="Q51" s="217"/>
      <c r="R51" s="219"/>
      <c r="S51" s="220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spans="1:41" ht="16.5" customHeight="1">
      <c r="A52" s="47"/>
      <c r="B52" s="47"/>
      <c r="C52" s="204"/>
      <c r="D52" s="221"/>
      <c r="E52" s="49"/>
      <c r="F52" s="184"/>
      <c r="G52" s="222" t="s">
        <v>379</v>
      </c>
      <c r="H52" s="51">
        <f>[5]酒店主体!J52</f>
        <v>504977.39</v>
      </c>
      <c r="I52" s="55">
        <f>[5]酒店主体!K52</f>
        <v>509483.02</v>
      </c>
      <c r="J52" s="111">
        <f>[5]酒店主体!M52</f>
        <v>-8.8435331956696096E-3</v>
      </c>
      <c r="K52" s="55">
        <f>[5]酒店主体!N52</f>
        <v>697991.59</v>
      </c>
      <c r="L52" s="112">
        <f>[5]酒店主体!P52</f>
        <v>-0.27652797363933901</v>
      </c>
      <c r="M52" s="51">
        <f>[5]酒店主体!S52</f>
        <v>504977.39</v>
      </c>
      <c r="N52" s="55">
        <f>[5]酒店主体!T52</f>
        <v>509483.02</v>
      </c>
      <c r="O52" s="111">
        <f>[5]酒店主体!V52</f>
        <v>-8.8435331956696096E-3</v>
      </c>
      <c r="P52" s="55">
        <f>[5]酒店主体!W52</f>
        <v>697991.59</v>
      </c>
      <c r="Q52" s="113">
        <f>[5]酒店主体!Y52</f>
        <v>-0.27652797363933901</v>
      </c>
      <c r="R52" s="57">
        <f>[5]酒店主体!Z52</f>
        <v>7562941.7000000002</v>
      </c>
      <c r="S52" s="58">
        <f>[5]酒店主体!AA52</f>
        <v>6.6769969944367E-2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spans="1:41" ht="16.5" customHeight="1">
      <c r="A53" s="47" t="s">
        <v>380</v>
      </c>
      <c r="B53" s="47"/>
      <c r="C53" s="204"/>
      <c r="D53" s="221"/>
      <c r="E53" s="49"/>
      <c r="F53" s="184"/>
      <c r="G53" s="223" t="s">
        <v>381</v>
      </c>
      <c r="H53" s="51">
        <f>[5]酒店主体!J53</f>
        <v>1471.69</v>
      </c>
      <c r="I53" s="55">
        <f>[5]酒店主体!K53</f>
        <v>0</v>
      </c>
      <c r="J53" s="111" t="str">
        <f>[5]酒店主体!M53</f>
        <v/>
      </c>
      <c r="K53" s="55">
        <f>[5]酒店主体!N53</f>
        <v>7264.03</v>
      </c>
      <c r="L53" s="112">
        <f>[5]酒店主体!P53</f>
        <v>-0.797400341132952</v>
      </c>
      <c r="M53" s="51">
        <f>[5]酒店主体!S53</f>
        <v>1471.69</v>
      </c>
      <c r="N53" s="55">
        <f>[5]酒店主体!T53</f>
        <v>0</v>
      </c>
      <c r="O53" s="111" t="str">
        <f>[5]酒店主体!V53</f>
        <v/>
      </c>
      <c r="P53" s="55">
        <f>[5]酒店主体!W53</f>
        <v>7264.03</v>
      </c>
      <c r="Q53" s="113">
        <f>[5]酒店主体!Y53</f>
        <v>-0.797400341132952</v>
      </c>
      <c r="R53" s="57">
        <f>[5]酒店主体!Z53</f>
        <v>0</v>
      </c>
      <c r="S53" s="58" t="str">
        <f>[5]酒店主体!AA53</f>
        <v/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spans="1:41" ht="16.5" customHeight="1">
      <c r="A54" s="47"/>
      <c r="B54" s="47"/>
      <c r="C54" s="204"/>
      <c r="D54" s="221"/>
      <c r="E54" s="49"/>
      <c r="F54" s="184"/>
      <c r="G54" s="223" t="s">
        <v>382</v>
      </c>
      <c r="H54" s="51">
        <f>[5]酒店主体!J54</f>
        <v>7236.3</v>
      </c>
      <c r="I54" s="55">
        <f>[5]酒店主体!K54</f>
        <v>8849.56</v>
      </c>
      <c r="J54" s="111">
        <f>[5]酒店主体!M54</f>
        <v>-0.182298328956468</v>
      </c>
      <c r="K54" s="55">
        <f>[5]酒店主体!N54</f>
        <v>40015.11</v>
      </c>
      <c r="L54" s="112">
        <f>[5]酒店主体!P54</f>
        <v>-0.81916081200326596</v>
      </c>
      <c r="M54" s="51">
        <f>[5]酒店主体!S54</f>
        <v>7236.3</v>
      </c>
      <c r="N54" s="55">
        <f>[5]酒店主体!T54</f>
        <v>8849.56</v>
      </c>
      <c r="O54" s="111">
        <f>[5]酒店主体!V54</f>
        <v>-0.182298328956468</v>
      </c>
      <c r="P54" s="55">
        <f>[5]酒店主体!W54</f>
        <v>40015.11</v>
      </c>
      <c r="Q54" s="113">
        <f>[5]酒店主体!Y54</f>
        <v>-0.81916081200326596</v>
      </c>
      <c r="R54" s="57">
        <f>[5]酒店主体!Z54</f>
        <v>238938.08</v>
      </c>
      <c r="S54" s="58">
        <f>[5]酒店主体!AA54</f>
        <v>3.02852521456605E-2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spans="1:41" ht="16.5" customHeight="1">
      <c r="A55" s="47"/>
      <c r="B55" s="47"/>
      <c r="C55" s="204"/>
      <c r="D55" s="221"/>
      <c r="E55" s="49"/>
      <c r="F55" s="184"/>
      <c r="G55" s="223" t="s">
        <v>383</v>
      </c>
      <c r="H55" s="51">
        <f>[5]酒店主体!J55</f>
        <v>72357.850000000006</v>
      </c>
      <c r="I55" s="55">
        <f>[5]酒店主体!K55</f>
        <v>66037.740000000005</v>
      </c>
      <c r="J55" s="111">
        <f>[5]酒店主体!M55</f>
        <v>9.5704516841430207E-2</v>
      </c>
      <c r="K55" s="55">
        <f>[5]酒店主体!N55</f>
        <v>54772.69</v>
      </c>
      <c r="L55" s="112">
        <f>[5]酒店主体!P55</f>
        <v>0.32105708154921703</v>
      </c>
      <c r="M55" s="51">
        <f>[5]酒店主体!S55</f>
        <v>72357.850000000006</v>
      </c>
      <c r="N55" s="55">
        <f>[5]酒店主体!T55</f>
        <v>66037.740000000005</v>
      </c>
      <c r="O55" s="111">
        <f>[5]酒店主体!V55</f>
        <v>9.5704516841430207E-2</v>
      </c>
      <c r="P55" s="55">
        <f>[5]酒店主体!W55</f>
        <v>54772.69</v>
      </c>
      <c r="Q55" s="113">
        <f>[5]酒店主体!Y55</f>
        <v>0.32105708154921703</v>
      </c>
      <c r="R55" s="57">
        <f>[5]酒店主体!Z55</f>
        <v>1377358.49</v>
      </c>
      <c r="S55" s="58">
        <f>[5]酒店主体!AA55</f>
        <v>5.2533781528438503E-2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spans="1:41" s="5" customFormat="1" ht="16.5" customHeight="1">
      <c r="A56" s="47"/>
      <c r="B56" s="47"/>
      <c r="C56" s="204"/>
      <c r="D56" s="200"/>
      <c r="E56" s="49"/>
      <c r="F56" s="184"/>
      <c r="G56" s="393" t="s">
        <v>384</v>
      </c>
      <c r="H56" s="394">
        <f>[5]酒店主体!J56</f>
        <v>586043.23</v>
      </c>
      <c r="I56" s="395">
        <f>[5]酒店主体!K56</f>
        <v>584370.31999999995</v>
      </c>
      <c r="J56" s="396">
        <f>[5]酒店主体!M56</f>
        <v>2.8627566163865301E-3</v>
      </c>
      <c r="K56" s="395">
        <f>[5]酒店主体!N56</f>
        <v>800043.42</v>
      </c>
      <c r="L56" s="397">
        <f>[5]酒店主体!P56</f>
        <v>-0.26748571971256302</v>
      </c>
      <c r="M56" s="394">
        <f>[5]酒店主体!S56</f>
        <v>586043.23</v>
      </c>
      <c r="N56" s="395">
        <f>[5]酒店主体!T56</f>
        <v>584370.31999999995</v>
      </c>
      <c r="O56" s="396">
        <f>[5]酒店主体!V56</f>
        <v>2.8627566163865301E-3</v>
      </c>
      <c r="P56" s="395">
        <f>[5]酒店主体!W56</f>
        <v>800043.42</v>
      </c>
      <c r="Q56" s="398">
        <f>[5]酒店主体!Y56</f>
        <v>-0.26748571971256302</v>
      </c>
      <c r="R56" s="365">
        <f>[5]酒店主体!Z56</f>
        <v>9179238.2699999996</v>
      </c>
      <c r="S56" s="366">
        <f>[5]酒店主体!AA56</f>
        <v>6.3844429435428507E-2</v>
      </c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</row>
    <row r="57" spans="1:41" ht="16.5" customHeight="1">
      <c r="A57" s="47"/>
      <c r="B57" s="47"/>
      <c r="C57" s="204"/>
      <c r="D57" s="221"/>
      <c r="E57" s="49"/>
      <c r="F57" s="184"/>
      <c r="G57" s="222" t="s">
        <v>385</v>
      </c>
      <c r="H57" s="51">
        <f>[5]酒店主体!J57</f>
        <v>229273.75</v>
      </c>
      <c r="I57" s="55">
        <f>[5]酒店主体!K57</f>
        <v>257168.8</v>
      </c>
      <c r="J57" s="111">
        <f>[5]酒店主体!M57</f>
        <v>-0.108469806601734</v>
      </c>
      <c r="K57" s="55">
        <f>[5]酒店主体!N57</f>
        <v>315993.03000000003</v>
      </c>
      <c r="L57" s="112">
        <f>[5]酒店主体!P57</f>
        <v>-0.274434154449546</v>
      </c>
      <c r="M57" s="51">
        <f>[5]酒店主体!S57</f>
        <v>229273.75</v>
      </c>
      <c r="N57" s="55">
        <f>[5]酒店主体!T57</f>
        <v>257168.8</v>
      </c>
      <c r="O57" s="111">
        <f>[5]酒店主体!V57</f>
        <v>-0.108469806601734</v>
      </c>
      <c r="P57" s="55">
        <f>[5]酒店主体!W57</f>
        <v>315993.03000000003</v>
      </c>
      <c r="Q57" s="113">
        <f>[5]酒店主体!Y57</f>
        <v>-0.274434154449546</v>
      </c>
      <c r="R57" s="57">
        <f>[5]酒店主体!Z57</f>
        <v>3740015.9</v>
      </c>
      <c r="S57" s="58">
        <f>[5]酒店主体!AA57</f>
        <v>6.1302881092029603E-2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spans="1:41" ht="16.5" customHeight="1">
      <c r="A58" s="47"/>
      <c r="B58" s="47"/>
      <c r="C58" s="204"/>
      <c r="D58" s="221"/>
      <c r="E58" s="49"/>
      <c r="F58" s="184"/>
      <c r="G58" s="222" t="s">
        <v>386</v>
      </c>
      <c r="H58" s="51">
        <f>[5]酒店主体!J58</f>
        <v>2722.3</v>
      </c>
      <c r="I58" s="55">
        <f>[5]酒店主体!K58</f>
        <v>0</v>
      </c>
      <c r="J58" s="111" t="str">
        <f>[5]酒店主体!M58</f>
        <v/>
      </c>
      <c r="K58" s="55">
        <f>[5]酒店主体!N58</f>
        <v>8396.27</v>
      </c>
      <c r="L58" s="112">
        <f>[5]酒店主体!P58</f>
        <v>-0.67577269430354203</v>
      </c>
      <c r="M58" s="51">
        <f>[5]酒店主体!S58</f>
        <v>2722.3</v>
      </c>
      <c r="N58" s="55">
        <f>[5]酒店主体!T58</f>
        <v>0</v>
      </c>
      <c r="O58" s="111" t="str">
        <f>[5]酒店主体!V58</f>
        <v/>
      </c>
      <c r="P58" s="55">
        <f>[5]酒店主体!W58</f>
        <v>8396.27</v>
      </c>
      <c r="Q58" s="113">
        <f>[5]酒店主体!Y58</f>
        <v>-0.67577269430354203</v>
      </c>
      <c r="R58" s="57">
        <f>[5]酒店主体!Z58</f>
        <v>105309.7</v>
      </c>
      <c r="S58" s="58">
        <f>[5]酒店主体!AA58</f>
        <v>2.58504202366923E-2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1:41" ht="16.5" customHeight="1">
      <c r="A59" s="47"/>
      <c r="B59" s="47"/>
      <c r="C59" s="224"/>
      <c r="D59" s="221"/>
      <c r="E59" s="49"/>
      <c r="F59" s="184"/>
      <c r="G59" s="222" t="s">
        <v>387</v>
      </c>
      <c r="H59" s="51">
        <f>[5]酒店主体!J59</f>
        <v>4761.0600000000004</v>
      </c>
      <c r="I59" s="55">
        <f>[5]酒店主体!K59</f>
        <v>0</v>
      </c>
      <c r="J59" s="111" t="str">
        <f>[5]酒店主体!M59</f>
        <v/>
      </c>
      <c r="K59" s="55">
        <f>[5]酒店主体!N59</f>
        <v>48047.32</v>
      </c>
      <c r="L59" s="112">
        <f>[5]酒店主体!P59</f>
        <v>-0.90090893727267196</v>
      </c>
      <c r="M59" s="51">
        <f>[5]酒店主体!S59</f>
        <v>4761.0600000000004</v>
      </c>
      <c r="N59" s="55">
        <f>[5]酒店主体!T59</f>
        <v>0</v>
      </c>
      <c r="O59" s="111" t="str">
        <f>[5]酒店主体!V59</f>
        <v/>
      </c>
      <c r="P59" s="55">
        <f>[5]酒店主体!W59</f>
        <v>48047.32</v>
      </c>
      <c r="Q59" s="113">
        <f>[5]酒店主体!Y59</f>
        <v>-0.90090893727267196</v>
      </c>
      <c r="R59" s="57">
        <f>[5]酒店主体!Z59</f>
        <v>0</v>
      </c>
      <c r="S59" s="58" t="str">
        <f>[5]酒店主体!AA59</f>
        <v/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spans="1:41" s="5" customFormat="1" ht="16.5" customHeight="1">
      <c r="A60" s="47"/>
      <c r="B60" s="47"/>
      <c r="C60" s="204"/>
      <c r="D60" s="200"/>
      <c r="E60" s="49"/>
      <c r="F60" s="184"/>
      <c r="G60" s="225" t="s">
        <v>388</v>
      </c>
      <c r="H60" s="226">
        <f>[5]酒店主体!J60</f>
        <v>236757.11</v>
      </c>
      <c r="I60" s="227">
        <f>[5]酒店主体!K60</f>
        <v>257168.8</v>
      </c>
      <c r="J60" s="228">
        <f>[5]酒店主体!M60</f>
        <v>-7.9370786813952598E-2</v>
      </c>
      <c r="K60" s="227">
        <f>[5]酒店主体!N60</f>
        <v>372436.62</v>
      </c>
      <c r="L60" s="229">
        <f>[5]酒店主体!P60</f>
        <v>-0.36430228047929297</v>
      </c>
      <c r="M60" s="230">
        <f>[5]酒店主体!S60</f>
        <v>236757.11</v>
      </c>
      <c r="N60" s="227">
        <f>[5]酒店主体!T60</f>
        <v>257168.8</v>
      </c>
      <c r="O60" s="228">
        <f>[5]酒店主体!V60</f>
        <v>-7.9370786813952598E-2</v>
      </c>
      <c r="P60" s="227">
        <f>[5]酒店主体!W60</f>
        <v>372436.62</v>
      </c>
      <c r="Q60" s="231">
        <f>[5]酒店主体!Y60</f>
        <v>-0.36430228047929297</v>
      </c>
      <c r="R60" s="232">
        <f>[5]酒店主体!Z60</f>
        <v>3845325.6</v>
      </c>
      <c r="S60" s="233">
        <f>[5]酒店主体!AA60</f>
        <v>6.15701073531979E-2</v>
      </c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</row>
    <row r="61" spans="1:41" ht="16.5" customHeight="1">
      <c r="A61" s="47"/>
      <c r="B61" s="47"/>
      <c r="C61" s="204"/>
      <c r="D61" s="221"/>
      <c r="E61" s="49"/>
      <c r="F61" s="184"/>
      <c r="G61" s="234" t="s">
        <v>389</v>
      </c>
      <c r="H61" s="51">
        <f>[5]酒店主体!J61</f>
        <v>142904.4</v>
      </c>
      <c r="I61" s="55">
        <f>[5]酒店主体!K61</f>
        <v>138104</v>
      </c>
      <c r="J61" s="111">
        <f>[5]酒店主体!M61</f>
        <v>3.4759311822973898E-2</v>
      </c>
      <c r="K61" s="55">
        <f>[5]酒店主体!N61</f>
        <v>193574.63</v>
      </c>
      <c r="L61" s="112">
        <f>[5]酒店主体!P61</f>
        <v>-0.26176069663674401</v>
      </c>
      <c r="M61" s="51">
        <f>[5]酒店主体!S61</f>
        <v>142904.4</v>
      </c>
      <c r="N61" s="55">
        <f>[5]酒店主体!T61</f>
        <v>138104</v>
      </c>
      <c r="O61" s="111">
        <f>[5]酒店主体!V61</f>
        <v>3.4759311822973898E-2</v>
      </c>
      <c r="P61" s="55">
        <f>[5]酒店主体!W61</f>
        <v>193574.63</v>
      </c>
      <c r="Q61" s="113">
        <f>[5]酒店主体!Y61</f>
        <v>-0.26176069663674401</v>
      </c>
      <c r="R61" s="57">
        <f>[5]酒店主体!Z61</f>
        <v>1735319.42</v>
      </c>
      <c r="S61" s="58">
        <f>[5]酒店主体!AA61</f>
        <v>8.2350487381740903E-2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spans="1:41" ht="16.5" customHeight="1">
      <c r="A62" s="47"/>
      <c r="B62" s="47"/>
      <c r="C62" s="204"/>
      <c r="D62" s="221"/>
      <c r="E62" s="49"/>
      <c r="F62" s="184"/>
      <c r="G62" s="222" t="s">
        <v>390</v>
      </c>
      <c r="H62" s="51">
        <f>[5]酒店主体!J62</f>
        <v>40035.24</v>
      </c>
      <c r="I62" s="55">
        <f>[5]酒店主体!K62</f>
        <v>40601.06</v>
      </c>
      <c r="J62" s="111">
        <f>[5]酒店主体!M62</f>
        <v>-1.39360893533323E-2</v>
      </c>
      <c r="K62" s="55">
        <f>[5]酒店主体!N62</f>
        <v>63142.3</v>
      </c>
      <c r="L62" s="112">
        <f>[5]酒店主体!P62</f>
        <v>-0.36595214301664702</v>
      </c>
      <c r="M62" s="51">
        <f>[5]酒店主体!S62</f>
        <v>40035.24</v>
      </c>
      <c r="N62" s="55">
        <f>[5]酒店主体!T62</f>
        <v>40601.06</v>
      </c>
      <c r="O62" s="111">
        <f>[5]酒店主体!V62</f>
        <v>-1.39360893533323E-2</v>
      </c>
      <c r="P62" s="55">
        <f>[5]酒店主体!W62</f>
        <v>63142.3</v>
      </c>
      <c r="Q62" s="113">
        <f>[5]酒店主体!Y62</f>
        <v>-0.36595214301664702</v>
      </c>
      <c r="R62" s="57">
        <f>[5]酒店主体!Z62</f>
        <v>500714.51</v>
      </c>
      <c r="S62" s="58">
        <f>[5]酒店主体!AA62</f>
        <v>7.9956220961122093E-2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spans="1:41" ht="16.5" customHeight="1">
      <c r="A63" s="47"/>
      <c r="B63" s="47"/>
      <c r="C63" s="204"/>
      <c r="D63" s="221"/>
      <c r="E63" s="49"/>
      <c r="F63" s="184"/>
      <c r="G63" s="222" t="s">
        <v>391</v>
      </c>
      <c r="H63" s="51">
        <f>[5]酒店主体!J63</f>
        <v>13420.76</v>
      </c>
      <c r="I63" s="55">
        <f>[5]酒店主体!K63</f>
        <v>28940.13</v>
      </c>
      <c r="J63" s="111">
        <f>[5]酒店主体!M63</f>
        <v>-0.53625778460566698</v>
      </c>
      <c r="K63" s="55">
        <f>[5]酒店主体!N63</f>
        <v>48627.69</v>
      </c>
      <c r="L63" s="112">
        <f>[5]酒店主体!P63</f>
        <v>-0.72400992109639595</v>
      </c>
      <c r="M63" s="51">
        <f>[5]酒店主体!S63</f>
        <v>13420.76</v>
      </c>
      <c r="N63" s="55">
        <f>[5]酒店主体!T63</f>
        <v>28940.13</v>
      </c>
      <c r="O63" s="111">
        <f>[5]酒店主体!V63</f>
        <v>-0.53625778460566698</v>
      </c>
      <c r="P63" s="55">
        <f>[5]酒店主体!W63</f>
        <v>48627.69</v>
      </c>
      <c r="Q63" s="113">
        <f>[5]酒店主体!Y63</f>
        <v>-0.72400992109639595</v>
      </c>
      <c r="R63" s="57">
        <f>[5]酒店主体!Z63</f>
        <v>425365.01</v>
      </c>
      <c r="S63" s="58">
        <f>[5]酒店主体!AA63</f>
        <v>3.1551161201529003E-2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spans="1:41" s="5" customFormat="1" ht="16.5" customHeight="1">
      <c r="A64" s="47"/>
      <c r="B64" s="47"/>
      <c r="C64" s="204"/>
      <c r="D64" s="200"/>
      <c r="E64" s="49"/>
      <c r="F64" s="184"/>
      <c r="G64" s="399" t="s">
        <v>392</v>
      </c>
      <c r="H64" s="368">
        <f>[5]酒店主体!J64</f>
        <v>433117.51</v>
      </c>
      <c r="I64" s="369">
        <f>[5]酒店主体!K64</f>
        <v>464813.99</v>
      </c>
      <c r="J64" s="370">
        <f>[5]酒店主体!M64</f>
        <v>-6.8191751285282903E-2</v>
      </c>
      <c r="K64" s="369">
        <f>[5]酒店主体!N64</f>
        <v>677781.24</v>
      </c>
      <c r="L64" s="371">
        <f>[5]酒店主体!P64</f>
        <v>-0.360977429826768</v>
      </c>
      <c r="M64" s="368">
        <f>[5]酒店主体!S64</f>
        <v>433117.51</v>
      </c>
      <c r="N64" s="369">
        <f>[5]酒店主体!T64</f>
        <v>464813.99</v>
      </c>
      <c r="O64" s="370">
        <f>[5]酒店主体!V64</f>
        <v>-6.8191751285282903E-2</v>
      </c>
      <c r="P64" s="369">
        <f>[5]酒店主体!W64</f>
        <v>677781.24</v>
      </c>
      <c r="Q64" s="372">
        <f>[5]酒店主体!Y64</f>
        <v>-0.360977429826768</v>
      </c>
      <c r="R64" s="373">
        <f>[5]酒店主体!Z64</f>
        <v>6506724.54</v>
      </c>
      <c r="S64" s="374">
        <f>[5]酒店主体!AA64</f>
        <v>6.6564599029421995E-2</v>
      </c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</row>
    <row r="65" spans="1:41" s="5" customFormat="1" ht="16.5" customHeight="1">
      <c r="A65" s="47"/>
      <c r="B65" s="47"/>
      <c r="C65" s="204"/>
      <c r="D65" s="200"/>
      <c r="E65" s="49"/>
      <c r="F65" s="184"/>
      <c r="G65" s="400" t="s">
        <v>393</v>
      </c>
      <c r="H65" s="401">
        <f>[5]酒店主体!J65</f>
        <v>152925.72</v>
      </c>
      <c r="I65" s="402">
        <f>[5]酒店主体!K65</f>
        <v>119556.33</v>
      </c>
      <c r="J65" s="403">
        <f>[5]酒店主体!M65</f>
        <v>0.27911019015053301</v>
      </c>
      <c r="K65" s="402">
        <f>[5]酒店主体!N65</f>
        <v>122262.18</v>
      </c>
      <c r="L65" s="404">
        <f>[5]酒店主体!P65</f>
        <v>0.25080151523553501</v>
      </c>
      <c r="M65" s="401">
        <f>[5]酒店主体!S65</f>
        <v>152925.72</v>
      </c>
      <c r="N65" s="402">
        <f>[5]酒店主体!T65</f>
        <v>119556.33</v>
      </c>
      <c r="O65" s="403">
        <f>[5]酒店主体!V65</f>
        <v>0.27911019015053301</v>
      </c>
      <c r="P65" s="402">
        <f>[5]酒店主体!W65</f>
        <v>122262.18</v>
      </c>
      <c r="Q65" s="405">
        <f>[5]酒店主体!Y65</f>
        <v>0.25080151523553501</v>
      </c>
      <c r="R65" s="381">
        <f>[5]酒店主体!Z65</f>
        <v>2672513.73</v>
      </c>
      <c r="S65" s="382">
        <f>[5]酒店主体!AA65</f>
        <v>5.7221677959349501E-2</v>
      </c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</row>
    <row r="66" spans="1:41" s="9" customFormat="1" ht="16.5" customHeight="1">
      <c r="A66" s="125"/>
      <c r="B66" s="125"/>
      <c r="C66" s="235"/>
      <c r="D66" s="126"/>
      <c r="E66" s="127"/>
      <c r="F66" s="236"/>
      <c r="G66" s="406" t="s">
        <v>394</v>
      </c>
      <c r="H66" s="384">
        <f>[5]酒店主体!J66</f>
        <v>0.260946142147227</v>
      </c>
      <c r="I66" s="385">
        <f>[5]酒店主体!K66</f>
        <v>0.20459001066310201</v>
      </c>
      <c r="J66" s="386">
        <f>[5]酒店主体!M66</f>
        <v>0.27545886185482898</v>
      </c>
      <c r="K66" s="385">
        <f>[5]酒店主体!N66</f>
        <v>0.152819430725398</v>
      </c>
      <c r="L66" s="388">
        <f>[5]酒店主体!P66</f>
        <v>0.70754557132281903</v>
      </c>
      <c r="M66" s="384">
        <f>[5]酒店主体!S66</f>
        <v>0.260946142147227</v>
      </c>
      <c r="N66" s="385">
        <f>[5]酒店主体!T66</f>
        <v>0.20459001066310201</v>
      </c>
      <c r="O66" s="386">
        <f>[5]酒店主体!V66</f>
        <v>0.27545886185482898</v>
      </c>
      <c r="P66" s="385">
        <f>[5]酒店主体!W66</f>
        <v>0.152819430725398</v>
      </c>
      <c r="Q66" s="389">
        <f>[5]酒店主体!Y66</f>
        <v>0.70754557132281903</v>
      </c>
      <c r="R66" s="407">
        <f>[5]酒店主体!Z66</f>
        <v>0.29114765859542302</v>
      </c>
      <c r="S66" s="408">
        <f>[5]酒店主体!AA66</f>
        <v>0.89626735590491602</v>
      </c>
      <c r="T66" s="136"/>
      <c r="U66" s="136"/>
      <c r="V66" s="136"/>
      <c r="W66" s="136"/>
      <c r="X66" s="136"/>
      <c r="Y66" s="237"/>
      <c r="Z66" s="237"/>
      <c r="AA66" s="237"/>
      <c r="AB66" s="237"/>
      <c r="AC66" s="237"/>
      <c r="AD66" s="237"/>
      <c r="AE66" s="237"/>
      <c r="AF66" s="237"/>
      <c r="AG66" s="237"/>
      <c r="AH66" s="237"/>
      <c r="AI66" s="237"/>
      <c r="AJ66" s="237"/>
      <c r="AK66" s="237"/>
      <c r="AL66" s="237"/>
      <c r="AM66" s="237"/>
      <c r="AN66" s="237"/>
      <c r="AO66" s="237"/>
    </row>
    <row r="67" spans="1:41" ht="16.5" customHeight="1">
      <c r="A67" s="47"/>
      <c r="B67" s="47"/>
      <c r="C67" s="48"/>
      <c r="D67" s="48"/>
      <c r="E67" s="49"/>
      <c r="F67" s="184"/>
      <c r="G67" s="238"/>
      <c r="H67" s="239"/>
      <c r="I67" s="212"/>
      <c r="J67" s="65"/>
      <c r="K67" s="212"/>
      <c r="L67" s="63"/>
      <c r="M67" s="239"/>
      <c r="N67" s="212"/>
      <c r="O67" s="65"/>
      <c r="P67" s="212"/>
      <c r="Q67" s="65"/>
      <c r="R67" s="240"/>
      <c r="S67" s="241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spans="1:41" ht="16.5" customHeight="1">
      <c r="A68" s="47"/>
      <c r="B68" s="47"/>
      <c r="C68" s="48"/>
      <c r="D68" s="48"/>
      <c r="E68" s="49"/>
      <c r="F68" s="184"/>
      <c r="G68" s="392" t="s">
        <v>395</v>
      </c>
      <c r="H68" s="216"/>
      <c r="I68" s="216"/>
      <c r="J68" s="217"/>
      <c r="K68" s="216"/>
      <c r="L68" s="218"/>
      <c r="M68" s="216"/>
      <c r="N68" s="216"/>
      <c r="O68" s="217"/>
      <c r="P68" s="216"/>
      <c r="Q68" s="217"/>
      <c r="R68" s="242"/>
      <c r="S68" s="24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spans="1:41" s="10" customFormat="1" ht="16.5" customHeight="1">
      <c r="A69" s="47"/>
      <c r="B69" s="47"/>
      <c r="C69" s="244"/>
      <c r="D69" s="14"/>
      <c r="E69" s="49"/>
      <c r="F69" s="184"/>
      <c r="G69" s="245" t="s">
        <v>396</v>
      </c>
      <c r="H69" s="51">
        <f>[5]酒店主体!J69</f>
        <v>0</v>
      </c>
      <c r="I69" s="55">
        <f>[5]酒店主体!K69</f>
        <v>0</v>
      </c>
      <c r="J69" s="246" t="str">
        <f>[5]酒店主体!M69</f>
        <v/>
      </c>
      <c r="K69" s="55">
        <f>[5]酒店主体!N69</f>
        <v>0</v>
      </c>
      <c r="L69" s="112" t="str">
        <f>[5]酒店主体!P69</f>
        <v/>
      </c>
      <c r="M69" s="51">
        <f>[5]酒店主体!S69</f>
        <v>0</v>
      </c>
      <c r="N69" s="55">
        <f>[5]酒店主体!T69</f>
        <v>0</v>
      </c>
      <c r="O69" s="111" t="str">
        <f>[5]酒店主体!V69</f>
        <v/>
      </c>
      <c r="P69" s="55">
        <f>[5]酒店主体!W69</f>
        <v>0</v>
      </c>
      <c r="Q69" s="113" t="str">
        <f>[5]酒店主体!Y69</f>
        <v/>
      </c>
      <c r="R69" s="57">
        <f>[5]酒店主体!Z69</f>
        <v>0</v>
      </c>
      <c r="S69" s="58" t="str">
        <f>[5]酒店主体!AA69</f>
        <v/>
      </c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  <c r="AM69" s="247"/>
      <c r="AN69" s="247"/>
      <c r="AO69" s="247"/>
    </row>
    <row r="70" spans="1:41" s="10" customFormat="1" ht="16.5" customHeight="1">
      <c r="A70" s="47"/>
      <c r="B70" s="47"/>
      <c r="C70" s="244"/>
      <c r="D70" s="14"/>
      <c r="E70" s="49"/>
      <c r="F70" s="184"/>
      <c r="G70" s="245" t="s">
        <v>397</v>
      </c>
      <c r="H70" s="51">
        <f>[5]酒店主体!J70</f>
        <v>0</v>
      </c>
      <c r="I70" s="55">
        <f>[5]酒店主体!K70</f>
        <v>0</v>
      </c>
      <c r="J70" s="246" t="str">
        <f>[5]酒店主体!M70</f>
        <v/>
      </c>
      <c r="K70" s="55">
        <f>[5]酒店主体!N70</f>
        <v>0</v>
      </c>
      <c r="L70" s="112" t="str">
        <f>[5]酒店主体!P70</f>
        <v/>
      </c>
      <c r="M70" s="51">
        <f>[5]酒店主体!S70</f>
        <v>0</v>
      </c>
      <c r="N70" s="55">
        <f>[5]酒店主体!T70</f>
        <v>0</v>
      </c>
      <c r="O70" s="111" t="str">
        <f>[5]酒店主体!V70</f>
        <v/>
      </c>
      <c r="P70" s="55">
        <f>[5]酒店主体!W70</f>
        <v>0</v>
      </c>
      <c r="Q70" s="113" t="str">
        <f>[5]酒店主体!Y70</f>
        <v/>
      </c>
      <c r="R70" s="57">
        <f>[5]酒店主体!Z70</f>
        <v>0</v>
      </c>
      <c r="S70" s="58" t="str">
        <f>[5]酒店主体!AA70</f>
        <v/>
      </c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7"/>
      <c r="AK70" s="247"/>
      <c r="AL70" s="247"/>
      <c r="AM70" s="247"/>
      <c r="AN70" s="247"/>
      <c r="AO70" s="247"/>
    </row>
    <row r="71" spans="1:41" s="10" customFormat="1" ht="16.5" customHeight="1">
      <c r="A71" s="47"/>
      <c r="B71" s="47"/>
      <c r="C71" s="244"/>
      <c r="D71" s="14"/>
      <c r="E71" s="49"/>
      <c r="F71" s="184"/>
      <c r="G71" s="248" t="s">
        <v>398</v>
      </c>
      <c r="H71" s="60">
        <f>[5]酒店主体!J71</f>
        <v>0</v>
      </c>
      <c r="I71" s="64">
        <f>[5]酒店主体!K71</f>
        <v>0</v>
      </c>
      <c r="J71" s="249" t="str">
        <f>[5]酒店主体!M71</f>
        <v/>
      </c>
      <c r="K71" s="64">
        <f>[5]酒店主体!N71</f>
        <v>0</v>
      </c>
      <c r="L71" s="250" t="str">
        <f>[5]酒店主体!P71</f>
        <v/>
      </c>
      <c r="M71" s="60">
        <f>[5]酒店主体!S71</f>
        <v>0</v>
      </c>
      <c r="N71" s="64">
        <f>[5]酒店主体!T71</f>
        <v>0</v>
      </c>
      <c r="O71" s="251" t="str">
        <f>[5]酒店主体!V71</f>
        <v/>
      </c>
      <c r="P71" s="64">
        <f>[5]酒店主体!W71</f>
        <v>0</v>
      </c>
      <c r="Q71" s="252" t="str">
        <f>[5]酒店主体!Y71</f>
        <v/>
      </c>
      <c r="R71" s="57">
        <f>[5]酒店主体!Z71</f>
        <v>0</v>
      </c>
      <c r="S71" s="58" t="str">
        <f>[5]酒店主体!AA71</f>
        <v/>
      </c>
      <c r="T71" s="247"/>
      <c r="U71" s="247"/>
      <c r="V71" s="247"/>
      <c r="W71" s="247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7"/>
      <c r="AM71" s="247"/>
      <c r="AN71" s="247"/>
      <c r="AO71" s="247"/>
    </row>
    <row r="72" spans="1:41" s="10" customFormat="1" ht="16.5" customHeight="1">
      <c r="A72" s="47"/>
      <c r="B72" s="47"/>
      <c r="C72" s="244"/>
      <c r="D72" s="14"/>
      <c r="E72" s="49"/>
      <c r="F72" s="184"/>
      <c r="G72" s="245" t="s">
        <v>399</v>
      </c>
      <c r="H72" s="51">
        <f>[5]酒店主体!J72</f>
        <v>0</v>
      </c>
      <c r="I72" s="55">
        <f>[5]酒店主体!K72</f>
        <v>0</v>
      </c>
      <c r="J72" s="246" t="str">
        <f>[5]酒店主体!M72</f>
        <v/>
      </c>
      <c r="K72" s="55">
        <f>[5]酒店主体!N72</f>
        <v>0</v>
      </c>
      <c r="L72" s="112" t="str">
        <f>[5]酒店主体!P72</f>
        <v/>
      </c>
      <c r="M72" s="51">
        <f>[5]酒店主体!S72</f>
        <v>0</v>
      </c>
      <c r="N72" s="55">
        <f>[5]酒店主体!T72</f>
        <v>0</v>
      </c>
      <c r="O72" s="111" t="str">
        <f>[5]酒店主体!V72</f>
        <v/>
      </c>
      <c r="P72" s="55">
        <f>[5]酒店主体!W72</f>
        <v>0</v>
      </c>
      <c r="Q72" s="113" t="str">
        <f>[5]酒店主体!Y72</f>
        <v/>
      </c>
      <c r="R72" s="57">
        <f>[5]酒店主体!Z72</f>
        <v>0</v>
      </c>
      <c r="S72" s="58" t="str">
        <f>[5]酒店主体!AA72</f>
        <v/>
      </c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</row>
    <row r="73" spans="1:41" s="10" customFormat="1" ht="16.5" customHeight="1">
      <c r="A73" s="47"/>
      <c r="B73" s="47"/>
      <c r="C73" s="244"/>
      <c r="D73" s="14"/>
      <c r="E73" s="49"/>
      <c r="F73" s="184"/>
      <c r="G73" s="245" t="s">
        <v>400</v>
      </c>
      <c r="H73" s="51">
        <f>[5]酒店主体!J73</f>
        <v>0</v>
      </c>
      <c r="I73" s="55">
        <f>[5]酒店主体!K73</f>
        <v>0</v>
      </c>
      <c r="J73" s="246" t="str">
        <f>[5]酒店主体!M73</f>
        <v/>
      </c>
      <c r="K73" s="55">
        <f>[5]酒店主体!N73</f>
        <v>0</v>
      </c>
      <c r="L73" s="112" t="str">
        <f>[5]酒店主体!P73</f>
        <v/>
      </c>
      <c r="M73" s="51">
        <f>[5]酒店主体!S73</f>
        <v>0</v>
      </c>
      <c r="N73" s="55">
        <f>[5]酒店主体!T73</f>
        <v>0</v>
      </c>
      <c r="O73" s="111" t="str">
        <f>[5]酒店主体!V73</f>
        <v/>
      </c>
      <c r="P73" s="55">
        <f>[5]酒店主体!W73</f>
        <v>0</v>
      </c>
      <c r="Q73" s="113" t="str">
        <f>[5]酒店主体!Y73</f>
        <v/>
      </c>
      <c r="R73" s="57">
        <f>[5]酒店主体!Z73</f>
        <v>0</v>
      </c>
      <c r="S73" s="58" t="str">
        <f>[5]酒店主体!AA73</f>
        <v/>
      </c>
      <c r="T73" s="247"/>
      <c r="U73" s="247"/>
      <c r="V73" s="247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7"/>
      <c r="AM73" s="247"/>
      <c r="AN73" s="247"/>
      <c r="AO73" s="247"/>
    </row>
    <row r="74" spans="1:41" s="10" customFormat="1" ht="16.5" customHeight="1">
      <c r="A74" s="47"/>
      <c r="B74" s="47"/>
      <c r="C74" s="244"/>
      <c r="D74" s="14"/>
      <c r="E74" s="49"/>
      <c r="F74" s="184"/>
      <c r="G74" s="245" t="s">
        <v>401</v>
      </c>
      <c r="H74" s="51">
        <f>[5]酒店主体!J74</f>
        <v>0</v>
      </c>
      <c r="I74" s="55">
        <f>[5]酒店主体!K74</f>
        <v>0</v>
      </c>
      <c r="J74" s="246" t="str">
        <f>[5]酒店主体!M74</f>
        <v/>
      </c>
      <c r="K74" s="55">
        <f>[5]酒店主体!N74</f>
        <v>0</v>
      </c>
      <c r="L74" s="112" t="str">
        <f>[5]酒店主体!P74</f>
        <v/>
      </c>
      <c r="M74" s="51">
        <f>[5]酒店主体!S74</f>
        <v>0</v>
      </c>
      <c r="N74" s="55">
        <f>[5]酒店主体!T74</f>
        <v>0</v>
      </c>
      <c r="O74" s="111" t="str">
        <f>[5]酒店主体!V74</f>
        <v/>
      </c>
      <c r="P74" s="55">
        <f>[5]酒店主体!W74</f>
        <v>0</v>
      </c>
      <c r="Q74" s="113" t="str">
        <f>[5]酒店主体!Y74</f>
        <v/>
      </c>
      <c r="R74" s="57">
        <f>[5]酒店主体!Z74</f>
        <v>0</v>
      </c>
      <c r="S74" s="58" t="str">
        <f>[5]酒店主体!AA74</f>
        <v/>
      </c>
      <c r="T74" s="247"/>
      <c r="U74" s="247"/>
      <c r="V74" s="247"/>
      <c r="W74" s="247"/>
      <c r="X74" s="247"/>
      <c r="Y74" s="247"/>
      <c r="Z74" s="247"/>
      <c r="AA74" s="247"/>
      <c r="AB74" s="247"/>
      <c r="AC74" s="247"/>
      <c r="AD74" s="247"/>
      <c r="AE74" s="247"/>
      <c r="AF74" s="247"/>
      <c r="AG74" s="247"/>
      <c r="AH74" s="247"/>
      <c r="AI74" s="247"/>
      <c r="AJ74" s="247"/>
      <c r="AK74" s="247"/>
      <c r="AL74" s="247"/>
      <c r="AM74" s="247"/>
      <c r="AN74" s="247"/>
      <c r="AO74" s="247"/>
    </row>
    <row r="75" spans="1:41" s="10" customFormat="1" ht="16.5" customHeight="1">
      <c r="A75" s="47"/>
      <c r="B75" s="47"/>
      <c r="C75" s="244"/>
      <c r="D75" s="14"/>
      <c r="E75" s="49"/>
      <c r="F75" s="184"/>
      <c r="G75" s="245" t="s">
        <v>402</v>
      </c>
      <c r="H75" s="51">
        <f>[5]酒店主体!J75</f>
        <v>36757.129999999997</v>
      </c>
      <c r="I75" s="55">
        <f>[5]酒店主体!K75</f>
        <v>19479.43</v>
      </c>
      <c r="J75" s="246">
        <f>[5]酒店主体!M75</f>
        <v>0.88697153869492096</v>
      </c>
      <c r="K75" s="55">
        <f>[5]酒店主体!N75</f>
        <v>21942.06</v>
      </c>
      <c r="L75" s="112">
        <f>[5]酒店主体!P75</f>
        <v>0.67519047892495099</v>
      </c>
      <c r="M75" s="51">
        <f>[5]酒店主体!S75</f>
        <v>36757.129999999997</v>
      </c>
      <c r="N75" s="55">
        <f>[5]酒店主体!T75</f>
        <v>19479.43</v>
      </c>
      <c r="O75" s="111">
        <f>[5]酒店主体!V75</f>
        <v>0.88697153869492096</v>
      </c>
      <c r="P75" s="55">
        <f>[5]酒店主体!W75</f>
        <v>21942.06</v>
      </c>
      <c r="Q75" s="113">
        <f>[5]酒店主体!Y75</f>
        <v>0.67519047892495099</v>
      </c>
      <c r="R75" s="57">
        <f>[5]酒店主体!Z75</f>
        <v>236372.2</v>
      </c>
      <c r="S75" s="58">
        <f>[5]酒店主体!AA75</f>
        <v>0.15550530053872699</v>
      </c>
      <c r="T75" s="247"/>
      <c r="U75" s="247"/>
      <c r="V75" s="247"/>
      <c r="W75" s="247"/>
      <c r="X75" s="247"/>
      <c r="Y75" s="247"/>
      <c r="Z75" s="247"/>
      <c r="AA75" s="247"/>
      <c r="AB75" s="247"/>
      <c r="AC75" s="247"/>
      <c r="AD75" s="247"/>
      <c r="AE75" s="247"/>
      <c r="AF75" s="247"/>
      <c r="AG75" s="247"/>
      <c r="AH75" s="247"/>
      <c r="AI75" s="247"/>
      <c r="AJ75" s="247"/>
      <c r="AK75" s="247"/>
      <c r="AL75" s="247"/>
      <c r="AM75" s="247"/>
      <c r="AN75" s="247"/>
      <c r="AO75" s="247"/>
    </row>
    <row r="76" spans="1:41" s="10" customFormat="1" ht="16.5" customHeight="1">
      <c r="A76" s="47"/>
      <c r="B76" s="47"/>
      <c r="C76" s="244"/>
      <c r="D76" s="14"/>
      <c r="E76" s="49"/>
      <c r="F76" s="184"/>
      <c r="G76" s="245" t="s">
        <v>403</v>
      </c>
      <c r="H76" s="51">
        <f>[5]酒店主体!J76</f>
        <v>1425.21</v>
      </c>
      <c r="I76" s="55">
        <f>[5]酒店主体!K76</f>
        <v>9433.9599999999991</v>
      </c>
      <c r="J76" s="246">
        <f>[5]酒店主体!M76</f>
        <v>-0.84892770374264903</v>
      </c>
      <c r="K76" s="55">
        <f>[5]酒店主体!N76</f>
        <v>33368.82</v>
      </c>
      <c r="L76" s="112">
        <f>[5]酒店主体!P76</f>
        <v>-0.95728916994967195</v>
      </c>
      <c r="M76" s="51">
        <f>[5]酒店主体!S76</f>
        <v>1425.21</v>
      </c>
      <c r="N76" s="55">
        <f>[5]酒店主体!T76</f>
        <v>9433.9599999999991</v>
      </c>
      <c r="O76" s="111">
        <f>[5]酒店主体!V76</f>
        <v>-0.84892770374264903</v>
      </c>
      <c r="P76" s="55">
        <f>[5]酒店主体!W76</f>
        <v>33368.82</v>
      </c>
      <c r="Q76" s="113">
        <f>[5]酒店主体!Y76</f>
        <v>-0.95728916994967195</v>
      </c>
      <c r="R76" s="57">
        <f>[5]酒店主体!Z76</f>
        <v>113207.52</v>
      </c>
      <c r="S76" s="58">
        <f>[5]酒店主体!AA76</f>
        <v>1.2589358021445901E-2</v>
      </c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</row>
    <row r="77" spans="1:41" s="5" customFormat="1" ht="16.5" customHeight="1">
      <c r="A77" s="253"/>
      <c r="B77" s="253"/>
      <c r="C77" s="204"/>
      <c r="D77" s="200"/>
      <c r="E77" s="254"/>
      <c r="F77" s="184"/>
      <c r="G77" s="409" t="s">
        <v>404</v>
      </c>
      <c r="H77" s="394">
        <f>[5]酒店主体!J77</f>
        <v>38182.339999999997</v>
      </c>
      <c r="I77" s="395">
        <f>[5]酒店主体!K77</f>
        <v>28913.39</v>
      </c>
      <c r="J77" s="410">
        <f>[5]酒店主体!M77</f>
        <v>0.32057638346800599</v>
      </c>
      <c r="K77" s="395">
        <f>[5]酒店主体!N77</f>
        <v>55310.879999999997</v>
      </c>
      <c r="L77" s="397">
        <f>[5]酒店主体!P77</f>
        <v>-0.30967758965324699</v>
      </c>
      <c r="M77" s="394">
        <f>[5]酒店主体!S77</f>
        <v>38182.339999999997</v>
      </c>
      <c r="N77" s="395">
        <f>[5]酒店主体!T77</f>
        <v>28913.39</v>
      </c>
      <c r="O77" s="396">
        <f>[5]酒店主体!V77</f>
        <v>0.32057638346800599</v>
      </c>
      <c r="P77" s="395">
        <f>[5]酒店主体!W77</f>
        <v>55310.879999999997</v>
      </c>
      <c r="Q77" s="398">
        <f>[5]酒店主体!Y77</f>
        <v>-0.30967758965324699</v>
      </c>
      <c r="R77" s="365">
        <f>[5]酒店主体!Z77</f>
        <v>349579.72</v>
      </c>
      <c r="S77" s="366">
        <f>[5]酒店主体!AA77</f>
        <v>0.109223555645619</v>
      </c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</row>
    <row r="78" spans="1:41" s="10" customFormat="1" ht="16.5" customHeight="1">
      <c r="A78" s="47"/>
      <c r="B78" s="47"/>
      <c r="C78" s="244"/>
      <c r="D78" s="14"/>
      <c r="E78" s="49"/>
      <c r="F78" s="184"/>
      <c r="G78" s="255" t="s">
        <v>405</v>
      </c>
      <c r="H78" s="230">
        <f>[5]酒店主体!J78</f>
        <v>0</v>
      </c>
      <c r="I78" s="227">
        <f>[5]酒店主体!K78</f>
        <v>0</v>
      </c>
      <c r="J78" s="256" t="str">
        <f>[5]酒店主体!M78</f>
        <v/>
      </c>
      <c r="K78" s="227">
        <f>[5]酒店主体!N78</f>
        <v>0</v>
      </c>
      <c r="L78" s="229" t="str">
        <f>[5]酒店主体!P78</f>
        <v/>
      </c>
      <c r="M78" s="230">
        <f>[5]酒店主体!S78</f>
        <v>0</v>
      </c>
      <c r="N78" s="227">
        <f>[5]酒店主体!T78</f>
        <v>0</v>
      </c>
      <c r="O78" s="228" t="str">
        <f>[5]酒店主体!V78</f>
        <v/>
      </c>
      <c r="P78" s="227">
        <f>[5]酒店主体!W78</f>
        <v>0</v>
      </c>
      <c r="Q78" s="231" t="str">
        <f>[5]酒店主体!Y78</f>
        <v/>
      </c>
      <c r="R78" s="232">
        <f>[5]酒店主体!Z78</f>
        <v>0</v>
      </c>
      <c r="S78" s="233" t="str">
        <f>[5]酒店主体!AA78</f>
        <v/>
      </c>
      <c r="T78" s="247"/>
      <c r="U78" s="247"/>
      <c r="V78" s="247"/>
      <c r="W78" s="247"/>
      <c r="X78" s="247"/>
      <c r="Y78" s="247"/>
      <c r="Z78" s="247"/>
      <c r="AA78" s="247"/>
      <c r="AB78" s="247"/>
      <c r="AC78" s="247"/>
      <c r="AD78" s="247"/>
      <c r="AE78" s="247"/>
      <c r="AF78" s="247"/>
      <c r="AG78" s="247"/>
      <c r="AH78" s="247"/>
      <c r="AI78" s="247"/>
      <c r="AJ78" s="247"/>
      <c r="AK78" s="247"/>
      <c r="AL78" s="247"/>
      <c r="AM78" s="247"/>
      <c r="AN78" s="247"/>
      <c r="AO78" s="247"/>
    </row>
    <row r="79" spans="1:41" s="10" customFormat="1" ht="16.5" customHeight="1">
      <c r="A79" s="47"/>
      <c r="B79" s="47"/>
      <c r="C79" s="244"/>
      <c r="D79" s="14"/>
      <c r="E79" s="49"/>
      <c r="F79" s="184"/>
      <c r="G79" s="234" t="s">
        <v>372</v>
      </c>
      <c r="H79" s="51">
        <f>[5]酒店主体!J79</f>
        <v>0</v>
      </c>
      <c r="I79" s="55">
        <f>[5]酒店主体!K79</f>
        <v>0</v>
      </c>
      <c r="J79" s="246" t="str">
        <f>[5]酒店主体!M79</f>
        <v/>
      </c>
      <c r="K79" s="55">
        <f>[5]酒店主体!N79</f>
        <v>0</v>
      </c>
      <c r="L79" s="112" t="str">
        <f>[5]酒店主体!P79</f>
        <v/>
      </c>
      <c r="M79" s="51">
        <f>[5]酒店主体!S79</f>
        <v>0</v>
      </c>
      <c r="N79" s="55">
        <f>[5]酒店主体!T79</f>
        <v>0</v>
      </c>
      <c r="O79" s="111" t="str">
        <f>[5]酒店主体!V79</f>
        <v/>
      </c>
      <c r="P79" s="55">
        <f>[5]酒店主体!W79</f>
        <v>0</v>
      </c>
      <c r="Q79" s="113" t="str">
        <f>[5]酒店主体!Y79</f>
        <v/>
      </c>
      <c r="R79" s="57">
        <f>[5]酒店主体!Z79</f>
        <v>0</v>
      </c>
      <c r="S79" s="58" t="str">
        <f>[5]酒店主体!AA79</f>
        <v/>
      </c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7"/>
      <c r="AL79" s="247"/>
      <c r="AM79" s="247"/>
      <c r="AN79" s="247"/>
      <c r="AO79" s="247"/>
    </row>
    <row r="80" spans="1:41" s="10" customFormat="1" ht="16.5" customHeight="1">
      <c r="A80" s="47"/>
      <c r="B80" s="47"/>
      <c r="C80" s="244"/>
      <c r="D80" s="14"/>
      <c r="E80" s="49"/>
      <c r="F80" s="184"/>
      <c r="G80" s="222" t="s">
        <v>373</v>
      </c>
      <c r="H80" s="51">
        <f>[5]酒店主体!J80</f>
        <v>0</v>
      </c>
      <c r="I80" s="55">
        <f>[5]酒店主体!K80</f>
        <v>0</v>
      </c>
      <c r="J80" s="246" t="str">
        <f>[5]酒店主体!M80</f>
        <v/>
      </c>
      <c r="K80" s="55">
        <f>[5]酒店主体!N80</f>
        <v>0</v>
      </c>
      <c r="L80" s="112" t="str">
        <f>[5]酒店主体!P80</f>
        <v/>
      </c>
      <c r="M80" s="51">
        <f>[5]酒店主体!S80</f>
        <v>0</v>
      </c>
      <c r="N80" s="55">
        <f>[5]酒店主体!T80</f>
        <v>0</v>
      </c>
      <c r="O80" s="111" t="str">
        <f>[5]酒店主体!V80</f>
        <v/>
      </c>
      <c r="P80" s="55">
        <f>[5]酒店主体!W80</f>
        <v>0</v>
      </c>
      <c r="Q80" s="113" t="str">
        <f>[5]酒店主体!Y80</f>
        <v/>
      </c>
      <c r="R80" s="57">
        <f>[5]酒店主体!Z80</f>
        <v>0</v>
      </c>
      <c r="S80" s="58" t="str">
        <f>[5]酒店主体!AA80</f>
        <v/>
      </c>
      <c r="T80" s="247"/>
      <c r="U80" s="247"/>
      <c r="V80" s="247"/>
      <c r="W80" s="247"/>
      <c r="X80" s="247"/>
      <c r="Y80" s="247"/>
      <c r="Z80" s="247"/>
      <c r="AA80" s="247"/>
      <c r="AB80" s="247"/>
      <c r="AC80" s="247"/>
      <c r="AD80" s="247"/>
      <c r="AE80" s="247"/>
      <c r="AF80" s="247"/>
      <c r="AG80" s="247"/>
      <c r="AH80" s="247"/>
      <c r="AI80" s="247"/>
      <c r="AJ80" s="247"/>
      <c r="AK80" s="247"/>
      <c r="AL80" s="247"/>
      <c r="AM80" s="247"/>
      <c r="AN80" s="247"/>
      <c r="AO80" s="247"/>
    </row>
    <row r="81" spans="1:41" s="10" customFormat="1" ht="16.5" customHeight="1">
      <c r="A81" s="47"/>
      <c r="B81" s="47"/>
      <c r="C81" s="244"/>
      <c r="D81" s="14"/>
      <c r="E81" s="49"/>
      <c r="F81" s="184"/>
      <c r="G81" s="234" t="s">
        <v>406</v>
      </c>
      <c r="H81" s="51">
        <f>[5]酒店主体!J81</f>
        <v>0</v>
      </c>
      <c r="I81" s="55">
        <f>[5]酒店主体!K81</f>
        <v>0</v>
      </c>
      <c r="J81" s="111" t="str">
        <f>[5]酒店主体!M81</f>
        <v/>
      </c>
      <c r="K81" s="55">
        <f>[5]酒店主体!N81</f>
        <v>1000</v>
      </c>
      <c r="L81" s="112">
        <f>[5]酒店主体!P81</f>
        <v>-1</v>
      </c>
      <c r="M81" s="51">
        <f>[5]酒店主体!S81</f>
        <v>0</v>
      </c>
      <c r="N81" s="55">
        <f>[5]酒店主体!T81</f>
        <v>0</v>
      </c>
      <c r="O81" s="111" t="str">
        <f>[5]酒店主体!V81</f>
        <v/>
      </c>
      <c r="P81" s="55">
        <f>[5]酒店主体!W81</f>
        <v>1000</v>
      </c>
      <c r="Q81" s="113">
        <f>[5]酒店主体!Y81</f>
        <v>-1</v>
      </c>
      <c r="R81" s="57">
        <f>[5]酒店主体!Z81</f>
        <v>0</v>
      </c>
      <c r="S81" s="58" t="str">
        <f>[5]酒店主体!AA81</f>
        <v/>
      </c>
      <c r="T81" s="247"/>
      <c r="U81" s="247"/>
      <c r="V81" s="247"/>
      <c r="W81" s="247"/>
      <c r="X81" s="247"/>
      <c r="Y81" s="247"/>
      <c r="Z81" s="247"/>
      <c r="AA81" s="247"/>
      <c r="AB81" s="247"/>
      <c r="AC81" s="247"/>
      <c r="AD81" s="247"/>
      <c r="AE81" s="247"/>
      <c r="AF81" s="247"/>
      <c r="AG81" s="247"/>
      <c r="AH81" s="247"/>
      <c r="AI81" s="247"/>
      <c r="AJ81" s="247"/>
      <c r="AK81" s="247"/>
      <c r="AL81" s="247"/>
      <c r="AM81" s="247"/>
      <c r="AN81" s="247"/>
      <c r="AO81" s="247"/>
    </row>
    <row r="82" spans="1:41" s="5" customFormat="1" ht="16.5" customHeight="1">
      <c r="A82" s="253"/>
      <c r="B82" s="253"/>
      <c r="C82" s="204"/>
      <c r="D82" s="200"/>
      <c r="E82" s="254"/>
      <c r="F82" s="184"/>
      <c r="G82" s="411" t="s">
        <v>407</v>
      </c>
      <c r="H82" s="368">
        <f>[5]酒店主体!J82</f>
        <v>0</v>
      </c>
      <c r="I82" s="369">
        <f>[5]酒店主体!K82</f>
        <v>0</v>
      </c>
      <c r="J82" s="370" t="str">
        <f>[5]酒店主体!M82</f>
        <v/>
      </c>
      <c r="K82" s="369">
        <f>[5]酒店主体!N82</f>
        <v>1000</v>
      </c>
      <c r="L82" s="371">
        <f>[5]酒店主体!P82</f>
        <v>-1</v>
      </c>
      <c r="M82" s="368">
        <f>[5]酒店主体!S82</f>
        <v>0</v>
      </c>
      <c r="N82" s="369">
        <f>[5]酒店主体!T82</f>
        <v>0</v>
      </c>
      <c r="O82" s="370" t="str">
        <f>[5]酒店主体!V82</f>
        <v/>
      </c>
      <c r="P82" s="369">
        <f>[5]酒店主体!W82</f>
        <v>1000</v>
      </c>
      <c r="Q82" s="372">
        <f>[5]酒店主体!Y82</f>
        <v>-1</v>
      </c>
      <c r="R82" s="373">
        <f>[5]酒店主体!Z82</f>
        <v>0</v>
      </c>
      <c r="S82" s="374" t="str">
        <f>[5]酒店主体!AA82</f>
        <v/>
      </c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</row>
    <row r="83" spans="1:41" s="5" customFormat="1" ht="16.5" customHeight="1">
      <c r="A83" s="253"/>
      <c r="B83" s="253"/>
      <c r="C83" s="204"/>
      <c r="D83" s="200"/>
      <c r="E83" s="254"/>
      <c r="F83" s="184"/>
      <c r="G83" s="412" t="s">
        <v>408</v>
      </c>
      <c r="H83" s="413">
        <f>[5]酒店主体!J83</f>
        <v>38182.339999999997</v>
      </c>
      <c r="I83" s="414">
        <f>[5]酒店主体!K83</f>
        <v>28913.39</v>
      </c>
      <c r="J83" s="415">
        <f>[5]酒店主体!M83</f>
        <v>0.32057638346800599</v>
      </c>
      <c r="K83" s="414">
        <f>[5]酒店主体!N83</f>
        <v>54310.879999999997</v>
      </c>
      <c r="L83" s="416">
        <f>[5]酒店主体!P83</f>
        <v>-0.29696701655358898</v>
      </c>
      <c r="M83" s="413">
        <f>[5]酒店主体!S83</f>
        <v>38182.339999999997</v>
      </c>
      <c r="N83" s="414">
        <f>[5]酒店主体!T83</f>
        <v>28913.39</v>
      </c>
      <c r="O83" s="415">
        <f>[5]酒店主体!V83</f>
        <v>0.32057638346800599</v>
      </c>
      <c r="P83" s="414">
        <f>[5]酒店主体!W83</f>
        <v>54310.879999999997</v>
      </c>
      <c r="Q83" s="417">
        <f>[5]酒店主体!Y83</f>
        <v>-0.29696701655358898</v>
      </c>
      <c r="R83" s="418">
        <f>[5]酒店主体!Z83</f>
        <v>349579.72</v>
      </c>
      <c r="S83" s="419">
        <f>[5]酒店主体!AA83</f>
        <v>0.109223555645619</v>
      </c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</row>
    <row r="84" spans="1:41" ht="16.5" customHeight="1">
      <c r="A84" s="47"/>
      <c r="B84" s="47"/>
      <c r="C84" s="48"/>
      <c r="D84" s="48"/>
      <c r="E84" s="49"/>
      <c r="F84" s="184"/>
      <c r="G84" s="257"/>
      <c r="H84" s="258"/>
      <c r="I84" s="258"/>
      <c r="J84" s="259"/>
      <c r="K84" s="258"/>
      <c r="L84" s="260"/>
      <c r="M84" s="258"/>
      <c r="N84" s="258"/>
      <c r="O84" s="259"/>
      <c r="P84" s="258"/>
      <c r="Q84" s="259"/>
      <c r="R84" s="261"/>
      <c r="S84" s="262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spans="1:41" ht="16.5" customHeight="1">
      <c r="A85" s="253"/>
      <c r="B85" s="253"/>
      <c r="C85" s="204"/>
      <c r="D85" s="200"/>
      <c r="E85" s="254"/>
      <c r="F85" s="184"/>
      <c r="G85" s="420" t="s">
        <v>409</v>
      </c>
      <c r="H85" s="421">
        <f>[5]酒店主体!J85</f>
        <v>1136568.83</v>
      </c>
      <c r="I85" s="422">
        <f>[5]酒店主体!K85</f>
        <v>1160828.73</v>
      </c>
      <c r="J85" s="423">
        <f>[5]酒店主体!M85</f>
        <v>-2.0898776342311801E-2</v>
      </c>
      <c r="K85" s="424">
        <f>[5]酒店主体!N85</f>
        <v>1251789.25</v>
      </c>
      <c r="L85" s="425">
        <f>[5]酒店主体!P85</f>
        <v>-9.2044583383344994E-2</v>
      </c>
      <c r="M85" s="421">
        <f>[5]酒店主体!S85</f>
        <v>1136568.83</v>
      </c>
      <c r="N85" s="422">
        <f>[5]酒店主体!T85</f>
        <v>1160828.73</v>
      </c>
      <c r="O85" s="423">
        <f>[5]酒店主体!V85</f>
        <v>-2.0898776342311801E-2</v>
      </c>
      <c r="P85" s="424">
        <f>[5]酒店主体!W85</f>
        <v>1251789.25</v>
      </c>
      <c r="Q85" s="426">
        <f>[5]酒店主体!Y85</f>
        <v>-9.2044583383344994E-2</v>
      </c>
      <c r="R85" s="427">
        <f>[5]酒店主体!Z85</f>
        <v>17816639.27</v>
      </c>
      <c r="S85" s="428">
        <f>[5]酒店主体!AA85</f>
        <v>6.3792548795314999E-2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spans="1:41" ht="16.5" customHeight="1">
      <c r="A86" s="253"/>
      <c r="B86" s="253"/>
      <c r="C86" s="204"/>
      <c r="D86" s="200"/>
      <c r="E86" s="254"/>
      <c r="F86" s="184"/>
      <c r="G86" s="429" t="s">
        <v>410</v>
      </c>
      <c r="H86" s="430">
        <f>[5]酒店主体!J86</f>
        <v>503612.47</v>
      </c>
      <c r="I86" s="431">
        <f>[5]酒店主体!K86</f>
        <v>455302.69</v>
      </c>
      <c r="J86" s="432">
        <f>[5]酒店主体!M86</f>
        <v>0.10610475418012499</v>
      </c>
      <c r="K86" s="433">
        <f>[5]酒店主体!N86</f>
        <v>371208.57</v>
      </c>
      <c r="L86" s="434">
        <f>[5]酒店主体!P86</f>
        <v>0.35668330609931698</v>
      </c>
      <c r="M86" s="430">
        <f>[5]酒店主体!S86</f>
        <v>503612.47</v>
      </c>
      <c r="N86" s="431">
        <f>[5]酒店主体!T86</f>
        <v>455302.69</v>
      </c>
      <c r="O86" s="432">
        <f>[5]酒店主体!V86</f>
        <v>0.10610475418012499</v>
      </c>
      <c r="P86" s="433">
        <f>[5]酒店主体!W86</f>
        <v>371208.57</v>
      </c>
      <c r="Q86" s="435">
        <f>[5]酒店主体!Y86</f>
        <v>0.35668330609931698</v>
      </c>
      <c r="R86" s="436">
        <f>[5]酒店主体!Z86</f>
        <v>8175900.0499999998</v>
      </c>
      <c r="S86" s="437">
        <f>[5]酒店主体!AA86</f>
        <v>6.1597190146667702E-2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spans="1:41" s="7" customFormat="1" ht="16.5" customHeight="1">
      <c r="A87" s="263"/>
      <c r="B87" s="263"/>
      <c r="C87" s="235"/>
      <c r="D87" s="264"/>
      <c r="E87" s="265"/>
      <c r="F87" s="236"/>
      <c r="G87" s="438" t="s">
        <v>411</v>
      </c>
      <c r="H87" s="439">
        <f>[5]酒店主体!J87</f>
        <v>0.443098963043004</v>
      </c>
      <c r="I87" s="440">
        <f>[5]酒店主体!K87</f>
        <v>0.39222210670130497</v>
      </c>
      <c r="J87" s="439">
        <f>[5]酒店主体!M87</f>
        <v>0.12971440281525001</v>
      </c>
      <c r="K87" s="441">
        <f>[5]酒店主体!N87</f>
        <v>0.29654238522978199</v>
      </c>
      <c r="L87" s="442">
        <f>[5]酒店主体!P87</f>
        <v>0.49421797730418499</v>
      </c>
      <c r="M87" s="439">
        <f>[5]酒店主体!S87</f>
        <v>0.443098963043004</v>
      </c>
      <c r="N87" s="440">
        <f>[5]酒店主体!T87</f>
        <v>0.39222210670130497</v>
      </c>
      <c r="O87" s="439">
        <f>[5]酒店主体!V87</f>
        <v>0.12971440281525001</v>
      </c>
      <c r="P87" s="441">
        <f>[5]酒店主体!W87</f>
        <v>0.29654238522978199</v>
      </c>
      <c r="Q87" s="443">
        <f>[5]酒店主体!Y87</f>
        <v>0.49421797730418499</v>
      </c>
      <c r="R87" s="444">
        <f>[5]酒店主体!Z87</f>
        <v>0.45889126036057398</v>
      </c>
      <c r="S87" s="445">
        <f>[5]酒店主体!AA87</f>
        <v>0.96558597061717499</v>
      </c>
      <c r="T87" s="136"/>
      <c r="U87" s="136"/>
      <c r="V87" s="136"/>
      <c r="W87" s="136"/>
      <c r="X87" s="136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</row>
    <row r="88" spans="1:41" ht="16.5" customHeight="1">
      <c r="A88" s="47"/>
      <c r="B88" s="47"/>
      <c r="C88" s="48"/>
      <c r="D88" s="48"/>
      <c r="E88" s="49"/>
      <c r="F88" s="184"/>
      <c r="G88" s="266"/>
      <c r="H88" s="239"/>
      <c r="I88" s="239"/>
      <c r="J88" s="65"/>
      <c r="K88" s="239"/>
      <c r="L88" s="63"/>
      <c r="M88" s="239"/>
      <c r="N88" s="239"/>
      <c r="O88" s="65"/>
      <c r="P88" s="239"/>
      <c r="Q88" s="63"/>
      <c r="R88" s="239"/>
      <c r="S88" s="267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spans="1:41" ht="16.5" customHeight="1">
      <c r="A89" s="47"/>
      <c r="B89" s="47"/>
      <c r="C89" s="48"/>
      <c r="D89" s="48"/>
      <c r="E89" s="49"/>
      <c r="F89" s="184"/>
      <c r="G89" s="446" t="s">
        <v>412</v>
      </c>
      <c r="H89" s="268"/>
      <c r="I89" s="269"/>
      <c r="J89" s="270"/>
      <c r="K89" s="269"/>
      <c r="L89" s="271"/>
      <c r="M89" s="268"/>
      <c r="N89" s="269"/>
      <c r="O89" s="270"/>
      <c r="P89" s="269"/>
      <c r="Q89" s="270"/>
      <c r="R89" s="272"/>
      <c r="S89" s="27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spans="1:41" s="5" customFormat="1" ht="16.5" customHeight="1">
      <c r="A90" s="47"/>
      <c r="B90" s="47"/>
      <c r="C90" s="204"/>
      <c r="D90" s="221"/>
      <c r="E90" s="49"/>
      <c r="F90" s="184"/>
      <c r="G90" s="447" t="s">
        <v>413</v>
      </c>
      <c r="H90" s="448">
        <f>[5]酒店主体!J90</f>
        <v>128714.7</v>
      </c>
      <c r="I90" s="449">
        <f>[5]酒店主体!K90</f>
        <v>140442.28</v>
      </c>
      <c r="J90" s="450">
        <f>[5]酒店主体!M90</f>
        <v>-8.3504625530146606E-2</v>
      </c>
      <c r="K90" s="449">
        <f>[5]酒店主体!N90</f>
        <v>169042.9</v>
      </c>
      <c r="L90" s="451">
        <f>[5]酒店主体!P90</f>
        <v>-0.23856784283752799</v>
      </c>
      <c r="M90" s="448">
        <f>[5]酒店主体!S90</f>
        <v>128714.7</v>
      </c>
      <c r="N90" s="449">
        <f>[5]酒店主体!T90</f>
        <v>140442.28</v>
      </c>
      <c r="O90" s="450">
        <f>[5]酒店主体!V90</f>
        <v>-8.3504625530146606E-2</v>
      </c>
      <c r="P90" s="452">
        <f>[5]酒店主体!W90</f>
        <v>169042.9</v>
      </c>
      <c r="Q90" s="453">
        <f>[5]酒店主体!Y90</f>
        <v>-0.23856784283752799</v>
      </c>
      <c r="R90" s="454">
        <f>[5]酒店主体!Z90</f>
        <v>1582707.32</v>
      </c>
      <c r="S90" s="455">
        <f>[5]酒店主体!AA90</f>
        <v>8.1325649015131896E-2</v>
      </c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</row>
    <row r="91" spans="1:41" ht="16.5" customHeight="1">
      <c r="A91" s="47"/>
      <c r="B91" s="47"/>
      <c r="C91" s="204"/>
      <c r="D91" s="221"/>
      <c r="E91" s="49"/>
      <c r="F91" s="184"/>
      <c r="G91" s="274" t="s">
        <v>372</v>
      </c>
      <c r="H91" s="60">
        <f>[5]酒店主体!J91</f>
        <v>56197.19</v>
      </c>
      <c r="I91" s="64">
        <f>[5]酒店主体!K91</f>
        <v>65982</v>
      </c>
      <c r="J91" s="251">
        <f>[5]酒店主体!M91</f>
        <v>-0.14829514109908801</v>
      </c>
      <c r="K91" s="64">
        <f>[5]酒店主体!N91</f>
        <v>84920.639999999999</v>
      </c>
      <c r="L91" s="250">
        <f>[5]酒店主体!P91</f>
        <v>-0.33823873677824401</v>
      </c>
      <c r="M91" s="60">
        <f>[5]酒店主体!S91</f>
        <v>56197.19</v>
      </c>
      <c r="N91" s="64">
        <f>[5]酒店主体!T91</f>
        <v>65982</v>
      </c>
      <c r="O91" s="251">
        <f>[5]酒店主体!V91</f>
        <v>-0.14829514109908801</v>
      </c>
      <c r="P91" s="61">
        <f>[5]酒店主体!W91</f>
        <v>84920.639999999999</v>
      </c>
      <c r="Q91" s="252">
        <f>[5]酒店主体!Y91</f>
        <v>-0.33823873677824401</v>
      </c>
      <c r="R91" s="57">
        <f>[5]酒店主体!Z91</f>
        <v>791784</v>
      </c>
      <c r="S91" s="58">
        <f>[5]酒店主体!AA91</f>
        <v>7.0975404908409395E-2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spans="1:41" ht="16.5" customHeight="1">
      <c r="A92" s="47"/>
      <c r="B92" s="47"/>
      <c r="C92" s="204"/>
      <c r="D92" s="221"/>
      <c r="E92" s="49"/>
      <c r="F92" s="184"/>
      <c r="G92" s="234" t="s">
        <v>373</v>
      </c>
      <c r="H92" s="51">
        <f>[5]酒店主体!J92</f>
        <v>47357.09</v>
      </c>
      <c r="I92" s="55">
        <f>[5]酒店主体!K92</f>
        <v>23451.95</v>
      </c>
      <c r="J92" s="111">
        <f>[5]酒店主体!M92</f>
        <v>1.0193241926577501</v>
      </c>
      <c r="K92" s="55">
        <f>[5]酒店主体!N92</f>
        <v>41760.11</v>
      </c>
      <c r="L92" s="112">
        <f>[5]酒店主体!P92</f>
        <v>0.13402694581024799</v>
      </c>
      <c r="M92" s="51">
        <f>[5]酒店主体!S92</f>
        <v>47357.09</v>
      </c>
      <c r="N92" s="55">
        <f>[5]酒店主体!T92</f>
        <v>23451.95</v>
      </c>
      <c r="O92" s="111">
        <f>[5]酒店主体!V92</f>
        <v>1.0193241926577501</v>
      </c>
      <c r="P92" s="52">
        <f>[5]酒店主体!W92</f>
        <v>41760.11</v>
      </c>
      <c r="Q92" s="113">
        <f>[5]酒店主体!Y92</f>
        <v>0.13402694581024799</v>
      </c>
      <c r="R92" s="57">
        <f>[5]酒店主体!Z92</f>
        <v>281423.40000000002</v>
      </c>
      <c r="S92" s="58">
        <f>[5]酒店主体!AA92</f>
        <v>0.16827701605481299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spans="1:41" ht="16.5" customHeight="1">
      <c r="A93" s="47"/>
      <c r="B93" s="47"/>
      <c r="C93" s="204"/>
      <c r="D93" s="221"/>
      <c r="E93" s="49"/>
      <c r="F93" s="184"/>
      <c r="G93" s="274" t="s">
        <v>406</v>
      </c>
      <c r="H93" s="60">
        <f>[5]酒店主体!J93</f>
        <v>18845.689999999999</v>
      </c>
      <c r="I93" s="64">
        <f>[5]酒店主体!K93</f>
        <v>42752.37</v>
      </c>
      <c r="J93" s="251">
        <f>[5]酒店主体!M93</f>
        <v>-0.55918958410960595</v>
      </c>
      <c r="K93" s="64">
        <f>[5]酒店主体!N93</f>
        <v>35913.19</v>
      </c>
      <c r="L93" s="250">
        <f>[5]酒店主体!P93</f>
        <v>-0.475243218438685</v>
      </c>
      <c r="M93" s="60">
        <f>[5]酒店主体!S93</f>
        <v>18845.689999999999</v>
      </c>
      <c r="N93" s="64">
        <f>[5]酒店主体!T93</f>
        <v>42752.37</v>
      </c>
      <c r="O93" s="251">
        <f>[5]酒店主体!V93</f>
        <v>-0.55918958410960595</v>
      </c>
      <c r="P93" s="61">
        <f>[5]酒店主体!W93</f>
        <v>35913.19</v>
      </c>
      <c r="Q93" s="252">
        <f>[5]酒店主体!Y93</f>
        <v>-0.475243218438685</v>
      </c>
      <c r="R93" s="57">
        <f>[5]酒店主体!Z93</f>
        <v>393499.93</v>
      </c>
      <c r="S93" s="58">
        <f>[5]酒店主体!AA93</f>
        <v>4.7892486283288502E-2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spans="1:41" ht="16.5" customHeight="1">
      <c r="A94" s="47"/>
      <c r="B94" s="47"/>
      <c r="C94" s="204"/>
      <c r="D94" s="221"/>
      <c r="E94" s="49"/>
      <c r="F94" s="184"/>
      <c r="G94" s="234" t="s">
        <v>414</v>
      </c>
      <c r="H94" s="51">
        <f>[5]酒店主体!J94</f>
        <v>1236.4100000000001</v>
      </c>
      <c r="I94" s="55">
        <f>[5]酒店主体!K94</f>
        <v>2000</v>
      </c>
      <c r="J94" s="111">
        <f>[5]酒店主体!M94</f>
        <v>-0.381795</v>
      </c>
      <c r="K94" s="55">
        <f>[5]酒店主体!N94</f>
        <v>1328.31</v>
      </c>
      <c r="L94" s="112">
        <f>[5]酒店主体!P94</f>
        <v>-6.9185656962606507E-2</v>
      </c>
      <c r="M94" s="51">
        <f>[5]酒店主体!S94</f>
        <v>1236.4100000000001</v>
      </c>
      <c r="N94" s="55">
        <f>[5]酒店主体!T94</f>
        <v>2000</v>
      </c>
      <c r="O94" s="111">
        <f>[5]酒店主体!V94</f>
        <v>-0.381795</v>
      </c>
      <c r="P94" s="52">
        <f>[5]酒店主体!W94</f>
        <v>1328.31</v>
      </c>
      <c r="Q94" s="113">
        <f>[5]酒店主体!Y94</f>
        <v>-6.9185656962606507E-2</v>
      </c>
      <c r="R94" s="57">
        <f>[5]酒店主体!Z94</f>
        <v>26000</v>
      </c>
      <c r="S94" s="58">
        <f>[5]酒店主体!AA94</f>
        <v>4.75542307692308E-2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spans="1:41" ht="16.5" customHeight="1">
      <c r="A95" s="47"/>
      <c r="B95" s="47"/>
      <c r="C95" s="204"/>
      <c r="D95" s="221"/>
      <c r="E95" s="49"/>
      <c r="F95" s="184"/>
      <c r="G95" s="274" t="s">
        <v>415</v>
      </c>
      <c r="H95" s="60">
        <f>[5]酒店主体!J95</f>
        <v>868.34</v>
      </c>
      <c r="I95" s="64">
        <f>[5]酒店主体!K95</f>
        <v>0</v>
      </c>
      <c r="J95" s="251" t="str">
        <f>[5]酒店主体!M95</f>
        <v/>
      </c>
      <c r="K95" s="64">
        <f>[5]酒店主体!N95</f>
        <v>873</v>
      </c>
      <c r="L95" s="250">
        <f>[5]酒店主体!P95</f>
        <v>-5.3379152348224101E-3</v>
      </c>
      <c r="M95" s="60">
        <f>[5]酒店主体!S95</f>
        <v>868.34</v>
      </c>
      <c r="N95" s="64">
        <f>[5]酒店主体!T95</f>
        <v>0</v>
      </c>
      <c r="O95" s="251" t="str">
        <f>[5]酒店主体!V95</f>
        <v/>
      </c>
      <c r="P95" s="61">
        <f>[5]酒店主体!W95</f>
        <v>873</v>
      </c>
      <c r="Q95" s="252">
        <f>[5]酒店主体!Y95</f>
        <v>-5.3379152348224101E-3</v>
      </c>
      <c r="R95" s="57">
        <f>[5]酒店主体!Z95</f>
        <v>0</v>
      </c>
      <c r="S95" s="58" t="str">
        <f>[5]酒店主体!AA95</f>
        <v/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spans="1:41" ht="16.5" customHeight="1">
      <c r="A96" s="47"/>
      <c r="B96" s="47"/>
      <c r="C96" s="204"/>
      <c r="D96" s="221"/>
      <c r="E96" s="49"/>
      <c r="F96" s="184"/>
      <c r="G96" s="234" t="s">
        <v>416</v>
      </c>
      <c r="H96" s="51">
        <f>[5]酒店主体!J96</f>
        <v>4209.9799999999996</v>
      </c>
      <c r="I96" s="55">
        <f>[5]酒店主体!K96</f>
        <v>6255.96</v>
      </c>
      <c r="J96" s="111">
        <f>[5]酒店主体!M96</f>
        <v>-0.32704492995479501</v>
      </c>
      <c r="K96" s="55">
        <f>[5]酒店主体!N96</f>
        <v>4247.6499999999996</v>
      </c>
      <c r="L96" s="112">
        <f>[5]酒店主体!P96</f>
        <v>-8.8684331336150793E-3</v>
      </c>
      <c r="M96" s="51">
        <f>[5]酒店主体!S96</f>
        <v>4209.9799999999996</v>
      </c>
      <c r="N96" s="55">
        <f>[5]酒店主体!T96</f>
        <v>6255.96</v>
      </c>
      <c r="O96" s="111">
        <f>[5]酒店主体!V96</f>
        <v>-0.32704492995479501</v>
      </c>
      <c r="P96" s="52">
        <f>[5]酒店主体!W96</f>
        <v>4247.6499999999996</v>
      </c>
      <c r="Q96" s="113">
        <f>[5]酒店主体!Y96</f>
        <v>-8.8684331336150793E-3</v>
      </c>
      <c r="R96" s="57">
        <f>[5]酒店主体!Z96</f>
        <v>89999.99</v>
      </c>
      <c r="S96" s="58">
        <f>[5]酒店主体!AA96</f>
        <v>4.6777560753062303E-2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spans="1:41" s="5" customFormat="1" ht="16.5" customHeight="1">
      <c r="A97" s="275"/>
      <c r="B97" s="275"/>
      <c r="C97" s="204"/>
      <c r="D97" s="221"/>
      <c r="E97" s="276"/>
      <c r="F97" s="184"/>
      <c r="G97" s="456" t="s">
        <v>417</v>
      </c>
      <c r="H97" s="457">
        <f>[5]酒店主体!J97</f>
        <v>94502.93</v>
      </c>
      <c r="I97" s="458">
        <f>[5]酒店主体!K97</f>
        <v>158889.01999999999</v>
      </c>
      <c r="J97" s="459">
        <f>[5]酒店主体!M97</f>
        <v>-0.40522680547718198</v>
      </c>
      <c r="K97" s="458">
        <f>[5]酒店主体!N97</f>
        <v>136411.20000000001</v>
      </c>
      <c r="L97" s="460">
        <f>[5]酒店主体!P97</f>
        <v>-0.30722015494328903</v>
      </c>
      <c r="M97" s="457">
        <f>[5]酒店主体!S97</f>
        <v>94502.93</v>
      </c>
      <c r="N97" s="458">
        <f>[5]酒店主体!T97</f>
        <v>158889.01999999999</v>
      </c>
      <c r="O97" s="459">
        <f>[5]酒店主体!V97</f>
        <v>-0.40522680547718198</v>
      </c>
      <c r="P97" s="461">
        <f>[5]酒店主体!W97</f>
        <v>136411.20000000001</v>
      </c>
      <c r="Q97" s="462">
        <f>[5]酒店主体!Y97</f>
        <v>-0.30722015494328903</v>
      </c>
      <c r="R97" s="454">
        <f>[5]酒店主体!Z97</f>
        <v>1898499.03</v>
      </c>
      <c r="S97" s="455">
        <f>[5]酒店主体!AA97</f>
        <v>4.9777707813735299E-2</v>
      </c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</row>
    <row r="98" spans="1:41" ht="16.5" customHeight="1">
      <c r="A98" s="47"/>
      <c r="B98" s="47"/>
      <c r="C98" s="204"/>
      <c r="D98" s="221"/>
      <c r="E98" s="49"/>
      <c r="F98" s="184"/>
      <c r="G98" s="234" t="s">
        <v>372</v>
      </c>
      <c r="H98" s="51">
        <f>[5]酒店主体!J98</f>
        <v>61338.74</v>
      </c>
      <c r="I98" s="55">
        <f>[5]酒店主体!K98</f>
        <v>111000</v>
      </c>
      <c r="J98" s="111">
        <f>[5]酒店主体!M98</f>
        <v>-0.44739873873873898</v>
      </c>
      <c r="K98" s="55">
        <f>[5]酒店主体!N98</f>
        <v>83984.35</v>
      </c>
      <c r="L98" s="112">
        <f>[5]酒店主体!P98</f>
        <v>-0.26964083189308502</v>
      </c>
      <c r="M98" s="51">
        <f>[5]酒店主体!S98</f>
        <v>61338.74</v>
      </c>
      <c r="N98" s="55">
        <f>[5]酒店主体!T98</f>
        <v>111000</v>
      </c>
      <c r="O98" s="111">
        <f>[5]酒店主体!V98</f>
        <v>-0.44739873873873898</v>
      </c>
      <c r="P98" s="52">
        <f>[5]酒店主体!W98</f>
        <v>83984.35</v>
      </c>
      <c r="Q98" s="113">
        <f>[5]酒店主体!Y98</f>
        <v>-0.26964083189308502</v>
      </c>
      <c r="R98" s="57">
        <f>[5]酒店主体!Z98</f>
        <v>1332000</v>
      </c>
      <c r="S98" s="58">
        <f>[5]酒店主体!AA98</f>
        <v>4.6050105105105099E-2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spans="1:41" ht="16.5" customHeight="1">
      <c r="A99" s="47"/>
      <c r="B99" s="47"/>
      <c r="C99" s="204"/>
      <c r="D99" s="221"/>
      <c r="E99" s="49"/>
      <c r="F99" s="184"/>
      <c r="G99" s="274" t="s">
        <v>373</v>
      </c>
      <c r="H99" s="60">
        <f>[5]酒店主体!J99</f>
        <v>17847.61</v>
      </c>
      <c r="I99" s="64">
        <f>[5]酒店主体!K99</f>
        <v>16124.93</v>
      </c>
      <c r="J99" s="251">
        <f>[5]酒店主体!M99</f>
        <v>0.106833331989657</v>
      </c>
      <c r="K99" s="64">
        <f>[5]酒店主体!N99</f>
        <v>28321.06</v>
      </c>
      <c r="L99" s="250">
        <f>[5]酒店主体!P99</f>
        <v>-0.36981137005465198</v>
      </c>
      <c r="M99" s="60">
        <f>[5]酒店主体!S99</f>
        <v>17847.61</v>
      </c>
      <c r="N99" s="64">
        <f>[5]酒店主体!T99</f>
        <v>16124.93</v>
      </c>
      <c r="O99" s="251">
        <f>[5]酒店主体!V99</f>
        <v>0.106833331989657</v>
      </c>
      <c r="P99" s="61">
        <f>[5]酒店主体!W99</f>
        <v>28321.06</v>
      </c>
      <c r="Q99" s="252">
        <f>[5]酒店主体!Y99</f>
        <v>-0.36981137005465198</v>
      </c>
      <c r="R99" s="57">
        <f>[5]酒店主体!Z99</f>
        <v>193499.16</v>
      </c>
      <c r="S99" s="58">
        <f>[5]酒店主体!AA99</f>
        <v>9.2236110999138102E-2</v>
      </c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spans="1:41" ht="16.5" customHeight="1">
      <c r="A100" s="47"/>
      <c r="B100" s="47"/>
      <c r="C100" s="204"/>
      <c r="D100" s="221"/>
      <c r="E100" s="49"/>
      <c r="F100" s="184"/>
      <c r="G100" s="234" t="s">
        <v>406</v>
      </c>
      <c r="H100" s="51">
        <f>[5]酒店主体!J100</f>
        <v>15316.58</v>
      </c>
      <c r="I100" s="55">
        <f>[5]酒店主体!K100</f>
        <v>31764.09</v>
      </c>
      <c r="J100" s="111">
        <f>[5]酒店主体!M100</f>
        <v>-0.51780202108733497</v>
      </c>
      <c r="K100" s="55">
        <f>[5]酒店主体!N100</f>
        <v>24105.79</v>
      </c>
      <c r="L100" s="112">
        <f>[5]酒店主体!P100</f>
        <v>-0.36460991322001901</v>
      </c>
      <c r="M100" s="51">
        <f>[5]酒店主体!S100</f>
        <v>15316.58</v>
      </c>
      <c r="N100" s="55">
        <f>[5]酒店主体!T100</f>
        <v>31764.09</v>
      </c>
      <c r="O100" s="111">
        <f>[5]酒店主体!V100</f>
        <v>-0.51780202108733497</v>
      </c>
      <c r="P100" s="52">
        <f>[5]酒店主体!W100</f>
        <v>24105.79</v>
      </c>
      <c r="Q100" s="113">
        <f>[5]酒店主体!Y100</f>
        <v>-0.36460991322001901</v>
      </c>
      <c r="R100" s="57">
        <f>[5]酒店主体!Z100</f>
        <v>372999.87</v>
      </c>
      <c r="S100" s="58">
        <f>[5]酒店主体!AA100</f>
        <v>4.1063231469759001E-2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spans="1:41" s="5" customFormat="1" ht="16.5" customHeight="1">
      <c r="A101" s="275"/>
      <c r="B101" s="275"/>
      <c r="C101" s="204"/>
      <c r="D101" s="221"/>
      <c r="E101" s="276"/>
      <c r="F101" s="184"/>
      <c r="G101" s="463" t="s">
        <v>418</v>
      </c>
      <c r="H101" s="457">
        <f>[5]酒店主体!J101</f>
        <v>132997.87</v>
      </c>
      <c r="I101" s="458">
        <f>[5]酒店主体!K101</f>
        <v>144300</v>
      </c>
      <c r="J101" s="464">
        <f>[5]酒店主体!M101</f>
        <v>-7.8323839223839301E-2</v>
      </c>
      <c r="K101" s="458">
        <f>[5]酒店主体!N101</f>
        <v>120892.18</v>
      </c>
      <c r="L101" s="465">
        <f>[5]酒店主体!P101</f>
        <v>0.100136253643536</v>
      </c>
      <c r="M101" s="457">
        <f>[5]酒店主体!S101</f>
        <v>132997.87</v>
      </c>
      <c r="N101" s="458">
        <f>[5]酒店主体!T101</f>
        <v>144300</v>
      </c>
      <c r="O101" s="464">
        <f>[5]酒店主体!V101</f>
        <v>-7.8323839223839301E-2</v>
      </c>
      <c r="P101" s="461">
        <f>[5]酒店主体!W101</f>
        <v>120892.18</v>
      </c>
      <c r="Q101" s="466">
        <f>[5]酒店主体!Y101</f>
        <v>0.100136253643536</v>
      </c>
      <c r="R101" s="454">
        <f>[5]酒店主体!Z101</f>
        <v>1486000</v>
      </c>
      <c r="S101" s="455">
        <f>[5]酒店主体!AA101</f>
        <v>8.9500585464333801E-2</v>
      </c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</row>
    <row r="102" spans="1:41" s="5" customFormat="1" ht="16.5" customHeight="1">
      <c r="A102" s="275"/>
      <c r="B102" s="275"/>
      <c r="C102" s="204"/>
      <c r="D102" s="221"/>
      <c r="E102" s="276"/>
      <c r="F102" s="184"/>
      <c r="G102" s="456" t="s">
        <v>419</v>
      </c>
      <c r="H102" s="448">
        <f>[5]酒店主体!J102</f>
        <v>89374.7</v>
      </c>
      <c r="I102" s="449">
        <f>[5]酒店主体!K102</f>
        <v>101464.2</v>
      </c>
      <c r="J102" s="467">
        <f>[5]酒店主体!M102</f>
        <v>-0.119150399845463</v>
      </c>
      <c r="K102" s="449">
        <f>[5]酒店主体!N102</f>
        <v>124311.31</v>
      </c>
      <c r="L102" s="468">
        <f>[5]酒店主体!P102</f>
        <v>-0.28104128256712901</v>
      </c>
      <c r="M102" s="448">
        <f>[5]酒店主体!S102</f>
        <v>89374.7</v>
      </c>
      <c r="N102" s="469">
        <f>[5]酒店主体!T102</f>
        <v>101464.2</v>
      </c>
      <c r="O102" s="467">
        <f>[5]酒店主体!V102</f>
        <v>-0.119150399845463</v>
      </c>
      <c r="P102" s="469">
        <f>[5]酒店主体!W102</f>
        <v>124311.31</v>
      </c>
      <c r="Q102" s="470">
        <f>[5]酒店主体!Y102</f>
        <v>-0.28104128256712901</v>
      </c>
      <c r="R102" s="454">
        <f>[5]酒店主体!Z102</f>
        <v>1241443.32</v>
      </c>
      <c r="S102" s="455">
        <f>[5]酒店主体!AA102</f>
        <v>7.1992573934023807E-2</v>
      </c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</row>
    <row r="103" spans="1:41" ht="16.5" customHeight="1">
      <c r="A103" s="47"/>
      <c r="B103" s="47"/>
      <c r="C103" s="204"/>
      <c r="D103" s="221"/>
      <c r="E103" s="49"/>
      <c r="F103" s="184"/>
      <c r="G103" s="277" t="s">
        <v>372</v>
      </c>
      <c r="H103" s="60">
        <f>[5]酒店主体!J103</f>
        <v>45573.919999999998</v>
      </c>
      <c r="I103" s="64">
        <f>[5]酒店主体!K103</f>
        <v>49599.98</v>
      </c>
      <c r="J103" s="251">
        <f>[5]酒店主体!M103</f>
        <v>-8.1170597246208495E-2</v>
      </c>
      <c r="K103" s="64">
        <f>[5]酒店主体!N103</f>
        <v>60885.15</v>
      </c>
      <c r="L103" s="250">
        <f>[5]酒店主体!P103</f>
        <v>-0.25147724855732501</v>
      </c>
      <c r="M103" s="60">
        <f>[5]酒店主体!S103</f>
        <v>45573.919999999998</v>
      </c>
      <c r="N103" s="64">
        <f>[5]酒店主体!T103</f>
        <v>49599.98</v>
      </c>
      <c r="O103" s="251">
        <f>[5]酒店主体!V103</f>
        <v>-8.1170597246208495E-2</v>
      </c>
      <c r="P103" s="61">
        <f>[5]酒店主体!W103</f>
        <v>60885.15</v>
      </c>
      <c r="Q103" s="252">
        <f>[5]酒店主体!Y103</f>
        <v>-0.25147724855732501</v>
      </c>
      <c r="R103" s="57">
        <f>[5]酒店主体!Z103</f>
        <v>595199.76</v>
      </c>
      <c r="S103" s="58">
        <f>[5]酒店主体!AA103</f>
        <v>7.65691168961493E-2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spans="1:41" ht="16.5" customHeight="1">
      <c r="A104" s="47"/>
      <c r="B104" s="47"/>
      <c r="C104" s="204"/>
      <c r="D104" s="221"/>
      <c r="E104" s="49"/>
      <c r="F104" s="184"/>
      <c r="G104" s="234" t="s">
        <v>373</v>
      </c>
      <c r="H104" s="51">
        <f>[5]酒店主体!J104</f>
        <v>21113.33</v>
      </c>
      <c r="I104" s="55">
        <f>[5]酒店主体!K104</f>
        <v>20403.63</v>
      </c>
      <c r="J104" s="111">
        <f>[5]酒店主体!M104</f>
        <v>3.4783026353643803E-2</v>
      </c>
      <c r="K104" s="55">
        <f>[5]酒店主体!N104</f>
        <v>27764.77</v>
      </c>
      <c r="L104" s="112">
        <f>[5]酒店主体!P104</f>
        <v>-0.23956402304070901</v>
      </c>
      <c r="M104" s="51">
        <f>[5]酒店主体!S104</f>
        <v>21113.33</v>
      </c>
      <c r="N104" s="55">
        <f>[5]酒店主体!T104</f>
        <v>20403.63</v>
      </c>
      <c r="O104" s="111">
        <f>[5]酒店主体!V104</f>
        <v>3.4783026353643803E-2</v>
      </c>
      <c r="P104" s="52">
        <f>[5]酒店主体!W104</f>
        <v>27764.77</v>
      </c>
      <c r="Q104" s="113">
        <f>[5]酒店主体!Y104</f>
        <v>-0.23956402304070901</v>
      </c>
      <c r="R104" s="57">
        <f>[5]酒店主体!Z104</f>
        <v>246843.56</v>
      </c>
      <c r="S104" s="58">
        <f>[5]酒店主体!AA104</f>
        <v>8.5533242187886105E-2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spans="1:41" ht="16.5" customHeight="1">
      <c r="A105" s="47"/>
      <c r="B105" s="47"/>
      <c r="C105" s="204"/>
      <c r="D105" s="221"/>
      <c r="E105" s="49"/>
      <c r="F105" s="184"/>
      <c r="G105" s="274" t="s">
        <v>406</v>
      </c>
      <c r="H105" s="60">
        <f>[5]酒店主体!J105</f>
        <v>22687.45</v>
      </c>
      <c r="I105" s="64">
        <f>[5]酒店主体!K105</f>
        <v>31460.59</v>
      </c>
      <c r="J105" s="251">
        <f>[5]酒店主体!M105</f>
        <v>-0.27886126738246197</v>
      </c>
      <c r="K105" s="64">
        <f>[5]酒店主体!N105</f>
        <v>35661.39</v>
      </c>
      <c r="L105" s="250">
        <f>[5]酒店主体!P105</f>
        <v>-0.36380915045655798</v>
      </c>
      <c r="M105" s="60">
        <f>[5]酒店主体!S105</f>
        <v>22687.45</v>
      </c>
      <c r="N105" s="278">
        <f>[5]酒店主体!T105</f>
        <v>31460.59</v>
      </c>
      <c r="O105" s="251">
        <f>[5]酒店主体!V105</f>
        <v>-0.27886126738246197</v>
      </c>
      <c r="P105" s="61">
        <f>[5]酒店主体!W105</f>
        <v>35661.39</v>
      </c>
      <c r="Q105" s="252">
        <f>[5]酒店主体!Y105</f>
        <v>-0.36380915045655798</v>
      </c>
      <c r="R105" s="57">
        <f>[5]酒店主体!Z105</f>
        <v>399400</v>
      </c>
      <c r="S105" s="58">
        <f>[5]酒店主体!AA105</f>
        <v>5.6803830746119201E-2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spans="1:41" s="5" customFormat="1" ht="16.5" customHeight="1">
      <c r="A106" s="253"/>
      <c r="B106" s="253"/>
      <c r="C106" s="204"/>
      <c r="D106" s="200"/>
      <c r="E106" s="254"/>
      <c r="F106" s="184"/>
      <c r="G106" s="399" t="s">
        <v>420</v>
      </c>
      <c r="H106" s="368">
        <f>[5]酒店主体!J106</f>
        <v>445590.2</v>
      </c>
      <c r="I106" s="369">
        <f>[5]酒店主体!K106</f>
        <v>545095.5</v>
      </c>
      <c r="J106" s="370">
        <f>[5]酒店主体!M106</f>
        <v>-0.182546544596314</v>
      </c>
      <c r="K106" s="369">
        <f>[5]酒店主体!N106</f>
        <v>550657.59</v>
      </c>
      <c r="L106" s="371">
        <f>[5]酒店主体!P106</f>
        <v>-0.19080349005994801</v>
      </c>
      <c r="M106" s="368">
        <f>[5]酒店主体!S106</f>
        <v>445590.2</v>
      </c>
      <c r="N106" s="369">
        <f>[5]酒店主体!T106</f>
        <v>545095.5</v>
      </c>
      <c r="O106" s="370">
        <f>[5]酒店主体!V106</f>
        <v>-0.182546544596314</v>
      </c>
      <c r="P106" s="369">
        <f>[5]酒店主体!W106</f>
        <v>550657.59</v>
      </c>
      <c r="Q106" s="372">
        <f>[5]酒店主体!Y106</f>
        <v>-0.19080349005994801</v>
      </c>
      <c r="R106" s="373">
        <f>[5]酒店主体!Z106</f>
        <v>6208649.6699999999</v>
      </c>
      <c r="S106" s="374">
        <f>[5]酒店主体!AA106</f>
        <v>7.1769261221659497E-2</v>
      </c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</row>
    <row r="107" spans="1:41" s="11" customFormat="1" ht="16.5" customHeight="1">
      <c r="A107" s="125"/>
      <c r="B107" s="125"/>
      <c r="C107" s="235"/>
      <c r="D107" s="279"/>
      <c r="E107" s="127"/>
      <c r="F107" s="236"/>
      <c r="G107" s="280" t="s">
        <v>421</v>
      </c>
      <c r="H107" s="281">
        <f>[5]酒店主体!J107</f>
        <v>0.39204858363043399</v>
      </c>
      <c r="I107" s="282">
        <f>[5]酒店主体!K107</f>
        <v>0.46957443928873099</v>
      </c>
      <c r="J107" s="67">
        <f>[5]酒店主体!M107</f>
        <v>-0.165098116873069</v>
      </c>
      <c r="K107" s="282">
        <f>[5]酒店主体!N107</f>
        <v>0.43989640428690402</v>
      </c>
      <c r="L107" s="69">
        <f>[5]酒店主体!P107</f>
        <v>-0.108770656432242</v>
      </c>
      <c r="M107" s="281">
        <f>[5]酒店主体!S107</f>
        <v>0.39204858363043399</v>
      </c>
      <c r="N107" s="282">
        <f>[5]酒店主体!T107</f>
        <v>0.46957443928873099</v>
      </c>
      <c r="O107" s="67">
        <f>[5]酒店主体!V107</f>
        <v>-0.165098116873069</v>
      </c>
      <c r="P107" s="282">
        <f>[5]酒店主体!W107</f>
        <v>0.43989640428690402</v>
      </c>
      <c r="Q107" s="71">
        <f>[5]酒店主体!Y107</f>
        <v>-0.108770656432242</v>
      </c>
      <c r="R107" s="283">
        <f>[5]酒店主体!Z107</f>
        <v>0.34847479235066797</v>
      </c>
      <c r="S107" s="284">
        <f>[5]酒店主体!AA107</f>
        <v>1.1250414441338401</v>
      </c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</row>
    <row r="108" spans="1:41" s="3" customFormat="1" ht="16.5" customHeight="1">
      <c r="A108" s="253"/>
      <c r="B108" s="253"/>
      <c r="C108" s="221"/>
      <c r="D108" s="221"/>
      <c r="E108" s="254"/>
      <c r="F108" s="184"/>
      <c r="G108" s="471" t="s">
        <v>422</v>
      </c>
      <c r="H108" s="472">
        <f>[5]酒店主体!J108</f>
        <v>58022.27</v>
      </c>
      <c r="I108" s="473">
        <f>[5]酒店主体!K108</f>
        <v>-89792.809999999896</v>
      </c>
      <c r="J108" s="474">
        <f>[5]酒店主体!M108</f>
        <v>1.64617946581692</v>
      </c>
      <c r="K108" s="473">
        <f>[5]酒店主体!N108</f>
        <v>-179449.02</v>
      </c>
      <c r="L108" s="475">
        <f>[5]酒店主体!P108</f>
        <v>1.3233356749454499</v>
      </c>
      <c r="M108" s="472">
        <f>[5]酒店主体!S108</f>
        <v>58022.27</v>
      </c>
      <c r="N108" s="473">
        <f>[5]酒店主体!T108</f>
        <v>-89792.809999999896</v>
      </c>
      <c r="O108" s="474">
        <f>[5]酒店主体!V108</f>
        <v>1.64617946581692</v>
      </c>
      <c r="P108" s="473">
        <f>[5]酒店主体!W108</f>
        <v>-179449.02</v>
      </c>
      <c r="Q108" s="476">
        <f>[5]酒店主体!Y108</f>
        <v>1.3233356749454499</v>
      </c>
      <c r="R108" s="477">
        <f>[5]酒店主体!Z108</f>
        <v>1967250.38</v>
      </c>
      <c r="S108" s="478">
        <f>[5]酒店主体!AA108</f>
        <v>2.94940952051055E-2</v>
      </c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</row>
    <row r="109" spans="1:41" s="9" customFormat="1" ht="16.5" customHeight="1">
      <c r="A109" s="125"/>
      <c r="B109" s="125"/>
      <c r="C109" s="235"/>
      <c r="D109" s="279"/>
      <c r="E109" s="127"/>
      <c r="F109" s="236"/>
      <c r="G109" s="285" t="s">
        <v>423</v>
      </c>
      <c r="H109" s="286">
        <f>[5]酒店主体!J109</f>
        <v>5.1050379412569298E-2</v>
      </c>
      <c r="I109" s="287">
        <f>[5]酒店主体!K109</f>
        <v>-7.7352332587426506E-2</v>
      </c>
      <c r="J109" s="130">
        <f>[5]酒店主体!M109</f>
        <v>1.65997207459607</v>
      </c>
      <c r="K109" s="287">
        <f>[5]酒店主体!N109</f>
        <v>-0.143354019057121</v>
      </c>
      <c r="L109" s="132">
        <f>[5]酒店主体!P109</f>
        <v>1.3561140437382999</v>
      </c>
      <c r="M109" s="286">
        <f>[5]酒店主体!S109</f>
        <v>5.1050379412569298E-2</v>
      </c>
      <c r="N109" s="287">
        <f>[5]酒店主体!T109</f>
        <v>-7.7352332587426506E-2</v>
      </c>
      <c r="O109" s="130">
        <f>[5]酒店主体!V109</f>
        <v>1.65997207459607</v>
      </c>
      <c r="P109" s="287">
        <f>[5]酒店主体!W109</f>
        <v>-0.143354019057121</v>
      </c>
      <c r="Q109" s="133">
        <f>[5]酒店主体!Y109</f>
        <v>1.3561140437382999</v>
      </c>
      <c r="R109" s="288">
        <f>[5]酒店主体!Z109</f>
        <v>0.110416468009907</v>
      </c>
      <c r="S109" s="289">
        <f>[5]酒店主体!AA109</f>
        <v>0.46234389065939901</v>
      </c>
      <c r="T109" s="136"/>
      <c r="U109" s="136"/>
      <c r="V109" s="136"/>
      <c r="W109" s="136"/>
      <c r="X109" s="136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</row>
    <row r="110" spans="1:41" ht="16.5" customHeight="1">
      <c r="A110" s="47"/>
      <c r="B110" s="47"/>
      <c r="C110" s="204"/>
      <c r="D110" s="221"/>
      <c r="E110" s="49"/>
      <c r="F110" s="184"/>
      <c r="G110" s="222" t="s">
        <v>424</v>
      </c>
      <c r="H110" s="51">
        <f>[5]酒店主体!J110</f>
        <v>28531.81</v>
      </c>
      <c r="I110" s="55">
        <f>[5]酒店主体!K110</f>
        <v>17412.43</v>
      </c>
      <c r="J110" s="53">
        <f>[5]酒店主体!M110</f>
        <v>0.63858864041377295</v>
      </c>
      <c r="K110" s="55">
        <f>[5]酒店主体!N110</f>
        <v>28984.99</v>
      </c>
      <c r="L110" s="54">
        <f>[5]酒店主体!P110</f>
        <v>-1.5634989006378799E-2</v>
      </c>
      <c r="M110" s="51">
        <f>[5]酒店主体!S110</f>
        <v>28531.81</v>
      </c>
      <c r="N110" s="55">
        <f>[5]酒店主体!T110</f>
        <v>17412.43</v>
      </c>
      <c r="O110" s="53">
        <f>[5]酒店主体!V110</f>
        <v>0.63858864041377295</v>
      </c>
      <c r="P110" s="55">
        <f>[5]酒店主体!W110</f>
        <v>28984.99</v>
      </c>
      <c r="Q110" s="56">
        <f>[5]酒店主体!Y110</f>
        <v>-1.5634989006378799E-2</v>
      </c>
      <c r="R110" s="57">
        <f>[5]酒店主体!Z110</f>
        <v>267249.61</v>
      </c>
      <c r="S110" s="58">
        <f>[5]酒店主体!AA110</f>
        <v>0.106760904159972</v>
      </c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spans="1:41" s="3" customFormat="1" ht="16.5" customHeight="1">
      <c r="A111" s="275"/>
      <c r="B111" s="275"/>
      <c r="C111" s="221"/>
      <c r="D111" s="221"/>
      <c r="E111" s="276"/>
      <c r="F111" s="184"/>
      <c r="G111" s="471" t="s">
        <v>425</v>
      </c>
      <c r="H111" s="472">
        <f>[5]酒店主体!J111</f>
        <v>29490.46</v>
      </c>
      <c r="I111" s="473">
        <f>[5]酒店主体!K111</f>
        <v>-107205.24</v>
      </c>
      <c r="J111" s="474">
        <f>[5]酒店主体!M111</f>
        <v>1.2750841283504399</v>
      </c>
      <c r="K111" s="473">
        <f>[5]酒店主体!N111</f>
        <v>-208434.01</v>
      </c>
      <c r="L111" s="475">
        <f>[5]酒店主体!P111</f>
        <v>1.1414858352530901</v>
      </c>
      <c r="M111" s="472">
        <f>[5]酒店主体!S111</f>
        <v>29490.46</v>
      </c>
      <c r="N111" s="473">
        <f>[5]酒店主体!T111</f>
        <v>-107205.24</v>
      </c>
      <c r="O111" s="474">
        <f>[5]酒店主体!V111</f>
        <v>1.2750841283504399</v>
      </c>
      <c r="P111" s="473">
        <f>[5]酒店主体!W111</f>
        <v>-208434.01</v>
      </c>
      <c r="Q111" s="476">
        <f>[5]酒店主体!Y111</f>
        <v>1.1414858352530901</v>
      </c>
      <c r="R111" s="477">
        <f>[5]酒店主体!Z111</f>
        <v>1700000.77</v>
      </c>
      <c r="S111" s="478">
        <f>[5]酒店主体!AA111</f>
        <v>1.7347321554448399E-2</v>
      </c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</row>
    <row r="112" spans="1:41" ht="16.5" customHeight="1">
      <c r="A112" s="47"/>
      <c r="B112" s="47"/>
      <c r="C112" s="204"/>
      <c r="D112" s="221"/>
      <c r="E112" s="49"/>
      <c r="F112" s="184"/>
      <c r="G112" s="290" t="s">
        <v>426</v>
      </c>
      <c r="H112" s="51">
        <f>[5]酒店主体!J112</f>
        <v>0</v>
      </c>
      <c r="I112" s="55">
        <f>[5]酒店主体!K112</f>
        <v>0</v>
      </c>
      <c r="J112" s="53" t="str">
        <f>[5]酒店主体!M112</f>
        <v/>
      </c>
      <c r="K112" s="55">
        <f>[5]酒店主体!N112</f>
        <v>0</v>
      </c>
      <c r="L112" s="54" t="str">
        <f>[5]酒店主体!P112</f>
        <v/>
      </c>
      <c r="M112" s="51">
        <f>[5]酒店主体!S112</f>
        <v>0</v>
      </c>
      <c r="N112" s="55">
        <f>[5]酒店主体!T112</f>
        <v>0</v>
      </c>
      <c r="O112" s="53" t="str">
        <f>[5]酒店主体!V112</f>
        <v/>
      </c>
      <c r="P112" s="55">
        <f>[5]酒店主体!W112</f>
        <v>0</v>
      </c>
      <c r="Q112" s="56" t="str">
        <f>[5]酒店主体!Y112</f>
        <v/>
      </c>
      <c r="R112" s="57">
        <f>[5]酒店主体!Z112</f>
        <v>0</v>
      </c>
      <c r="S112" s="58" t="str">
        <f>[5]酒店主体!AA112</f>
        <v/>
      </c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spans="1:41" s="12" customFormat="1" ht="33" customHeight="1">
      <c r="A113" s="221"/>
      <c r="B113" s="221"/>
      <c r="C113" s="221"/>
      <c r="D113" s="221"/>
      <c r="E113" s="291"/>
      <c r="F113" s="184"/>
      <c r="G113" s="471" t="s">
        <v>427</v>
      </c>
      <c r="H113" s="472">
        <f>[5]酒店主体!J113</f>
        <v>29490.46</v>
      </c>
      <c r="I113" s="473">
        <f>[5]酒店主体!K113</f>
        <v>-107205.24</v>
      </c>
      <c r="J113" s="474">
        <f>[5]酒店主体!M113</f>
        <v>1.2750841283504399</v>
      </c>
      <c r="K113" s="473">
        <f>[5]酒店主体!N113</f>
        <v>-208434.01</v>
      </c>
      <c r="L113" s="475">
        <f>[5]酒店主体!P113</f>
        <v>1.1414858352530901</v>
      </c>
      <c r="M113" s="472">
        <f>[5]酒店主体!S113</f>
        <v>29490.46</v>
      </c>
      <c r="N113" s="473">
        <f>[5]酒店主体!T113</f>
        <v>-107205.24</v>
      </c>
      <c r="O113" s="474">
        <f>[5]酒店主体!V113</f>
        <v>1.2750841283504399</v>
      </c>
      <c r="P113" s="473">
        <f>[5]酒店主体!W113</f>
        <v>-208434.01</v>
      </c>
      <c r="Q113" s="476">
        <f>[5]酒店主体!Y113</f>
        <v>1.1414858352530901</v>
      </c>
      <c r="R113" s="477">
        <f>[5]酒店主体!Z113</f>
        <v>1700000.77</v>
      </c>
      <c r="S113" s="478">
        <f>[5]酒店主体!AA113</f>
        <v>1.7347321554448399E-2</v>
      </c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  <c r="AO113" s="221"/>
    </row>
    <row r="114" spans="1:41" s="5" customFormat="1" ht="16.5" customHeight="1">
      <c r="A114" s="292"/>
      <c r="B114" s="292"/>
      <c r="C114" s="204"/>
      <c r="D114" s="200"/>
      <c r="E114" s="291"/>
      <c r="F114" s="184"/>
      <c r="G114" s="479" t="s">
        <v>352</v>
      </c>
      <c r="H114" s="448">
        <f>[5]酒店主体!J114</f>
        <v>-138945.96</v>
      </c>
      <c r="I114" s="449">
        <f>[5]酒店主体!K114</f>
        <v>-141666</v>
      </c>
      <c r="J114" s="467">
        <f>[5]酒店主体!M114</f>
        <v>1.9200372707636301E-2</v>
      </c>
      <c r="K114" s="449">
        <f>[5]酒店主体!N114</f>
        <v>-143525.92000000001</v>
      </c>
      <c r="L114" s="468">
        <f>[5]酒店主体!P114</f>
        <v>3.19103336874621E-2</v>
      </c>
      <c r="M114" s="448">
        <f>[5]酒店主体!S114</f>
        <v>-138945.96</v>
      </c>
      <c r="N114" s="449">
        <f>[5]酒店主体!T114</f>
        <v>-141666</v>
      </c>
      <c r="O114" s="467">
        <f>[5]酒店主体!V114</f>
        <v>1.9200372707636301E-2</v>
      </c>
      <c r="P114" s="449">
        <f>[5]酒店主体!W114</f>
        <v>-143525.92000000001</v>
      </c>
      <c r="Q114" s="470">
        <f>[5]酒店主体!Y114</f>
        <v>3.19103336874621E-2</v>
      </c>
      <c r="R114" s="454">
        <f>[5]酒店主体!Z114</f>
        <v>-1700000</v>
      </c>
      <c r="S114" s="455">
        <f>[5]酒店主体!AA114</f>
        <v>1.91826708235294</v>
      </c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</row>
    <row r="115" spans="1:41" ht="16.5" customHeight="1">
      <c r="C115" s="204"/>
      <c r="D115" s="221"/>
      <c r="F115" s="184"/>
      <c r="G115" s="222" t="s">
        <v>428</v>
      </c>
      <c r="H115" s="51">
        <f>[5]酒店主体!J115</f>
        <v>201.07</v>
      </c>
      <c r="I115" s="55">
        <f>[5]酒店主体!K115</f>
        <v>0</v>
      </c>
      <c r="J115" s="111" t="str">
        <f>[5]酒店主体!M115</f>
        <v/>
      </c>
      <c r="K115" s="55">
        <f>[5]酒店主体!N115</f>
        <v>650</v>
      </c>
      <c r="L115" s="112">
        <f>[5]酒店主体!P115</f>
        <v>-0.69066153846153799</v>
      </c>
      <c r="M115" s="51">
        <f>[5]酒店主体!S115</f>
        <v>201.07</v>
      </c>
      <c r="N115" s="55">
        <f>[5]酒店主体!T115</f>
        <v>0</v>
      </c>
      <c r="O115" s="111" t="str">
        <f>[5]酒店主体!V115</f>
        <v/>
      </c>
      <c r="P115" s="55">
        <f>[5]酒店主体!W115</f>
        <v>650</v>
      </c>
      <c r="Q115" s="113">
        <f>[5]酒店主体!Y115</f>
        <v>-0.69066153846153799</v>
      </c>
      <c r="R115" s="57">
        <f>[5]酒店主体!Z115</f>
        <v>0</v>
      </c>
      <c r="S115" s="58" t="str">
        <f>[5]酒店主体!AA115</f>
        <v/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spans="1:41" ht="16.5" customHeight="1">
      <c r="C116" s="204"/>
      <c r="D116" s="221"/>
      <c r="F116" s="184"/>
      <c r="G116" s="293" t="s">
        <v>429</v>
      </c>
      <c r="H116" s="103">
        <f>[5]酒店主体!J116</f>
        <v>0</v>
      </c>
      <c r="I116" s="104">
        <f>[5]酒店主体!K116</f>
        <v>0</v>
      </c>
      <c r="J116" s="105" t="str">
        <f>[5]酒店主体!M116</f>
        <v/>
      </c>
      <c r="K116" s="104">
        <f>[5]酒店主体!N116</f>
        <v>0</v>
      </c>
      <c r="L116" s="106" t="str">
        <f>[5]酒店主体!P116</f>
        <v/>
      </c>
      <c r="M116" s="103">
        <f>[5]酒店主体!S116</f>
        <v>0</v>
      </c>
      <c r="N116" s="104">
        <f>[5]酒店主体!T116</f>
        <v>0</v>
      </c>
      <c r="O116" s="105" t="str">
        <f>[5]酒店主体!V116</f>
        <v/>
      </c>
      <c r="P116" s="104">
        <f>[5]酒店主体!W116</f>
        <v>0</v>
      </c>
      <c r="Q116" s="107" t="str">
        <f>[5]酒店主体!Y116</f>
        <v/>
      </c>
      <c r="R116" s="57">
        <f>[5]酒店主体!Z116</f>
        <v>0</v>
      </c>
      <c r="S116" s="58" t="str">
        <f>[5]酒店主体!AA116</f>
        <v/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spans="1:41" ht="16.5" customHeight="1">
      <c r="C117" s="204"/>
      <c r="D117" s="221"/>
      <c r="F117" s="184"/>
      <c r="G117" s="222" t="s">
        <v>430</v>
      </c>
      <c r="H117" s="51">
        <f>[5]酒店主体!J117</f>
        <v>139147.03</v>
      </c>
      <c r="I117" s="55">
        <f>[5]酒店主体!K117</f>
        <v>141666</v>
      </c>
      <c r="J117" s="111">
        <f>[5]酒店主体!M117</f>
        <v>-1.7781048381404201E-2</v>
      </c>
      <c r="K117" s="55">
        <f>[5]酒店主体!N117</f>
        <v>143750.92000000001</v>
      </c>
      <c r="L117" s="112">
        <f>[5]酒店主体!P117</f>
        <v>-3.2026855897687397E-2</v>
      </c>
      <c r="M117" s="51">
        <f>[5]酒店主体!S117</f>
        <v>139147.03</v>
      </c>
      <c r="N117" s="55">
        <f>[5]酒店主体!T117</f>
        <v>141666</v>
      </c>
      <c r="O117" s="111">
        <f>[5]酒店主体!V117</f>
        <v>-1.7781048381404201E-2</v>
      </c>
      <c r="P117" s="55">
        <f>[5]酒店主体!W117</f>
        <v>143750.92000000001</v>
      </c>
      <c r="Q117" s="113">
        <f>[5]酒店主体!Y117</f>
        <v>-3.2026855897687397E-2</v>
      </c>
      <c r="R117" s="57">
        <f>[5]酒店主体!Z117</f>
        <v>1700000</v>
      </c>
      <c r="S117" s="58">
        <f>[5]酒店主体!AA117</f>
        <v>8.1851194117647103E-2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spans="1:41" ht="16.5" customHeight="1">
      <c r="C118" s="204"/>
      <c r="D118" s="221"/>
      <c r="F118" s="184"/>
      <c r="G118" s="222" t="s">
        <v>431</v>
      </c>
      <c r="H118" s="51">
        <f>[5]酒店主体!J118</f>
        <v>0</v>
      </c>
      <c r="I118" s="55">
        <f>[5]酒店主体!K118</f>
        <v>0</v>
      </c>
      <c r="J118" s="111" t="str">
        <f>[5]酒店主体!M118</f>
        <v/>
      </c>
      <c r="K118" s="55">
        <f>[5]酒店主体!N118</f>
        <v>0</v>
      </c>
      <c r="L118" s="112" t="str">
        <f>[5]酒店主体!P118</f>
        <v/>
      </c>
      <c r="M118" s="51">
        <f>[5]酒店主体!S118</f>
        <v>0</v>
      </c>
      <c r="N118" s="55">
        <f>[5]酒店主体!T118</f>
        <v>0</v>
      </c>
      <c r="O118" s="111" t="str">
        <f>[5]酒店主体!V118</f>
        <v/>
      </c>
      <c r="P118" s="55">
        <f>[5]酒店主体!W118</f>
        <v>0</v>
      </c>
      <c r="Q118" s="113" t="str">
        <f>[5]酒店主体!Y118</f>
        <v/>
      </c>
      <c r="R118" s="57">
        <f>[5]酒店主体!Z118</f>
        <v>0</v>
      </c>
      <c r="S118" s="58" t="str">
        <f>[5]酒店主体!AA118</f>
        <v/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spans="1:41" ht="16.5" customHeight="1">
      <c r="C119" s="204"/>
      <c r="D119" s="221"/>
      <c r="F119" s="184"/>
      <c r="G119" s="222" t="s">
        <v>432</v>
      </c>
      <c r="H119" s="51">
        <f>[5]酒店主体!J119</f>
        <v>0</v>
      </c>
      <c r="I119" s="55">
        <f>[5]酒店主体!K119</f>
        <v>0</v>
      </c>
      <c r="J119" s="111" t="str">
        <f>[5]酒店主体!M119</f>
        <v/>
      </c>
      <c r="K119" s="55">
        <f>[5]酒店主体!N119</f>
        <v>0</v>
      </c>
      <c r="L119" s="112" t="str">
        <f>[5]酒店主体!P119</f>
        <v/>
      </c>
      <c r="M119" s="51">
        <f>[5]酒店主体!S119</f>
        <v>0</v>
      </c>
      <c r="N119" s="55">
        <f>[5]酒店主体!T119</f>
        <v>0</v>
      </c>
      <c r="O119" s="111" t="str">
        <f>[5]酒店主体!V119</f>
        <v/>
      </c>
      <c r="P119" s="55">
        <f>[5]酒店主体!W119</f>
        <v>0</v>
      </c>
      <c r="Q119" s="113" t="str">
        <f>[5]酒店主体!Y119</f>
        <v/>
      </c>
      <c r="R119" s="57">
        <f>[5]酒店主体!Z119</f>
        <v>0</v>
      </c>
      <c r="S119" s="58" t="str">
        <f>[5]酒店主体!AA119</f>
        <v/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spans="1:41" ht="16.5" customHeight="1">
      <c r="C120" s="204"/>
      <c r="D120" s="221"/>
      <c r="F120" s="184"/>
      <c r="G120" s="222" t="s">
        <v>433</v>
      </c>
      <c r="H120" s="51">
        <f>[5]酒店主体!J120</f>
        <v>0</v>
      </c>
      <c r="I120" s="55">
        <f>[5]酒店主体!K120</f>
        <v>0</v>
      </c>
      <c r="J120" s="111" t="str">
        <f>[5]酒店主体!M120</f>
        <v/>
      </c>
      <c r="K120" s="55">
        <f>[5]酒店主体!N120</f>
        <v>425</v>
      </c>
      <c r="L120" s="112">
        <f>[5]酒店主体!P120</f>
        <v>-1</v>
      </c>
      <c r="M120" s="51">
        <f>[5]酒店主体!S120</f>
        <v>0</v>
      </c>
      <c r="N120" s="55">
        <f>[5]酒店主体!T120</f>
        <v>0</v>
      </c>
      <c r="O120" s="111" t="str">
        <f>[5]酒店主体!V120</f>
        <v/>
      </c>
      <c r="P120" s="55">
        <f>[5]酒店主体!W120</f>
        <v>425</v>
      </c>
      <c r="Q120" s="113">
        <f>[5]酒店主体!Y120</f>
        <v>-1</v>
      </c>
      <c r="R120" s="57">
        <f>[5]酒店主体!Z120</f>
        <v>0</v>
      </c>
      <c r="S120" s="58" t="str">
        <f>[5]酒店主体!AA120</f>
        <v/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spans="1:41" ht="16.5" customHeight="1">
      <c r="A121" s="221"/>
      <c r="B121" s="221"/>
      <c r="C121" s="204"/>
      <c r="D121" s="221"/>
      <c r="E121" s="291"/>
      <c r="F121" s="184"/>
      <c r="G121" s="471" t="s">
        <v>434</v>
      </c>
      <c r="H121" s="472">
        <f>[5]酒店主体!J121</f>
        <v>-109455.5</v>
      </c>
      <c r="I121" s="473">
        <f>[5]酒店主体!K121</f>
        <v>-248871.24</v>
      </c>
      <c r="J121" s="474">
        <f>[5]酒店主体!M121</f>
        <v>0.56019225041832799</v>
      </c>
      <c r="K121" s="473">
        <f>[5]酒店主体!N121</f>
        <v>-351959.93</v>
      </c>
      <c r="L121" s="475">
        <f>[5]酒店主体!P121</f>
        <v>0.68901147355041203</v>
      </c>
      <c r="M121" s="472">
        <f>[5]酒店主体!S121</f>
        <v>-109455.5</v>
      </c>
      <c r="N121" s="473">
        <f>[5]酒店主体!T121</f>
        <v>-248871.24</v>
      </c>
      <c r="O121" s="474">
        <f>[5]酒店主体!V121</f>
        <v>0.56019225041832799</v>
      </c>
      <c r="P121" s="473">
        <f>[5]酒店主体!W121</f>
        <v>-351959.93</v>
      </c>
      <c r="Q121" s="476">
        <f>[5]酒店主体!Y121</f>
        <v>0.68901147355041203</v>
      </c>
      <c r="R121" s="477">
        <f>[5]酒店主体!Z121</f>
        <v>0.77000000001862601</v>
      </c>
      <c r="S121" s="478">
        <f>[5]酒店主体!AA121</f>
        <v>-142149.999996561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spans="1:41" s="9" customFormat="1" ht="16.5" customHeight="1">
      <c r="A122" s="294"/>
      <c r="B122" s="294"/>
      <c r="C122" s="235"/>
      <c r="D122" s="279"/>
      <c r="E122" s="295"/>
      <c r="F122" s="236"/>
      <c r="G122" s="480" t="s">
        <v>435</v>
      </c>
      <c r="H122" s="481">
        <f>[5]酒店主体!J122</f>
        <v>-9.6303450447431299E-2</v>
      </c>
      <c r="I122" s="482">
        <f>[5]酒店主体!K122</f>
        <v>-0.21439100667330999</v>
      </c>
      <c r="J122" s="483">
        <f>[5]酒店主体!M122</f>
        <v>0.55080461656594104</v>
      </c>
      <c r="K122" s="482">
        <f>[5]酒店主体!N122</f>
        <v>-0.281165483726594</v>
      </c>
      <c r="L122" s="484">
        <f>[5]酒店主体!P122</f>
        <v>0.65748480513676</v>
      </c>
      <c r="M122" s="481">
        <f>[5]酒店主体!S122</f>
        <v>-9.6303450447431299E-2</v>
      </c>
      <c r="N122" s="482">
        <f>[5]酒店主体!T122</f>
        <v>-0.21439100667330999</v>
      </c>
      <c r="O122" s="483">
        <f>[5]酒店主体!V122</f>
        <v>0.55080461656594104</v>
      </c>
      <c r="P122" s="482">
        <f>[5]酒店主体!W122</f>
        <v>-0.281165483726594</v>
      </c>
      <c r="Q122" s="485">
        <f>[5]酒店主体!Y122</f>
        <v>0.65748480513676</v>
      </c>
      <c r="R122" s="486">
        <f>[5]酒店主体!Z122</f>
        <v>4.3218027168298097E-8</v>
      </c>
      <c r="S122" s="487">
        <f>[5]酒店主体!AA122</f>
        <v>-2228316.67147623</v>
      </c>
      <c r="T122" s="136"/>
      <c r="U122" s="136"/>
      <c r="V122" s="136"/>
      <c r="W122" s="136"/>
      <c r="X122" s="136"/>
      <c r="Y122" s="237"/>
      <c r="Z122" s="237"/>
      <c r="AA122" s="237"/>
      <c r="AB122" s="237"/>
      <c r="AC122" s="237"/>
      <c r="AD122" s="237"/>
      <c r="AE122" s="237"/>
      <c r="AF122" s="237"/>
      <c r="AG122" s="237"/>
      <c r="AH122" s="237"/>
      <c r="AI122" s="237"/>
      <c r="AJ122" s="237"/>
      <c r="AK122" s="237"/>
      <c r="AL122" s="237"/>
      <c r="AM122" s="237"/>
      <c r="AN122" s="237"/>
      <c r="AO122" s="237"/>
    </row>
    <row r="123" spans="1:41" ht="16.5" customHeight="1">
      <c r="C123" s="204"/>
      <c r="D123" s="221"/>
      <c r="F123" s="184"/>
      <c r="G123" s="248" t="s">
        <v>436</v>
      </c>
      <c r="H123" s="60">
        <f>[5]酒店主体!J123</f>
        <v>0</v>
      </c>
      <c r="I123" s="64">
        <f>[5]酒店主体!K123</f>
        <v>0</v>
      </c>
      <c r="J123" s="251" t="str">
        <f>[5]酒店主体!M123</f>
        <v/>
      </c>
      <c r="K123" s="64">
        <f>[5]酒店主体!N123</f>
        <v>45500.583100000003</v>
      </c>
      <c r="L123" s="250">
        <f>[5]酒店主体!P123</f>
        <v>-1</v>
      </c>
      <c r="M123" s="60">
        <f>[5]酒店主体!S123</f>
        <v>0</v>
      </c>
      <c r="N123" s="64">
        <f>[5]酒店主体!T123</f>
        <v>0</v>
      </c>
      <c r="O123" s="296" t="str">
        <f>[5]酒店主体!V123</f>
        <v/>
      </c>
      <c r="P123" s="64">
        <f>[5]酒店主体!W123</f>
        <v>45500.583100000003</v>
      </c>
      <c r="Q123" s="297">
        <f>[5]酒店主体!Y123</f>
        <v>-1</v>
      </c>
      <c r="R123" s="57">
        <f>[5]酒店主体!Z123</f>
        <v>0</v>
      </c>
      <c r="S123" s="58" t="str">
        <f>[5]酒店主体!AA123</f>
        <v/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spans="1:41" s="5" customFormat="1" ht="16.5" customHeight="1">
      <c r="A124" s="292"/>
      <c r="B124" s="292"/>
      <c r="C124" s="204"/>
      <c r="D124" s="221"/>
      <c r="E124" s="291"/>
      <c r="F124" s="184"/>
      <c r="G124" s="488" t="s">
        <v>355</v>
      </c>
      <c r="H124" s="489">
        <f>[5]酒店主体!J124</f>
        <v>-109455.5</v>
      </c>
      <c r="I124" s="490">
        <f>[5]酒店主体!K124</f>
        <v>-248871.24</v>
      </c>
      <c r="J124" s="491">
        <f>[5]酒店主体!M124</f>
        <v>0.56019225041832799</v>
      </c>
      <c r="K124" s="490">
        <f>[5]酒店主体!N124</f>
        <v>-397460.51309999998</v>
      </c>
      <c r="L124" s="492">
        <f>[5]酒店主体!P124</f>
        <v>0.72461289513692795</v>
      </c>
      <c r="M124" s="489">
        <f>[5]酒店主体!S124</f>
        <v>-109455.5</v>
      </c>
      <c r="N124" s="490">
        <f>[5]酒店主体!T124</f>
        <v>-248871.24</v>
      </c>
      <c r="O124" s="491">
        <f>[5]酒店主体!V124</f>
        <v>0.56019225041832799</v>
      </c>
      <c r="P124" s="490">
        <f>[5]酒店主体!W124</f>
        <v>-397460.51309999998</v>
      </c>
      <c r="Q124" s="493">
        <f>[5]酒店主体!Y124</f>
        <v>0.72461289513692795</v>
      </c>
      <c r="R124" s="477">
        <f>[5]酒店主体!Z124</f>
        <v>0.77000000001862601</v>
      </c>
      <c r="S124" s="478">
        <f>[5]酒店主体!AA124</f>
        <v>-142149.999996561</v>
      </c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</row>
    <row r="125" spans="1:41" s="5" customFormat="1" ht="16.5" customHeight="1">
      <c r="A125" s="298"/>
      <c r="B125" s="298"/>
      <c r="C125" s="204"/>
      <c r="D125" s="221"/>
      <c r="E125" s="15"/>
      <c r="F125" s="184"/>
      <c r="G125" s="479" t="s">
        <v>356</v>
      </c>
      <c r="H125" s="448">
        <f>[5]酒店主体!J125</f>
        <v>624953.99</v>
      </c>
      <c r="I125" s="449">
        <f>[5]酒店主体!K125</f>
        <v>620425.76</v>
      </c>
      <c r="J125" s="467">
        <f>[5]酒店主体!M125</f>
        <v>7.2985847654036496E-3</v>
      </c>
      <c r="K125" s="449">
        <f>[5]酒店主体!N125</f>
        <v>616149.55000000005</v>
      </c>
      <c r="L125" s="468">
        <f>[5]酒店主体!P125</f>
        <v>1.42894529420661E-2</v>
      </c>
      <c r="M125" s="448">
        <f>[5]酒店主体!S125</f>
        <v>624953.99</v>
      </c>
      <c r="N125" s="449">
        <f>[5]酒店主体!T125</f>
        <v>620425.76</v>
      </c>
      <c r="O125" s="467">
        <f>[5]酒店主体!V125</f>
        <v>7.2985847654036496E-3</v>
      </c>
      <c r="P125" s="449">
        <f>[5]酒店主体!W125</f>
        <v>616149.55000000005</v>
      </c>
      <c r="Q125" s="470">
        <f>[5]酒店主体!Y125</f>
        <v>1.42894529420661E-2</v>
      </c>
      <c r="R125" s="454">
        <f>[5]酒店主体!Z125</f>
        <v>7427572.1200000001</v>
      </c>
      <c r="S125" s="455">
        <f>[5]酒店主体!AA125</f>
        <v>8.4139740402816798E-2</v>
      </c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</row>
    <row r="126" spans="1:41" ht="16.5" customHeight="1">
      <c r="C126" s="204"/>
      <c r="D126" s="221"/>
      <c r="F126" s="184"/>
      <c r="G126" s="222" t="s">
        <v>437</v>
      </c>
      <c r="H126" s="51">
        <f>[5]酒店主体!J126</f>
        <v>0</v>
      </c>
      <c r="I126" s="55">
        <f>[5]酒店主体!K126</f>
        <v>0</v>
      </c>
      <c r="J126" s="111" t="str">
        <f>[5]酒店主体!M126</f>
        <v/>
      </c>
      <c r="K126" s="55">
        <f>[5]酒店主体!N126</f>
        <v>0</v>
      </c>
      <c r="L126" s="112" t="str">
        <f>[5]酒店主体!P126</f>
        <v/>
      </c>
      <c r="M126" s="51">
        <f>[5]酒店主体!S126</f>
        <v>0</v>
      </c>
      <c r="N126" s="55">
        <f>[5]酒店主体!T126</f>
        <v>0</v>
      </c>
      <c r="O126" s="111" t="str">
        <f>[5]酒店主体!V126</f>
        <v/>
      </c>
      <c r="P126" s="55">
        <f>[5]酒店主体!W126</f>
        <v>0</v>
      </c>
      <c r="Q126" s="113" t="str">
        <f>[5]酒店主体!Y126</f>
        <v/>
      </c>
      <c r="R126" s="57">
        <f>[5]酒店主体!Z126</f>
        <v>0</v>
      </c>
      <c r="S126" s="58" t="str">
        <f>[5]酒店主体!AA126</f>
        <v/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spans="1:41" ht="16.5" customHeight="1">
      <c r="C127" s="204"/>
      <c r="D127" s="221"/>
      <c r="F127" s="184"/>
      <c r="G127" s="222" t="s">
        <v>438</v>
      </c>
      <c r="H127" s="51">
        <f>[5]酒店主体!J127</f>
        <v>15403.29</v>
      </c>
      <c r="I127" s="55">
        <f>[5]酒店主体!K127</f>
        <v>15403.29</v>
      </c>
      <c r="J127" s="111">
        <f>[5]酒店主体!M127</f>
        <v>0</v>
      </c>
      <c r="K127" s="55">
        <f>[5]酒店主体!N127</f>
        <v>0</v>
      </c>
      <c r="L127" s="112" t="str">
        <f>[5]酒店主体!P127</f>
        <v/>
      </c>
      <c r="M127" s="51">
        <f>[5]酒店主体!S127</f>
        <v>15403.29</v>
      </c>
      <c r="N127" s="55">
        <f>[5]酒店主体!T127</f>
        <v>15403.29</v>
      </c>
      <c r="O127" s="111">
        <f>[5]酒店主体!V127</f>
        <v>0</v>
      </c>
      <c r="P127" s="55">
        <f>[5]酒店主体!W127</f>
        <v>0</v>
      </c>
      <c r="Q127" s="113" t="str">
        <f>[5]酒店主体!Y127</f>
        <v/>
      </c>
      <c r="R127" s="57">
        <f>[5]酒店主体!Z127</f>
        <v>184839.48</v>
      </c>
      <c r="S127" s="58">
        <f>[5]酒店主体!AA127</f>
        <v>8.3333333333333301E-2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spans="1:41" ht="16.5" customHeight="1">
      <c r="C128" s="204"/>
      <c r="D128" s="221"/>
      <c r="F128" s="184"/>
      <c r="G128" s="299" t="s">
        <v>439</v>
      </c>
      <c r="H128" s="60">
        <f>[5]酒店主体!J128</f>
        <v>550478.72</v>
      </c>
      <c r="I128" s="64">
        <f>[5]酒店主体!K128</f>
        <v>547586.47</v>
      </c>
      <c r="J128" s="251">
        <f>[5]酒店主体!M128</f>
        <v>5.2818142128310801E-3</v>
      </c>
      <c r="K128" s="104">
        <f>[5]酒店主体!N128</f>
        <v>554893.18000000005</v>
      </c>
      <c r="L128" s="250">
        <f>[5]酒店主体!P128</f>
        <v>-7.9555131674169197E-3</v>
      </c>
      <c r="M128" s="60">
        <f>[5]酒店主体!S128</f>
        <v>550478.72</v>
      </c>
      <c r="N128" s="64">
        <f>[5]酒店主体!T128</f>
        <v>547586.47</v>
      </c>
      <c r="O128" s="251">
        <f>[5]酒店主体!V128</f>
        <v>5.2818142128310801E-3</v>
      </c>
      <c r="P128" s="64">
        <f>[5]酒店主体!W128</f>
        <v>554893.18000000005</v>
      </c>
      <c r="Q128" s="252">
        <f>[5]酒店主体!Y128</f>
        <v>-7.9555131674169197E-3</v>
      </c>
      <c r="R128" s="57">
        <f>[5]酒店主体!Z128</f>
        <v>6525872.0899999999</v>
      </c>
      <c r="S128" s="58">
        <f>[5]酒店主体!AA128</f>
        <v>8.4353280666277994E-2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spans="1:41" ht="16.5" customHeight="1">
      <c r="C129" s="204"/>
      <c r="D129" s="221"/>
      <c r="F129" s="184"/>
      <c r="G129" s="222" t="s">
        <v>440</v>
      </c>
      <c r="H129" s="51">
        <f>[5]酒店主体!J129</f>
        <v>59071.98</v>
      </c>
      <c r="I129" s="55">
        <f>[5]酒店主体!K129</f>
        <v>57436</v>
      </c>
      <c r="J129" s="246">
        <f>[5]酒店主体!M129</f>
        <v>2.8483529493697101E-2</v>
      </c>
      <c r="K129" s="55">
        <f>[5]酒店主体!N129</f>
        <v>61256.37</v>
      </c>
      <c r="L129" s="112">
        <f>[5]酒店主体!P129</f>
        <v>-3.5659801584717203E-2</v>
      </c>
      <c r="M129" s="51">
        <f>[5]酒店主体!S129</f>
        <v>59071.98</v>
      </c>
      <c r="N129" s="55">
        <f>[5]酒店主体!T129</f>
        <v>57436</v>
      </c>
      <c r="O129" s="111">
        <f>[5]酒店主体!V129</f>
        <v>2.8483529493697101E-2</v>
      </c>
      <c r="P129" s="55">
        <f>[5]酒店主体!W129</f>
        <v>61256.37</v>
      </c>
      <c r="Q129" s="113">
        <f>[5]酒店主体!Y129</f>
        <v>-3.5659801584717203E-2</v>
      </c>
      <c r="R129" s="57">
        <f>[5]酒店主体!Z129</f>
        <v>716860.55</v>
      </c>
      <c r="S129" s="58">
        <f>[5]酒店主体!AA129</f>
        <v>8.24037255223488E-2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spans="1:41" ht="16.5" customHeight="1">
      <c r="A130" s="221"/>
      <c r="B130" s="221"/>
      <c r="C130" s="204"/>
      <c r="D130" s="221"/>
      <c r="E130" s="291"/>
      <c r="F130" s="184"/>
      <c r="G130" s="471" t="s">
        <v>441</v>
      </c>
      <c r="H130" s="494">
        <f>[5]酒店主体!J130</f>
        <v>-734409.49</v>
      </c>
      <c r="I130" s="495">
        <f>[5]酒店主体!K130</f>
        <v>-869297</v>
      </c>
      <c r="J130" s="496">
        <f>[5]酒店主体!M130</f>
        <v>0.155168498223277</v>
      </c>
      <c r="K130" s="473">
        <f>[5]酒店主体!N130</f>
        <v>-968109.48</v>
      </c>
      <c r="L130" s="475">
        <f>[5]酒店主体!P130</f>
        <v>0.24139830755505001</v>
      </c>
      <c r="M130" s="497">
        <f>[5]酒店主体!S130</f>
        <v>-734409.49</v>
      </c>
      <c r="N130" s="473">
        <f>[5]酒店主体!T130</f>
        <v>-869297</v>
      </c>
      <c r="O130" s="474">
        <f>[5]酒店主体!V130</f>
        <v>0.155168498223277</v>
      </c>
      <c r="P130" s="473">
        <f>[5]酒店主体!W130</f>
        <v>-968109.48</v>
      </c>
      <c r="Q130" s="476">
        <f>[5]酒店主体!Y130</f>
        <v>0.24139830755505001</v>
      </c>
      <c r="R130" s="477">
        <f>[5]酒店主体!Z130</f>
        <v>-7427571.3499999996</v>
      </c>
      <c r="S130" s="478">
        <f>[5]酒店主体!AA130</f>
        <v>1.9011238727447599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spans="1:41" ht="16.5" customHeight="1">
      <c r="C131" s="204"/>
      <c r="D131" s="221"/>
      <c r="F131" s="184"/>
      <c r="G131" s="300" t="s">
        <v>442</v>
      </c>
      <c r="H131" s="301">
        <f>[5]酒店主体!J131</f>
        <v>0</v>
      </c>
      <c r="I131" s="302">
        <f>[5]酒店主体!K131</f>
        <v>0</v>
      </c>
      <c r="J131" s="246" t="str">
        <f>[5]酒店主体!M131</f>
        <v/>
      </c>
      <c r="K131" s="55">
        <f>[5]酒店主体!N131</f>
        <v>0</v>
      </c>
      <c r="L131" s="106" t="str">
        <f>[5]酒店主体!P131</f>
        <v/>
      </c>
      <c r="M131" s="103">
        <f>[5]酒店主体!S131</f>
        <v>0</v>
      </c>
      <c r="N131" s="302">
        <f>[5]酒店主体!T131</f>
        <v>0</v>
      </c>
      <c r="O131" s="246" t="str">
        <f>[5]酒店主体!V131</f>
        <v/>
      </c>
      <c r="P131" s="303">
        <f>[5]酒店主体!W131</f>
        <v>0</v>
      </c>
      <c r="Q131" s="107" t="str">
        <f>[5]酒店主体!Y131</f>
        <v/>
      </c>
      <c r="R131" s="57">
        <f>[5]酒店主体!Z131</f>
        <v>0</v>
      </c>
      <c r="S131" s="58" t="str">
        <f>[5]酒店主体!AA131</f>
        <v/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spans="1:41" ht="16.5" customHeight="1">
      <c r="C132" s="204"/>
      <c r="D132" s="221"/>
      <c r="F132" s="184"/>
      <c r="G132" s="498" t="s">
        <v>443</v>
      </c>
      <c r="H132" s="499">
        <f>[5]酒店主体!J132</f>
        <v>-734409.49</v>
      </c>
      <c r="I132" s="500">
        <f>[5]酒店主体!K132</f>
        <v>-869297</v>
      </c>
      <c r="J132" s="501">
        <f>[5]酒店主体!M132</f>
        <v>0.155168498223277</v>
      </c>
      <c r="K132" s="502">
        <f>[5]酒店主体!N132</f>
        <v>-968109.48</v>
      </c>
      <c r="L132" s="503">
        <f>[5]酒店主体!P132</f>
        <v>0.24139830755505001</v>
      </c>
      <c r="M132" s="504">
        <f>[5]酒店主体!S132</f>
        <v>-734409.49</v>
      </c>
      <c r="N132" s="500">
        <f>[5]酒店主体!T132</f>
        <v>-869297</v>
      </c>
      <c r="O132" s="501">
        <f>[5]酒店主体!V132</f>
        <v>0.155168498223277</v>
      </c>
      <c r="P132" s="505">
        <f>[5]酒店主体!W132</f>
        <v>-968109.48</v>
      </c>
      <c r="Q132" s="506">
        <f>[5]酒店主体!Y132</f>
        <v>0.24139830755505001</v>
      </c>
      <c r="R132" s="507">
        <f>[5]酒店主体!Z132</f>
        <v>-7427571.3499999996</v>
      </c>
      <c r="S132" s="445">
        <f>[5]酒店主体!AA132</f>
        <v>1.9011238727447599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spans="1:41" s="5" customFormat="1" ht="16.5" customHeight="1">
      <c r="A133" s="292"/>
      <c r="B133" s="292"/>
      <c r="C133" s="14"/>
      <c r="D133" s="14"/>
      <c r="E133" s="15"/>
      <c r="F133" s="184"/>
      <c r="G133" s="508" t="s">
        <v>444</v>
      </c>
      <c r="H133" s="509">
        <f>[5]酒店主体!J133</f>
        <v>-91.87</v>
      </c>
      <c r="I133" s="510">
        <f>[5]酒店主体!K133</f>
        <v>0</v>
      </c>
      <c r="J133" s="511" t="str">
        <f>[5]酒店主体!M133</f>
        <v/>
      </c>
      <c r="K133" s="512">
        <f>[5]酒店主体!N133</f>
        <v>0</v>
      </c>
      <c r="L133" s="513" t="str">
        <f>[5]酒店主体!P133</f>
        <v/>
      </c>
      <c r="M133" s="509">
        <f>[5]酒店主体!S133</f>
        <v>-91.87</v>
      </c>
      <c r="N133" s="510">
        <f>[5]酒店主体!T133</f>
        <v>0</v>
      </c>
      <c r="O133" s="511" t="str">
        <f>[5]酒店主体!V133</f>
        <v/>
      </c>
      <c r="P133" s="512">
        <f>[5]酒店主体!W133</f>
        <v>0</v>
      </c>
      <c r="Q133" s="514" t="str">
        <f>[5]酒店主体!Y133</f>
        <v/>
      </c>
      <c r="R133" s="515">
        <f>[5]酒店主体!Z133</f>
        <v>0</v>
      </c>
      <c r="S133" s="516">
        <f>[5]酒店主体!AA133</f>
        <v>0</v>
      </c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</row>
    <row r="134" spans="1:41" s="5" customFormat="1" ht="16.5" customHeight="1">
      <c r="A134" s="292"/>
      <c r="B134" s="304" t="s">
        <v>446</v>
      </c>
      <c r="C134" s="292" t="s">
        <v>447</v>
      </c>
      <c r="D134" s="124"/>
      <c r="E134" s="101" t="s">
        <v>448</v>
      </c>
      <c r="F134" s="184"/>
      <c r="G134" s="517" t="s">
        <v>449</v>
      </c>
      <c r="H134" s="518">
        <f>[5]酒店主体!J134</f>
        <v>-731505.44</v>
      </c>
      <c r="I134" s="519">
        <f>[5]酒店主体!K134</f>
        <v>0</v>
      </c>
      <c r="J134" s="520" t="str">
        <f>[5]酒店主体!M134</f>
        <v/>
      </c>
      <c r="K134" s="521">
        <f>[5]酒店主体!N134</f>
        <v>0</v>
      </c>
      <c r="L134" s="522" t="str">
        <f>[5]酒店主体!P134</f>
        <v/>
      </c>
      <c r="M134" s="518">
        <f>[5]酒店主体!S134</f>
        <v>-731505.44</v>
      </c>
      <c r="N134" s="519">
        <f>[5]酒店主体!T134</f>
        <v>0</v>
      </c>
      <c r="O134" s="520" t="str">
        <f>[5]酒店主体!V134</f>
        <v/>
      </c>
      <c r="P134" s="521">
        <f>[5]酒店主体!W134</f>
        <v>0</v>
      </c>
      <c r="Q134" s="523" t="str">
        <f>[5]酒店主体!Y134</f>
        <v/>
      </c>
      <c r="R134" s="524">
        <f>[5]酒店主体!Z134</f>
        <v>0</v>
      </c>
      <c r="S134" s="525">
        <f>[5]酒店主体!AA134</f>
        <v>0</v>
      </c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</row>
    <row r="135" spans="1:41" ht="16.5" customHeight="1">
      <c r="F135" s="184"/>
      <c r="G135" s="526" t="s">
        <v>309</v>
      </c>
      <c r="H135" s="527">
        <f>[5]酒店主体!J135</f>
        <v>0</v>
      </c>
      <c r="I135" s="528">
        <f>[5]酒店主体!K135</f>
        <v>0</v>
      </c>
      <c r="J135" s="529" t="str">
        <f>[5]酒店主体!M135</f>
        <v/>
      </c>
      <c r="K135" s="530">
        <f>[5]酒店主体!N135</f>
        <v>0</v>
      </c>
      <c r="L135" s="531" t="str">
        <f>[5]酒店主体!P135</f>
        <v/>
      </c>
      <c r="M135" s="532">
        <f>[5]酒店主体!S135</f>
        <v>0</v>
      </c>
      <c r="N135" s="533">
        <f>[5]酒店主体!T135</f>
        <v>0</v>
      </c>
      <c r="O135" s="529" t="str">
        <f>[5]酒店主体!V135</f>
        <v/>
      </c>
      <c r="P135" s="530">
        <f>[5]酒店主体!W135</f>
        <v>0</v>
      </c>
      <c r="Q135" s="534" t="str">
        <f>[5]酒店主体!Y135</f>
        <v/>
      </c>
      <c r="R135" s="535">
        <f>[5]酒店主体!Z135</f>
        <v>0</v>
      </c>
      <c r="S135" s="536">
        <f>[5]酒店主体!AA135</f>
        <v>0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spans="1:41">
      <c r="G136" s="266"/>
      <c r="H136" s="84"/>
      <c r="I136" s="84"/>
      <c r="J136" s="84"/>
      <c r="K136" s="84"/>
      <c r="L136" s="84"/>
      <c r="M136" s="84"/>
      <c r="N136" s="305"/>
      <c r="O136" s="84"/>
      <c r="P136" s="84"/>
      <c r="Q136" s="84"/>
      <c r="R136" s="305"/>
      <c r="S136" s="84"/>
      <c r="T136" s="84"/>
      <c r="U136" s="305"/>
      <c r="V136" s="84"/>
      <c r="W136" s="306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spans="1:41">
      <c r="G137" s="266"/>
      <c r="H137" s="307"/>
      <c r="I137" s="84"/>
      <c r="J137" s="84"/>
      <c r="K137" s="84"/>
      <c r="L137" s="84"/>
      <c r="M137" s="84"/>
      <c r="N137" s="305"/>
      <c r="O137" s="84"/>
      <c r="P137" s="84"/>
      <c r="Q137" s="84"/>
      <c r="R137" s="305"/>
      <c r="S137" s="84"/>
      <c r="T137" s="84"/>
      <c r="U137" s="305"/>
      <c r="V137" s="84"/>
      <c r="W137" s="306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spans="1:41">
      <c r="G138" s="925" t="s">
        <v>450</v>
      </c>
      <c r="H138" s="948" t="s">
        <v>328</v>
      </c>
      <c r="I138" s="949"/>
      <c r="J138" s="949"/>
      <c r="K138" s="949"/>
      <c r="L138" s="950"/>
      <c r="M138" s="951" t="s">
        <v>451</v>
      </c>
      <c r="N138" s="952"/>
      <c r="O138" s="952"/>
      <c r="P138" s="952"/>
      <c r="Q138" s="953"/>
      <c r="R138" s="954" t="s">
        <v>330</v>
      </c>
      <c r="S138" s="955"/>
      <c r="T138" s="305"/>
      <c r="U138" s="84"/>
      <c r="V138" s="84"/>
      <c r="W138" s="84"/>
      <c r="X138" s="84"/>
      <c r="Y138" s="84"/>
      <c r="Z138" s="305"/>
      <c r="AA138" s="84"/>
      <c r="AB138" s="84"/>
      <c r="AC138" s="305"/>
      <c r="AD138" s="13"/>
      <c r="AE138" s="31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spans="1:41">
      <c r="G139" s="926"/>
      <c r="H139" s="308" t="s">
        <v>331</v>
      </c>
      <c r="I139" s="309" t="s">
        <v>249</v>
      </c>
      <c r="J139" s="309" t="s">
        <v>332</v>
      </c>
      <c r="K139" s="309" t="s">
        <v>270</v>
      </c>
      <c r="L139" s="310" t="s">
        <v>332</v>
      </c>
      <c r="M139" s="311" t="s">
        <v>331</v>
      </c>
      <c r="N139" s="311" t="s">
        <v>249</v>
      </c>
      <c r="O139" s="311" t="s">
        <v>332</v>
      </c>
      <c r="P139" s="311" t="s">
        <v>270</v>
      </c>
      <c r="Q139" s="312" t="s">
        <v>332</v>
      </c>
      <c r="R139" s="313" t="s">
        <v>245</v>
      </c>
      <c r="S139" s="314" t="s">
        <v>11</v>
      </c>
      <c r="T139" s="305"/>
      <c r="U139" s="84"/>
      <c r="V139" s="84"/>
      <c r="W139" s="84"/>
      <c r="X139" s="84"/>
      <c r="Y139" s="84"/>
      <c r="Z139" s="305"/>
      <c r="AA139" s="84"/>
      <c r="AB139" s="84"/>
      <c r="AC139" s="305"/>
      <c r="AD139" s="13"/>
      <c r="AE139" s="31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spans="1:41">
      <c r="G140" s="537" t="s">
        <v>452</v>
      </c>
      <c r="H140" s="538">
        <f>[5]酒店主体!J140</f>
        <v>-109455.5</v>
      </c>
      <c r="I140" s="539">
        <f>[5]酒店主体!K140</f>
        <v>-248871.24</v>
      </c>
      <c r="J140" s="540">
        <f>[5]酒店主体!M140</f>
        <v>0.56019225041832799</v>
      </c>
      <c r="K140" s="539">
        <f>[5]酒店主体!N140</f>
        <v>-397460.51309999998</v>
      </c>
      <c r="L140" s="541">
        <f>[5]酒店主体!P140</f>
        <v>0.72461289513692795</v>
      </c>
      <c r="M140" s="539">
        <f>[5]酒店主体!S140</f>
        <v>-109455.5</v>
      </c>
      <c r="N140" s="539">
        <f>[5]酒店主体!T140</f>
        <v>-248871.24</v>
      </c>
      <c r="O140" s="540">
        <f>[5]酒店主体!V140</f>
        <v>0.56019225041832799</v>
      </c>
      <c r="P140" s="539">
        <f>[5]酒店主体!W140</f>
        <v>-397460.51309999998</v>
      </c>
      <c r="Q140" s="541">
        <f>[5]酒店主体!Y140</f>
        <v>0.72461289513692795</v>
      </c>
      <c r="R140" s="538">
        <f>[5]酒店主体!Z140</f>
        <v>0.77000000001862601</v>
      </c>
      <c r="S140" s="542">
        <f>[5]酒店主体!AA140</f>
        <v>-142149.999996561</v>
      </c>
      <c r="T140" s="305"/>
      <c r="U140" s="84"/>
      <c r="V140" s="84"/>
      <c r="W140" s="84"/>
      <c r="X140" s="84"/>
      <c r="Y140" s="84"/>
      <c r="Z140" s="305"/>
      <c r="AA140" s="84"/>
      <c r="AB140" s="84"/>
      <c r="AC140" s="305"/>
      <c r="AD140" s="13"/>
      <c r="AE140" s="31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spans="1:41">
      <c r="E141" s="315" t="s">
        <v>453</v>
      </c>
      <c r="G141" s="316" t="s">
        <v>454</v>
      </c>
      <c r="H141" s="108">
        <f>[5]酒店主体!J141</f>
        <v>139147.03</v>
      </c>
      <c r="I141" s="52">
        <f>[5]酒店主体!K141</f>
        <v>141666</v>
      </c>
      <c r="J141" s="317">
        <f>[5]酒店主体!M141</f>
        <v>-1.7781048381404201E-2</v>
      </c>
      <c r="K141" s="52">
        <f>[5]酒店主体!N141</f>
        <v>143750.92000000001</v>
      </c>
      <c r="L141" s="318">
        <f>[5]酒店主体!P141</f>
        <v>-3.2026855897687397E-2</v>
      </c>
      <c r="M141" s="52">
        <f>[5]酒店主体!S141</f>
        <v>139147.03</v>
      </c>
      <c r="N141" s="52">
        <f>[5]酒店主体!T141</f>
        <v>141666</v>
      </c>
      <c r="O141" s="317">
        <f>[5]酒店主体!V141</f>
        <v>-1.7781048381404201E-2</v>
      </c>
      <c r="P141" s="52">
        <f>[5]酒店主体!W141</f>
        <v>143750.92000000001</v>
      </c>
      <c r="Q141" s="318">
        <f>[5]酒店主体!Y141</f>
        <v>-3.2026855897687397E-2</v>
      </c>
      <c r="R141" s="108">
        <f>[5]酒店主体!Z141</f>
        <v>1700000</v>
      </c>
      <c r="S141" s="318">
        <f>[5]酒店主体!AA141</f>
        <v>8.1851194117647103E-2</v>
      </c>
      <c r="T141" s="305"/>
      <c r="U141" s="84"/>
      <c r="V141" s="84"/>
      <c r="W141" s="84"/>
      <c r="X141" s="84"/>
      <c r="Y141" s="84"/>
      <c r="Z141" s="305"/>
      <c r="AA141" s="84"/>
      <c r="AB141" s="84"/>
      <c r="AC141" s="305"/>
      <c r="AD141" s="13"/>
      <c r="AE141" s="31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spans="1:41">
      <c r="E142" s="315" t="s">
        <v>453</v>
      </c>
      <c r="G142" s="316" t="s">
        <v>455</v>
      </c>
      <c r="H142" s="108">
        <f>[5]酒店主体!J142</f>
        <v>0</v>
      </c>
      <c r="I142" s="52">
        <f>[5]酒店主体!K142</f>
        <v>0</v>
      </c>
      <c r="J142" s="317" t="str">
        <f>[5]酒店主体!M142</f>
        <v/>
      </c>
      <c r="K142" s="52">
        <f>[5]酒店主体!N142</f>
        <v>0</v>
      </c>
      <c r="L142" s="318" t="str">
        <f>[5]酒店主体!P142</f>
        <v/>
      </c>
      <c r="M142" s="52">
        <f>[5]酒店主体!S142</f>
        <v>0</v>
      </c>
      <c r="N142" s="52">
        <f>[5]酒店主体!T142</f>
        <v>0</v>
      </c>
      <c r="O142" s="317" t="str">
        <f>[5]酒店主体!V142</f>
        <v/>
      </c>
      <c r="P142" s="52">
        <f>[5]酒店主体!W142</f>
        <v>0</v>
      </c>
      <c r="Q142" s="318" t="str">
        <f>[5]酒店主体!Y142</f>
        <v/>
      </c>
      <c r="R142" s="108">
        <f>[5]酒店主体!Z142</f>
        <v>0</v>
      </c>
      <c r="S142" s="318" t="str">
        <f>[5]酒店主体!AA142</f>
        <v/>
      </c>
      <c r="T142" s="305"/>
      <c r="U142" s="84"/>
      <c r="V142" s="84"/>
      <c r="W142" s="84"/>
      <c r="X142" s="84"/>
      <c r="Y142" s="84"/>
      <c r="Z142" s="305"/>
      <c r="AA142" s="84"/>
      <c r="AB142" s="84"/>
      <c r="AC142" s="305"/>
      <c r="AD142" s="13"/>
      <c r="AE142" s="31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spans="1:41">
      <c r="E143" s="315" t="s">
        <v>453</v>
      </c>
      <c r="G143" s="316" t="s">
        <v>456</v>
      </c>
      <c r="H143" s="108">
        <f>[5]酒店主体!J143</f>
        <v>0</v>
      </c>
      <c r="I143" s="52">
        <f>[5]酒店主体!K143</f>
        <v>0</v>
      </c>
      <c r="J143" s="317" t="str">
        <f>[5]酒店主体!M143</f>
        <v/>
      </c>
      <c r="K143" s="52">
        <f>[5]酒店主体!N143</f>
        <v>45500.583100000003</v>
      </c>
      <c r="L143" s="318">
        <f>[5]酒店主体!P143</f>
        <v>-1</v>
      </c>
      <c r="M143" s="52">
        <f>[5]酒店主体!S143</f>
        <v>0</v>
      </c>
      <c r="N143" s="52">
        <f>[5]酒店主体!T143</f>
        <v>0</v>
      </c>
      <c r="O143" s="317" t="str">
        <f>[5]酒店主体!V143</f>
        <v/>
      </c>
      <c r="P143" s="52">
        <f>[5]酒店主体!W143</f>
        <v>45500.583100000003</v>
      </c>
      <c r="Q143" s="318">
        <f>[5]酒店主体!Y143</f>
        <v>-1</v>
      </c>
      <c r="R143" s="108">
        <f>[5]酒店主体!Z143</f>
        <v>0</v>
      </c>
      <c r="S143" s="318" t="str">
        <f>[5]酒店主体!AA143</f>
        <v/>
      </c>
      <c r="T143" s="305"/>
      <c r="U143" s="84"/>
      <c r="V143" s="84"/>
      <c r="W143" s="84"/>
      <c r="X143" s="84"/>
      <c r="Y143" s="84"/>
      <c r="Z143" s="305"/>
      <c r="AA143" s="84"/>
      <c r="AB143" s="84"/>
      <c r="AC143" s="305"/>
      <c r="AD143" s="13"/>
      <c r="AE143" s="31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spans="1:41">
      <c r="E144" s="315" t="s">
        <v>457</v>
      </c>
      <c r="G144" s="316" t="s">
        <v>458</v>
      </c>
      <c r="H144" s="108">
        <f>[5]酒店主体!J144</f>
        <v>0</v>
      </c>
      <c r="I144" s="52">
        <f>[5]酒店主体!K144</f>
        <v>0</v>
      </c>
      <c r="J144" s="317" t="str">
        <f>[5]酒店主体!M144</f>
        <v/>
      </c>
      <c r="K144" s="52">
        <f>[5]酒店主体!N144</f>
        <v>425</v>
      </c>
      <c r="L144" s="318">
        <f>[5]酒店主体!P144</f>
        <v>-1</v>
      </c>
      <c r="M144" s="52">
        <f>[5]酒店主体!S144</f>
        <v>0</v>
      </c>
      <c r="N144" s="52">
        <f>[5]酒店主体!T144</f>
        <v>0</v>
      </c>
      <c r="O144" s="317" t="str">
        <f>[5]酒店主体!V144</f>
        <v/>
      </c>
      <c r="P144" s="52">
        <f>[5]酒店主体!W144</f>
        <v>425</v>
      </c>
      <c r="Q144" s="318">
        <f>[5]酒店主体!Y144</f>
        <v>-1</v>
      </c>
      <c r="R144" s="108">
        <f>[5]酒店主体!Z144</f>
        <v>0</v>
      </c>
      <c r="S144" s="318" t="str">
        <f>[5]酒店主体!AA144</f>
        <v/>
      </c>
      <c r="T144" s="305"/>
      <c r="U144" s="84"/>
      <c r="V144" s="84"/>
      <c r="W144" s="84"/>
      <c r="X144" s="84"/>
      <c r="Y144" s="84"/>
      <c r="Z144" s="305"/>
      <c r="AA144" s="84"/>
      <c r="AB144" s="84"/>
      <c r="AC144" s="305"/>
      <c r="AD144" s="13"/>
      <c r="AE144" s="31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spans="1:45">
      <c r="E145" s="315" t="s">
        <v>457</v>
      </c>
      <c r="G145" s="316" t="s">
        <v>459</v>
      </c>
      <c r="H145" s="108">
        <f>[5]酒店主体!J145</f>
        <v>201.07</v>
      </c>
      <c r="I145" s="52">
        <f>[5]酒店主体!K145</f>
        <v>0</v>
      </c>
      <c r="J145" s="317" t="str">
        <f>[5]酒店主体!M145</f>
        <v/>
      </c>
      <c r="K145" s="52">
        <f>[5]酒店主体!N145</f>
        <v>0</v>
      </c>
      <c r="L145" s="318" t="str">
        <f>[5]酒店主体!P145</f>
        <v/>
      </c>
      <c r="M145" s="52">
        <f>[5]酒店主体!S145</f>
        <v>201.07</v>
      </c>
      <c r="N145" s="52">
        <f>[5]酒店主体!T145</f>
        <v>0</v>
      </c>
      <c r="O145" s="317" t="str">
        <f>[5]酒店主体!V145</f>
        <v/>
      </c>
      <c r="P145" s="52">
        <f>[5]酒店主体!W145</f>
        <v>0</v>
      </c>
      <c r="Q145" s="318" t="str">
        <f>[5]酒店主体!Y145</f>
        <v/>
      </c>
      <c r="R145" s="108">
        <f>[5]酒店主体!Z145</f>
        <v>0</v>
      </c>
      <c r="S145" s="318" t="str">
        <f>[5]酒店主体!AA145</f>
        <v/>
      </c>
      <c r="T145" s="305"/>
      <c r="U145" s="84"/>
      <c r="V145" s="84"/>
      <c r="W145" s="84"/>
      <c r="X145" s="84"/>
      <c r="Y145" s="84"/>
      <c r="Z145" s="305"/>
      <c r="AA145" s="84"/>
      <c r="AB145" s="84"/>
      <c r="AC145" s="305"/>
      <c r="AD145" s="13"/>
      <c r="AE145" s="31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spans="1:45">
      <c r="E146" s="315" t="s">
        <v>453</v>
      </c>
      <c r="G146" s="316" t="s">
        <v>460</v>
      </c>
      <c r="H146" s="108">
        <f>[5]酒店主体!J146</f>
        <v>59071.98</v>
      </c>
      <c r="I146" s="52">
        <f>[5]酒店主体!K146</f>
        <v>57436</v>
      </c>
      <c r="J146" s="317">
        <f>[5]酒店主体!M146</f>
        <v>2.8483529493697101E-2</v>
      </c>
      <c r="K146" s="52">
        <f>[5]酒店主体!N146</f>
        <v>61256.37</v>
      </c>
      <c r="L146" s="318">
        <f>[5]酒店主体!P146</f>
        <v>-3.5659801584717203E-2</v>
      </c>
      <c r="M146" s="52">
        <f>[5]酒店主体!S146</f>
        <v>59071.98</v>
      </c>
      <c r="N146" s="52">
        <f>[5]酒店主体!T146</f>
        <v>57436</v>
      </c>
      <c r="O146" s="317">
        <f>[5]酒店主体!V146</f>
        <v>2.8483529493697101E-2</v>
      </c>
      <c r="P146" s="52">
        <f>[5]酒店主体!W146</f>
        <v>61256.37</v>
      </c>
      <c r="Q146" s="318">
        <f>[5]酒店主体!Y146</f>
        <v>-3.5659801584717203E-2</v>
      </c>
      <c r="R146" s="108">
        <f>[5]酒店主体!Z146</f>
        <v>716860.55</v>
      </c>
      <c r="S146" s="318">
        <f>[5]酒店主体!AA146</f>
        <v>8.24037255223488E-2</v>
      </c>
      <c r="T146" s="305"/>
      <c r="U146" s="84"/>
      <c r="V146" s="84"/>
      <c r="W146" s="84"/>
      <c r="X146" s="84"/>
      <c r="Y146" s="84"/>
      <c r="Z146" s="305"/>
      <c r="AA146" s="84"/>
      <c r="AB146" s="84"/>
      <c r="AC146" s="305"/>
      <c r="AD146" s="13"/>
      <c r="AE146" s="31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spans="1:45">
      <c r="E147" s="315" t="s">
        <v>461</v>
      </c>
      <c r="G147" s="316" t="s">
        <v>462</v>
      </c>
      <c r="H147" s="108">
        <f>[5]酒店主体!J147</f>
        <v>0</v>
      </c>
      <c r="I147" s="52">
        <f>[5]酒店主体!K147</f>
        <v>0</v>
      </c>
      <c r="J147" s="317" t="str">
        <f>[5]酒店主体!M147</f>
        <v/>
      </c>
      <c r="K147" s="52">
        <f>[5]酒店主体!N147</f>
        <v>0</v>
      </c>
      <c r="L147" s="318" t="str">
        <f>[5]酒店主体!P147</f>
        <v/>
      </c>
      <c r="M147" s="52">
        <f>[5]酒店主体!S147</f>
        <v>0</v>
      </c>
      <c r="N147" s="52">
        <f>[5]酒店主体!T147</f>
        <v>0</v>
      </c>
      <c r="O147" s="317" t="str">
        <f>[5]酒店主体!V147</f>
        <v/>
      </c>
      <c r="P147" s="52">
        <f>[5]酒店主体!W147</f>
        <v>0</v>
      </c>
      <c r="Q147" s="318" t="str">
        <f>[5]酒店主体!Y147</f>
        <v/>
      </c>
      <c r="R147" s="108">
        <f>[5]酒店主体!Z147</f>
        <v>0</v>
      </c>
      <c r="S147" s="318" t="str">
        <f>[5]酒店主体!AA147</f>
        <v/>
      </c>
      <c r="T147" s="305"/>
      <c r="U147" s="84"/>
      <c r="V147" s="84"/>
      <c r="W147" s="84"/>
      <c r="X147" s="84"/>
      <c r="Y147" s="84"/>
      <c r="Z147" s="305"/>
      <c r="AA147" s="84"/>
      <c r="AB147" s="84"/>
      <c r="AC147" s="305"/>
      <c r="AD147" s="13"/>
      <c r="AE147" s="31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spans="1:45">
      <c r="G148" s="543" t="s">
        <v>463</v>
      </c>
      <c r="H148" s="544">
        <f>[5]酒店主体!J148</f>
        <v>-29581.52</v>
      </c>
      <c r="I148" s="545">
        <f>[5]酒店主体!K148</f>
        <v>-164641.24</v>
      </c>
      <c r="J148" s="546">
        <f>[5]酒店主体!M148</f>
        <v>0.82032739792290199</v>
      </c>
      <c r="K148" s="545">
        <f>[5]酒店主体!N148</f>
        <v>-269040.38</v>
      </c>
      <c r="L148" s="547">
        <f>[5]酒店主体!P148</f>
        <v>0.89004802922148696</v>
      </c>
      <c r="M148" s="545">
        <f>[5]酒店主体!S148</f>
        <v>-29581.52</v>
      </c>
      <c r="N148" s="545">
        <f>[5]酒店主体!T148</f>
        <v>-164641.24</v>
      </c>
      <c r="O148" s="546">
        <f>[5]酒店主体!V148</f>
        <v>0.82032739792290199</v>
      </c>
      <c r="P148" s="545">
        <f>[5]酒店主体!W148</f>
        <v>-269040.38</v>
      </c>
      <c r="Q148" s="547">
        <f>[5]酒店主体!Y148</f>
        <v>0.89004802922148696</v>
      </c>
      <c r="R148" s="544">
        <f>[5]酒店主体!Z148</f>
        <v>983140.22</v>
      </c>
      <c r="S148" s="547">
        <f>[5]酒店主体!AA148</f>
        <v>-3.0088810729358598E-2</v>
      </c>
      <c r="T148" s="305"/>
      <c r="U148" s="84"/>
      <c r="V148" s="84"/>
      <c r="W148" s="84"/>
      <c r="X148" s="84"/>
      <c r="Y148" s="84"/>
      <c r="Z148" s="305"/>
      <c r="AA148" s="84"/>
      <c r="AB148" s="84"/>
      <c r="AC148" s="305"/>
      <c r="AD148" s="13"/>
      <c r="AE148" s="31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spans="1:45">
      <c r="G149" s="266"/>
      <c r="H149" s="84"/>
      <c r="I149" s="84"/>
      <c r="J149" s="84"/>
      <c r="K149" s="84"/>
      <c r="L149" s="84"/>
      <c r="M149" s="305"/>
      <c r="N149" s="84"/>
      <c r="O149" s="84"/>
      <c r="P149" s="305"/>
      <c r="Q149" s="84"/>
      <c r="R149" s="84"/>
      <c r="S149" s="84"/>
      <c r="T149" s="84"/>
      <c r="U149" s="84"/>
      <c r="V149" s="305"/>
      <c r="W149" s="84"/>
      <c r="X149" s="84"/>
      <c r="Y149" s="305"/>
      <c r="Z149" s="13"/>
      <c r="AA149" s="31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</row>
    <row r="150" spans="1:45">
      <c r="G150" s="266"/>
      <c r="H150" s="84"/>
      <c r="I150" s="84"/>
      <c r="J150" s="84"/>
      <c r="K150" s="84"/>
      <c r="L150" s="84"/>
      <c r="M150" s="305"/>
      <c r="N150" s="84"/>
      <c r="O150" s="84"/>
      <c r="P150" s="305"/>
      <c r="Q150" s="84"/>
      <c r="R150" s="84"/>
      <c r="S150" s="84"/>
      <c r="T150" s="84"/>
      <c r="U150" s="84"/>
      <c r="V150" s="305"/>
      <c r="W150" s="84"/>
      <c r="X150" s="84"/>
      <c r="Y150" s="305"/>
      <c r="Z150" s="13"/>
      <c r="AA150" s="31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spans="1:45">
      <c r="G151" s="925" t="s">
        <v>464</v>
      </c>
      <c r="H151" s="928" t="s">
        <v>465</v>
      </c>
      <c r="I151" s="932" t="s">
        <v>328</v>
      </c>
      <c r="J151" s="933"/>
      <c r="K151" s="934" t="s">
        <v>329</v>
      </c>
      <c r="L151" s="935"/>
      <c r="M151" s="930" t="s">
        <v>466</v>
      </c>
      <c r="N151" s="84"/>
      <c r="O151" s="84"/>
      <c r="P151" s="305"/>
      <c r="Q151" s="84"/>
      <c r="R151" s="84"/>
      <c r="S151" s="84"/>
      <c r="T151" s="84"/>
      <c r="U151" s="84"/>
      <c r="V151" s="305"/>
      <c r="W151" s="84"/>
      <c r="X151" s="84"/>
      <c r="Y151" s="305"/>
      <c r="Z151" s="13"/>
      <c r="AA151" s="31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spans="1:45" ht="15.65" customHeight="1">
      <c r="G152" s="926"/>
      <c r="H152" s="929"/>
      <c r="I152" s="309" t="s">
        <v>467</v>
      </c>
      <c r="J152" s="309" t="s">
        <v>468</v>
      </c>
      <c r="K152" s="311" t="s">
        <v>469</v>
      </c>
      <c r="L152" s="311" t="s">
        <v>470</v>
      </c>
      <c r="M152" s="931"/>
      <c r="N152" s="84"/>
      <c r="O152" s="84"/>
      <c r="P152" s="305"/>
      <c r="Q152" s="84"/>
      <c r="R152" s="84"/>
      <c r="S152" s="84"/>
      <c r="T152" s="84"/>
      <c r="U152" s="84"/>
      <c r="V152" s="305"/>
      <c r="W152" s="84"/>
      <c r="X152" s="84"/>
      <c r="Y152" s="305"/>
      <c r="Z152" s="13"/>
      <c r="AA152" s="31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</row>
    <row r="153" spans="1:45">
      <c r="G153" s="319" t="s">
        <v>354</v>
      </c>
      <c r="H153" s="320">
        <f>[5]酒店主体!H153</f>
        <v>0</v>
      </c>
      <c r="I153" s="321">
        <f>[5]酒店主体!I153</f>
        <v>0</v>
      </c>
      <c r="J153" s="322">
        <f>[5]酒店主体!J153</f>
        <v>0</v>
      </c>
      <c r="K153" s="321">
        <f>[5]酒店主体!K153</f>
        <v>0</v>
      </c>
      <c r="L153" s="321">
        <f>[5]酒店主体!L153</f>
        <v>0</v>
      </c>
      <c r="M153" s="322">
        <f>[5]酒店主体!M153</f>
        <v>0</v>
      </c>
      <c r="N153" s="84"/>
      <c r="O153" s="84"/>
      <c r="P153" s="305"/>
      <c r="Q153" s="84"/>
      <c r="R153" s="84"/>
      <c r="S153" s="84"/>
      <c r="T153" s="84"/>
      <c r="U153" s="84"/>
      <c r="V153" s="305"/>
      <c r="W153" s="84"/>
      <c r="X153" s="84"/>
      <c r="Y153" s="305"/>
      <c r="Z153" s="13"/>
      <c r="AA153" s="31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spans="1:45">
      <c r="G154" s="266"/>
      <c r="H154" s="84"/>
      <c r="I154" s="84"/>
      <c r="J154" s="84"/>
      <c r="K154" s="84"/>
      <c r="L154" s="84"/>
      <c r="M154" s="305"/>
      <c r="N154" s="84"/>
      <c r="O154" s="84"/>
      <c r="P154" s="305"/>
      <c r="Q154" s="84"/>
      <c r="R154" s="84"/>
      <c r="S154" s="84"/>
      <c r="T154" s="84"/>
      <c r="U154" s="84"/>
      <c r="V154" s="305"/>
      <c r="W154" s="84"/>
      <c r="X154" s="84"/>
      <c r="Y154" s="305"/>
      <c r="Z154" s="84"/>
      <c r="AA154" s="306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spans="1:45">
      <c r="G155" s="266"/>
      <c r="H155" s="84"/>
      <c r="I155" s="84"/>
      <c r="J155" s="84"/>
      <c r="K155" s="84"/>
      <c r="L155" s="84"/>
      <c r="M155" s="305"/>
      <c r="N155" s="84"/>
      <c r="O155" s="84"/>
      <c r="P155" s="305"/>
      <c r="Q155" s="84"/>
      <c r="R155" s="84"/>
      <c r="S155" s="84"/>
      <c r="T155" s="84"/>
      <c r="U155" s="84"/>
      <c r="V155" s="305"/>
      <c r="W155" s="84"/>
      <c r="X155" s="84"/>
      <c r="Y155" s="305"/>
      <c r="Z155" s="84"/>
      <c r="AA155" s="306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spans="1:45" ht="17.149999999999999">
      <c r="G156" s="925" t="s">
        <v>471</v>
      </c>
      <c r="H156" s="936" t="s">
        <v>2</v>
      </c>
      <c r="I156" s="937"/>
      <c r="J156" s="937"/>
      <c r="K156" s="937"/>
      <c r="L156" s="937"/>
      <c r="M156" s="938" t="s">
        <v>210</v>
      </c>
      <c r="N156" s="939"/>
      <c r="O156" s="939"/>
      <c r="P156" s="939"/>
      <c r="Q156" s="939"/>
      <c r="R156" s="936" t="s">
        <v>241</v>
      </c>
      <c r="S156" s="937"/>
      <c r="T156" s="937"/>
      <c r="U156" s="937"/>
      <c r="V156" s="937"/>
      <c r="W156" s="914" t="s">
        <v>5</v>
      </c>
      <c r="X156" s="915"/>
      <c r="Y156" s="916" t="s">
        <v>6</v>
      </c>
      <c r="Z156" s="916"/>
      <c r="AA156" s="916"/>
      <c r="AB156" s="916"/>
      <c r="AC156" s="916"/>
      <c r="AD156" s="917" t="s">
        <v>7</v>
      </c>
      <c r="AE156" s="918"/>
      <c r="AF156" s="919"/>
      <c r="AG156" s="920" t="s">
        <v>8</v>
      </c>
      <c r="AH156" s="921"/>
      <c r="AI156" s="921"/>
      <c r="AJ156" s="922"/>
      <c r="AK156" s="323" t="s">
        <v>472</v>
      </c>
      <c r="AL156" s="13"/>
      <c r="AM156" s="13"/>
      <c r="AN156" s="13"/>
      <c r="AO156" s="13"/>
      <c r="AP156" s="13"/>
      <c r="AQ156" s="13"/>
      <c r="AR156" s="13"/>
      <c r="AS156" s="13"/>
    </row>
    <row r="157" spans="1:45" ht="29.15">
      <c r="G157" s="927"/>
      <c r="H157" s="324" t="s">
        <v>9</v>
      </c>
      <c r="I157" s="324" t="s">
        <v>10</v>
      </c>
      <c r="J157" s="325" t="s">
        <v>11</v>
      </c>
      <c r="K157" s="324" t="s">
        <v>12</v>
      </c>
      <c r="L157" s="326" t="s">
        <v>13</v>
      </c>
      <c r="M157" s="327" t="s">
        <v>9</v>
      </c>
      <c r="N157" s="327" t="s">
        <v>10</v>
      </c>
      <c r="O157" s="328" t="s">
        <v>11</v>
      </c>
      <c r="P157" s="327" t="s">
        <v>12</v>
      </c>
      <c r="Q157" s="329" t="s">
        <v>13</v>
      </c>
      <c r="R157" s="324" t="s">
        <v>9</v>
      </c>
      <c r="S157" s="324" t="s">
        <v>10</v>
      </c>
      <c r="T157" s="325" t="s">
        <v>11</v>
      </c>
      <c r="U157" s="324" t="s">
        <v>12</v>
      </c>
      <c r="V157" s="326" t="s">
        <v>13</v>
      </c>
      <c r="W157" s="327" t="s">
        <v>226</v>
      </c>
      <c r="X157" s="327" t="s">
        <v>15</v>
      </c>
      <c r="Y157" s="324" t="s">
        <v>16</v>
      </c>
      <c r="Z157" s="324" t="s">
        <v>227</v>
      </c>
      <c r="AA157" s="330" t="s">
        <v>228</v>
      </c>
      <c r="AB157" s="324" t="s">
        <v>226</v>
      </c>
      <c r="AC157" s="324" t="s">
        <v>19</v>
      </c>
      <c r="AD157" s="327" t="s">
        <v>20</v>
      </c>
      <c r="AE157" s="327" t="s">
        <v>226</v>
      </c>
      <c r="AF157" s="327" t="s">
        <v>21</v>
      </c>
      <c r="AG157" s="324" t="s">
        <v>22</v>
      </c>
      <c r="AH157" s="324" t="s">
        <v>226</v>
      </c>
      <c r="AI157" s="324" t="s">
        <v>23</v>
      </c>
      <c r="AJ157" s="331" t="s">
        <v>24</v>
      </c>
      <c r="AK157" s="332" t="s">
        <v>9</v>
      </c>
      <c r="AL157" s="13"/>
      <c r="AM157" s="13"/>
      <c r="AN157" s="13"/>
      <c r="AO157" s="13"/>
      <c r="AP157" s="13"/>
      <c r="AQ157" s="13"/>
      <c r="AR157" s="13"/>
      <c r="AS157" s="13"/>
    </row>
    <row r="158" spans="1:45">
      <c r="G158" s="333" t="str">
        <f>H2</f>
        <v>2026年1月</v>
      </c>
      <c r="H158" s="334">
        <f>[5]酒店主体!H158</f>
        <v>1136568.83</v>
      </c>
      <c r="I158" s="334">
        <f>[5]酒店主体!I158</f>
        <v>1160828.73</v>
      </c>
      <c r="J158" s="335">
        <f>[5]酒店主体!J158</f>
        <v>0.97910122365768804</v>
      </c>
      <c r="K158" s="334">
        <f>[5]酒店主体!K158</f>
        <v>1251789.25</v>
      </c>
      <c r="L158" s="335">
        <f>[5]酒店主体!L158</f>
        <v>-9.2044583383344994E-2</v>
      </c>
      <c r="M158" s="334">
        <f>[5]酒店主体!M158</f>
        <v>58022.27</v>
      </c>
      <c r="N158" s="334">
        <f>[5]酒店主体!N158</f>
        <v>-89792.8100000001</v>
      </c>
      <c r="O158" s="335">
        <f>[5]酒店主体!O158</f>
        <v>2.6461794658169202</v>
      </c>
      <c r="P158" s="334">
        <f>[5]酒店主体!P158</f>
        <v>-179449.02</v>
      </c>
      <c r="Q158" s="335">
        <f>[5]酒店主体!Q158</f>
        <v>1.3233356749454499</v>
      </c>
      <c r="R158" s="334">
        <f>[5]酒店主体!R158</f>
        <v>-29581.52</v>
      </c>
      <c r="S158" s="334">
        <f>[5]酒店主体!S158</f>
        <v>-164641.24</v>
      </c>
      <c r="T158" s="335">
        <f>[5]酒店主体!T158</f>
        <v>1.8203273979229</v>
      </c>
      <c r="U158" s="334">
        <f>[5]酒店主体!U158</f>
        <v>-269040.38</v>
      </c>
      <c r="V158" s="336">
        <f>[5]酒店主体!V158</f>
        <v>0.89004802922148696</v>
      </c>
      <c r="W158" s="334">
        <f>[5]酒店主体!W158</f>
        <v>2.1067654643068798</v>
      </c>
      <c r="X158" s="336">
        <f>[5]酒店主体!X158</f>
        <v>5.1050379412569298E-2</v>
      </c>
      <c r="Y158" s="336">
        <f>[5]酒店主体!Y158</f>
        <v>0.224880615924374</v>
      </c>
      <c r="Z158" s="337">
        <f>[5]酒店主体!Z158</f>
        <v>221.87889924160299</v>
      </c>
      <c r="AA158" s="337">
        <f>[5]酒店主体!AA158</f>
        <v>49.896263522073902</v>
      </c>
      <c r="AB158" s="338">
        <f>[5]酒店主体!AB158</f>
        <v>4.7829934735342503</v>
      </c>
      <c r="AC158" s="336">
        <f>[5]酒店主体!AC158</f>
        <v>0.60995124635776399</v>
      </c>
      <c r="AD158" s="336">
        <f>[5]酒店主体!AD158</f>
        <v>0.59600743105589704</v>
      </c>
      <c r="AE158" s="338">
        <f>[5]酒店主体!AE158</f>
        <v>3.2034786446502199</v>
      </c>
      <c r="AF158" s="336">
        <f>[5]酒店主体!AF158</f>
        <v>0.260946142147227</v>
      </c>
      <c r="AG158" s="336">
        <f>[5]酒店主体!AG158</f>
        <v>0.117016995794263</v>
      </c>
      <c r="AH158" s="338">
        <f>[5]酒店主体!AH158</f>
        <v>4.5567032442403796</v>
      </c>
      <c r="AI158" s="339">
        <f>[5]酒店主体!AI158</f>
        <v>4.0234237287679303E-2</v>
      </c>
      <c r="AJ158" s="340">
        <f>[5]酒店主体!AJ158</f>
        <v>0.39204858363043399</v>
      </c>
      <c r="AK158" s="341">
        <f>[5]酒店主体!AK158</f>
        <v>0</v>
      </c>
      <c r="AL158" s="13"/>
      <c r="AM158" s="13"/>
      <c r="AN158" s="13"/>
      <c r="AO158" s="13"/>
      <c r="AP158" s="13"/>
      <c r="AQ158" s="13"/>
      <c r="AR158" s="13"/>
      <c r="AS158" s="13"/>
    </row>
    <row r="159" spans="1:45">
      <c r="G159" s="342" t="s">
        <v>473</v>
      </c>
      <c r="H159" s="343">
        <f>[5]酒店主体!H159</f>
        <v>1136568.83</v>
      </c>
      <c r="I159" s="343">
        <f>[5]酒店主体!I159</f>
        <v>1160828.73</v>
      </c>
      <c r="J159" s="344">
        <f>[5]酒店主体!J159</f>
        <v>0.97910122365768804</v>
      </c>
      <c r="K159" s="343">
        <f>[5]酒店主体!K159</f>
        <v>1251789.25</v>
      </c>
      <c r="L159" s="344">
        <f>[5]酒店主体!L159</f>
        <v>-9.2044583383344994E-2</v>
      </c>
      <c r="M159" s="343">
        <f>[5]酒店主体!M159</f>
        <v>58022.27</v>
      </c>
      <c r="N159" s="343">
        <f>[5]酒店主体!N159</f>
        <v>-89792.8100000001</v>
      </c>
      <c r="O159" s="344">
        <f>[5]酒店主体!O159</f>
        <v>2.6461794658169202</v>
      </c>
      <c r="P159" s="343">
        <f>[5]酒店主体!P159</f>
        <v>-179449.02</v>
      </c>
      <c r="Q159" s="344">
        <f>[5]酒店主体!Q159</f>
        <v>1.3233356749454499</v>
      </c>
      <c r="R159" s="343">
        <f>[5]酒店主体!R159</f>
        <v>-29581.52</v>
      </c>
      <c r="S159" s="343">
        <f>[5]酒店主体!S159</f>
        <v>-164641.24</v>
      </c>
      <c r="T159" s="344">
        <f>[5]酒店主体!T159</f>
        <v>1.8203273979229</v>
      </c>
      <c r="U159" s="343">
        <f>[5]酒店主体!U159</f>
        <v>-269040.38</v>
      </c>
      <c r="V159" s="345">
        <f>[5]酒店主体!V159</f>
        <v>0.89004802922148696</v>
      </c>
      <c r="W159" s="343">
        <f>[5]酒店主体!W159</f>
        <v>2.1067654643068798</v>
      </c>
      <c r="X159" s="345">
        <f>[5]酒店主体!X159</f>
        <v>5.1050379412569298E-2</v>
      </c>
      <c r="Y159" s="345">
        <f>[5]酒店主体!Y159</f>
        <v>0.224880615924374</v>
      </c>
      <c r="Z159" s="343">
        <f>[5]酒店主体!Z159</f>
        <v>221.87889924160299</v>
      </c>
      <c r="AA159" s="346">
        <f>[5]酒店主体!AA159</f>
        <v>49.896263522073902</v>
      </c>
      <c r="AB159" s="347">
        <f>[5]酒店主体!AB159</f>
        <v>4.7829934735342503</v>
      </c>
      <c r="AC159" s="348">
        <f>[5]酒店主体!AC159</f>
        <v>0.60995124635776399</v>
      </c>
      <c r="AD159" s="348">
        <f>[5]酒店主体!AD159</f>
        <v>0.59600743105589704</v>
      </c>
      <c r="AE159" s="347">
        <f>[5]酒店主体!AE159</f>
        <v>3.2034786446502199</v>
      </c>
      <c r="AF159" s="348">
        <f>[5]酒店主体!AF159</f>
        <v>0.260946142147227</v>
      </c>
      <c r="AG159" s="348">
        <f>[5]酒店主体!AG159</f>
        <v>0.117016995794263</v>
      </c>
      <c r="AH159" s="347">
        <f>[5]酒店主体!AH159</f>
        <v>4.5567032442403796</v>
      </c>
      <c r="AI159" s="348">
        <f>[5]酒店主体!AI159</f>
        <v>4.0234237287679303E-2</v>
      </c>
      <c r="AJ159" s="349">
        <f>[5]酒店主体!AJ159</f>
        <v>0.39204858363043399</v>
      </c>
      <c r="AK159" s="350">
        <f>[5]酒店主体!AK159</f>
        <v>0</v>
      </c>
      <c r="AL159" s="13"/>
      <c r="AM159" s="13"/>
      <c r="AN159" s="13"/>
      <c r="AO159" s="13"/>
      <c r="AP159" s="13"/>
      <c r="AQ159" s="13"/>
      <c r="AR159" s="13"/>
      <c r="AS159" s="13"/>
    </row>
    <row r="160" spans="1:45" s="13" customFormat="1">
      <c r="A160" s="14"/>
      <c r="B160" s="14"/>
      <c r="C160" s="14"/>
      <c r="D160" s="14"/>
      <c r="E160" s="15"/>
      <c r="F160" s="16"/>
      <c r="G160" s="266"/>
      <c r="H160" s="84"/>
      <c r="I160" s="84"/>
      <c r="J160" s="84"/>
      <c r="K160" s="84"/>
      <c r="L160" s="84"/>
      <c r="M160" s="305"/>
      <c r="N160" s="84"/>
      <c r="O160" s="84"/>
      <c r="P160" s="305"/>
      <c r="Q160" s="84"/>
      <c r="R160" s="84"/>
      <c r="S160" s="84"/>
      <c r="T160" s="84"/>
      <c r="U160" s="84"/>
      <c r="V160" s="305"/>
      <c r="W160" s="84"/>
      <c r="X160" s="84"/>
      <c r="Y160" s="305"/>
      <c r="Z160" s="84"/>
      <c r="AA160" s="306"/>
    </row>
    <row r="161" spans="1:27" s="13" customFormat="1">
      <c r="A161" s="14"/>
      <c r="B161" s="14"/>
      <c r="C161" s="14"/>
      <c r="D161" s="14"/>
      <c r="E161" s="15"/>
      <c r="F161" s="16"/>
      <c r="G161" s="266"/>
      <c r="H161" s="84"/>
      <c r="I161" s="84"/>
      <c r="J161" s="84"/>
      <c r="K161" s="84"/>
      <c r="L161" s="84"/>
      <c r="M161" s="305"/>
      <c r="N161" s="84"/>
      <c r="O161" s="84"/>
      <c r="P161" s="305"/>
      <c r="Q161" s="84"/>
      <c r="R161" s="84"/>
      <c r="S161" s="84"/>
      <c r="T161" s="84"/>
      <c r="U161" s="84"/>
      <c r="V161" s="305"/>
      <c r="W161" s="84"/>
      <c r="X161" s="84"/>
      <c r="Y161" s="305"/>
      <c r="Z161" s="84"/>
      <c r="AA161" s="306"/>
    </row>
    <row r="162" spans="1:27" s="13" customFormat="1">
      <c r="A162" s="14"/>
      <c r="B162" s="14"/>
      <c r="C162" s="14"/>
      <c r="D162" s="14"/>
      <c r="E162" s="15"/>
      <c r="F162" s="16"/>
      <c r="G162" s="266"/>
      <c r="H162" s="84"/>
      <c r="I162" s="84"/>
      <c r="J162" s="84"/>
      <c r="K162" s="84"/>
      <c r="L162" s="84"/>
      <c r="M162" s="305"/>
      <c r="N162" s="84"/>
      <c r="O162" s="84"/>
      <c r="P162" s="305"/>
      <c r="Q162" s="84"/>
      <c r="R162" s="84"/>
      <c r="S162" s="84"/>
      <c r="T162" s="84"/>
      <c r="U162" s="84"/>
      <c r="V162" s="305"/>
      <c r="W162" s="84"/>
      <c r="X162" s="84"/>
      <c r="Y162" s="305"/>
      <c r="Z162" s="84"/>
      <c r="AA162" s="306"/>
    </row>
    <row r="163" spans="1:27" s="13" customFormat="1">
      <c r="A163" s="14"/>
      <c r="B163" s="14"/>
      <c r="C163" s="14"/>
      <c r="D163" s="14"/>
      <c r="E163" s="15"/>
      <c r="F163" s="16"/>
      <c r="G163" s="266"/>
      <c r="H163" s="84"/>
      <c r="I163" s="84"/>
      <c r="J163" s="84"/>
      <c r="K163" s="84"/>
      <c r="L163" s="84"/>
      <c r="M163" s="305"/>
      <c r="N163" s="84"/>
      <c r="O163" s="84"/>
      <c r="P163" s="305"/>
      <c r="Q163" s="84"/>
      <c r="R163" s="84"/>
      <c r="S163" s="84"/>
      <c r="T163" s="84"/>
      <c r="U163" s="84"/>
      <c r="V163" s="305"/>
      <c r="W163" s="84"/>
      <c r="X163" s="84"/>
      <c r="Y163" s="305"/>
      <c r="Z163" s="84"/>
      <c r="AA163" s="306"/>
    </row>
    <row r="164" spans="1:27" s="13" customFormat="1">
      <c r="A164" s="14"/>
      <c r="B164" s="14"/>
      <c r="C164" s="14"/>
      <c r="D164" s="14"/>
      <c r="E164" s="15"/>
      <c r="F164" s="16"/>
      <c r="G164" s="266"/>
      <c r="H164" s="84"/>
      <c r="I164" s="84"/>
      <c r="J164" s="84"/>
      <c r="K164" s="84"/>
      <c r="L164" s="84"/>
      <c r="M164" s="305"/>
      <c r="N164" s="84"/>
      <c r="O164" s="84"/>
      <c r="P164" s="305"/>
      <c r="Q164" s="84"/>
      <c r="R164" s="84"/>
      <c r="S164" s="84"/>
      <c r="T164" s="84"/>
      <c r="U164" s="84"/>
      <c r="V164" s="305"/>
      <c r="W164" s="84"/>
      <c r="X164" s="84"/>
      <c r="Y164" s="305"/>
      <c r="Z164" s="84"/>
      <c r="AA164" s="306"/>
    </row>
    <row r="165" spans="1:27" s="13" customFormat="1">
      <c r="A165" s="14"/>
      <c r="B165" s="14"/>
      <c r="C165" s="14"/>
      <c r="D165" s="14"/>
      <c r="E165" s="15"/>
      <c r="F165" s="16"/>
      <c r="G165" s="266"/>
      <c r="H165" s="84"/>
      <c r="I165" s="84"/>
      <c r="J165" s="84"/>
      <c r="K165" s="84"/>
      <c r="L165" s="84"/>
      <c r="M165" s="305"/>
      <c r="N165" s="84"/>
      <c r="O165" s="84"/>
      <c r="P165" s="305"/>
      <c r="Q165" s="84"/>
      <c r="R165" s="84"/>
      <c r="S165" s="84"/>
      <c r="T165" s="84"/>
      <c r="U165" s="84"/>
      <c r="V165" s="305"/>
      <c r="W165" s="84"/>
      <c r="X165" s="84"/>
      <c r="Y165" s="305"/>
      <c r="Z165" s="84"/>
      <c r="AA165" s="306"/>
    </row>
    <row r="166" spans="1:27" s="13" customFormat="1">
      <c r="A166" s="14"/>
      <c r="B166" s="14"/>
      <c r="C166" s="14"/>
      <c r="D166" s="14"/>
      <c r="E166" s="15"/>
      <c r="F166" s="16"/>
      <c r="G166" s="266"/>
      <c r="H166" s="84"/>
      <c r="I166" s="84"/>
      <c r="J166" s="84"/>
      <c r="K166" s="84"/>
      <c r="L166" s="84"/>
      <c r="M166" s="305"/>
      <c r="N166" s="84"/>
      <c r="O166" s="84"/>
      <c r="P166" s="305"/>
      <c r="Q166" s="84"/>
      <c r="R166" s="84"/>
      <c r="S166" s="84"/>
      <c r="T166" s="84"/>
      <c r="U166" s="84"/>
      <c r="V166" s="305"/>
      <c r="W166" s="84"/>
      <c r="X166" s="84"/>
      <c r="Y166" s="305"/>
      <c r="Z166" s="84"/>
      <c r="AA166" s="306"/>
    </row>
    <row r="167" spans="1:27" s="13" customFormat="1">
      <c r="A167" s="14"/>
      <c r="B167" s="14"/>
      <c r="C167" s="14"/>
      <c r="D167" s="14"/>
      <c r="E167" s="15"/>
      <c r="F167" s="16"/>
      <c r="G167" s="266"/>
      <c r="H167" s="84"/>
      <c r="I167" s="84"/>
      <c r="J167" s="84"/>
      <c r="K167" s="84"/>
      <c r="L167" s="84"/>
      <c r="M167" s="305"/>
      <c r="N167" s="84"/>
      <c r="O167" s="84"/>
      <c r="P167" s="305"/>
      <c r="Q167" s="84"/>
      <c r="R167" s="84"/>
      <c r="S167" s="84"/>
      <c r="T167" s="84"/>
      <c r="U167" s="84"/>
      <c r="V167" s="305"/>
      <c r="W167" s="84"/>
      <c r="X167" s="84"/>
      <c r="Y167" s="305"/>
      <c r="Z167" s="84"/>
      <c r="AA167" s="306"/>
    </row>
    <row r="168" spans="1:27" s="13" customFormat="1">
      <c r="A168" s="14"/>
      <c r="B168" s="14"/>
      <c r="C168" s="14"/>
      <c r="D168" s="14"/>
      <c r="E168" s="15"/>
      <c r="F168" s="16"/>
      <c r="G168" s="266"/>
      <c r="H168" s="84"/>
      <c r="I168" s="84"/>
      <c r="J168" s="84"/>
      <c r="K168" s="84"/>
      <c r="L168" s="84"/>
      <c r="M168" s="305"/>
      <c r="N168" s="84"/>
      <c r="O168" s="84"/>
      <c r="P168" s="305"/>
      <c r="Q168" s="84"/>
      <c r="R168" s="84"/>
      <c r="S168" s="84"/>
      <c r="T168" s="84"/>
      <c r="U168" s="84"/>
      <c r="V168" s="305"/>
      <c r="W168" s="84"/>
      <c r="X168" s="84"/>
      <c r="Y168" s="305"/>
      <c r="Z168" s="84"/>
      <c r="AA168" s="306"/>
    </row>
    <row r="169" spans="1:27" s="13" customFormat="1">
      <c r="A169" s="14"/>
      <c r="B169" s="14"/>
      <c r="C169" s="14"/>
      <c r="D169" s="14"/>
      <c r="E169" s="15"/>
      <c r="F169" s="16"/>
      <c r="G169" s="266"/>
      <c r="H169" s="84"/>
      <c r="I169" s="84"/>
      <c r="J169" s="84"/>
      <c r="K169" s="84"/>
      <c r="L169" s="84"/>
      <c r="M169" s="305"/>
      <c r="N169" s="84"/>
      <c r="O169" s="84"/>
      <c r="P169" s="305"/>
      <c r="Q169" s="84"/>
      <c r="R169" s="84"/>
      <c r="S169" s="84"/>
      <c r="T169" s="84"/>
      <c r="U169" s="84"/>
      <c r="V169" s="305"/>
      <c r="W169" s="84"/>
      <c r="X169" s="84"/>
      <c r="Y169" s="305"/>
      <c r="Z169" s="84"/>
      <c r="AA169" s="306"/>
    </row>
    <row r="170" spans="1:27" s="13" customFormat="1">
      <c r="A170" s="14"/>
      <c r="B170" s="14"/>
      <c r="C170" s="14"/>
      <c r="D170" s="14"/>
      <c r="E170" s="15"/>
      <c r="F170" s="16"/>
      <c r="G170" s="266"/>
      <c r="H170" s="84"/>
      <c r="I170" s="84"/>
      <c r="J170" s="84"/>
      <c r="K170" s="84"/>
      <c r="L170" s="84"/>
      <c r="M170" s="305"/>
      <c r="N170" s="84"/>
      <c r="O170" s="84"/>
      <c r="P170" s="305"/>
      <c r="Q170" s="84"/>
      <c r="R170" s="84"/>
      <c r="S170" s="84"/>
      <c r="T170" s="84"/>
      <c r="U170" s="84"/>
      <c r="V170" s="305"/>
      <c r="W170" s="84"/>
      <c r="X170" s="84"/>
      <c r="Y170" s="305"/>
      <c r="Z170" s="84"/>
      <c r="AA170" s="306"/>
    </row>
    <row r="171" spans="1:27" s="13" customFormat="1">
      <c r="A171" s="14"/>
      <c r="B171" s="14"/>
      <c r="C171" s="14"/>
      <c r="D171" s="14"/>
      <c r="E171" s="15"/>
      <c r="F171" s="16"/>
      <c r="G171" s="266"/>
      <c r="H171" s="84"/>
      <c r="I171" s="84"/>
      <c r="J171" s="84"/>
      <c r="K171" s="84"/>
      <c r="L171" s="84"/>
      <c r="M171" s="305"/>
      <c r="N171" s="84"/>
      <c r="O171" s="84"/>
      <c r="P171" s="305"/>
      <c r="Q171" s="84"/>
      <c r="R171" s="84"/>
      <c r="S171" s="84"/>
      <c r="T171" s="84"/>
      <c r="U171" s="84"/>
      <c r="V171" s="305"/>
      <c r="W171" s="84"/>
      <c r="X171" s="84"/>
      <c r="Y171" s="305"/>
      <c r="Z171" s="84"/>
      <c r="AA171" s="306"/>
    </row>
    <row r="172" spans="1:27" s="13" customFormat="1">
      <c r="A172" s="14"/>
      <c r="B172" s="14"/>
      <c r="C172" s="14"/>
      <c r="D172" s="14"/>
      <c r="E172" s="15"/>
      <c r="F172" s="16"/>
      <c r="G172" s="266"/>
      <c r="H172" s="84"/>
      <c r="I172" s="84"/>
      <c r="J172" s="84"/>
      <c r="K172" s="84"/>
      <c r="L172" s="84"/>
      <c r="M172" s="305"/>
      <c r="N172" s="84"/>
      <c r="O172" s="84"/>
      <c r="P172" s="305"/>
      <c r="Q172" s="84"/>
      <c r="R172" s="84"/>
      <c r="S172" s="84"/>
      <c r="T172" s="84"/>
      <c r="U172" s="84"/>
      <c r="V172" s="305"/>
      <c r="W172" s="84"/>
      <c r="X172" s="84"/>
      <c r="Y172" s="305"/>
      <c r="Z172" s="84"/>
      <c r="AA172" s="306"/>
    </row>
    <row r="173" spans="1:27" s="13" customFormat="1">
      <c r="A173" s="14"/>
      <c r="B173" s="14"/>
      <c r="C173" s="14"/>
      <c r="D173" s="14"/>
      <c r="E173" s="15"/>
      <c r="F173" s="16"/>
      <c r="G173" s="266"/>
      <c r="H173" s="84"/>
      <c r="I173" s="84"/>
      <c r="J173" s="84"/>
      <c r="K173" s="84"/>
      <c r="L173" s="84"/>
      <c r="M173" s="305"/>
      <c r="N173" s="84"/>
      <c r="O173" s="84"/>
      <c r="P173" s="305"/>
      <c r="Q173" s="84"/>
      <c r="R173" s="84"/>
      <c r="S173" s="84"/>
      <c r="T173" s="84"/>
      <c r="U173" s="84"/>
      <c r="V173" s="305"/>
      <c r="W173" s="84"/>
      <c r="X173" s="84"/>
      <c r="Y173" s="305"/>
      <c r="Z173" s="84"/>
      <c r="AA173" s="306"/>
    </row>
    <row r="174" spans="1:27" s="13" customFormat="1">
      <c r="A174" s="14"/>
      <c r="B174" s="14"/>
      <c r="C174" s="14"/>
      <c r="D174" s="14"/>
      <c r="E174" s="15"/>
      <c r="F174" s="16"/>
      <c r="G174" s="266"/>
      <c r="H174" s="84"/>
      <c r="I174" s="84"/>
      <c r="J174" s="84"/>
      <c r="K174" s="84"/>
      <c r="L174" s="84"/>
      <c r="M174" s="305"/>
      <c r="N174" s="84"/>
      <c r="O174" s="84"/>
      <c r="P174" s="305"/>
      <c r="Q174" s="84"/>
      <c r="R174" s="84"/>
      <c r="S174" s="84"/>
      <c r="T174" s="84"/>
      <c r="U174" s="84"/>
      <c r="V174" s="305"/>
      <c r="W174" s="84"/>
      <c r="X174" s="84"/>
      <c r="Y174" s="305"/>
      <c r="Z174" s="84"/>
      <c r="AA174" s="306"/>
    </row>
    <row r="175" spans="1:27" s="13" customFormat="1">
      <c r="A175" s="14"/>
      <c r="B175" s="14"/>
      <c r="C175" s="14"/>
      <c r="D175" s="14"/>
      <c r="E175" s="15"/>
      <c r="F175" s="16"/>
      <c r="G175" s="266"/>
      <c r="H175" s="84"/>
      <c r="I175" s="84"/>
      <c r="J175" s="84"/>
      <c r="K175" s="84"/>
      <c r="L175" s="84"/>
      <c r="M175" s="305"/>
      <c r="N175" s="84"/>
      <c r="O175" s="84"/>
      <c r="P175" s="305"/>
      <c r="Q175" s="84"/>
      <c r="R175" s="84"/>
      <c r="S175" s="84"/>
      <c r="T175" s="84"/>
      <c r="U175" s="84"/>
      <c r="V175" s="305"/>
      <c r="W175" s="84"/>
      <c r="X175" s="84"/>
      <c r="Y175" s="305"/>
      <c r="Z175" s="84"/>
      <c r="AA175" s="306"/>
    </row>
    <row r="176" spans="1:27" s="13" customFormat="1">
      <c r="A176" s="14"/>
      <c r="B176" s="14"/>
      <c r="C176" s="14"/>
      <c r="D176" s="14"/>
      <c r="E176" s="15"/>
      <c r="F176" s="16"/>
      <c r="G176" s="266"/>
      <c r="H176" s="84"/>
      <c r="I176" s="84"/>
      <c r="J176" s="84"/>
      <c r="K176" s="84"/>
      <c r="L176" s="84"/>
      <c r="M176" s="305"/>
      <c r="N176" s="84"/>
      <c r="O176" s="84"/>
      <c r="P176" s="305"/>
      <c r="Q176" s="84"/>
      <c r="R176" s="84"/>
      <c r="S176" s="84"/>
      <c r="T176" s="84"/>
      <c r="U176" s="84"/>
      <c r="V176" s="305"/>
      <c r="W176" s="84"/>
      <c r="X176" s="84"/>
      <c r="Y176" s="305"/>
      <c r="Z176" s="84"/>
      <c r="AA176" s="306"/>
    </row>
    <row r="177" spans="1:27" s="13" customFormat="1">
      <c r="A177" s="14"/>
      <c r="B177" s="14"/>
      <c r="C177" s="14"/>
      <c r="D177" s="14"/>
      <c r="E177" s="15"/>
      <c r="F177" s="16"/>
      <c r="G177" s="266"/>
      <c r="H177" s="84"/>
      <c r="I177" s="84"/>
      <c r="J177" s="84"/>
      <c r="K177" s="84"/>
      <c r="L177" s="84"/>
      <c r="M177" s="305"/>
      <c r="N177" s="84"/>
      <c r="O177" s="84"/>
      <c r="P177" s="305"/>
      <c r="Q177" s="84"/>
      <c r="R177" s="84"/>
      <c r="S177" s="84"/>
      <c r="T177" s="84"/>
      <c r="U177" s="84"/>
      <c r="V177" s="305"/>
      <c r="W177" s="84"/>
      <c r="X177" s="84"/>
      <c r="Y177" s="305"/>
      <c r="Z177" s="84"/>
      <c r="AA177" s="306"/>
    </row>
    <row r="178" spans="1:27" s="13" customFormat="1">
      <c r="A178" s="14"/>
      <c r="B178" s="14"/>
      <c r="C178" s="14"/>
      <c r="D178" s="14"/>
      <c r="E178" s="15"/>
      <c r="F178" s="16"/>
      <c r="G178" s="266"/>
      <c r="H178" s="84"/>
      <c r="I178" s="84"/>
      <c r="J178" s="84"/>
      <c r="K178" s="84"/>
      <c r="L178" s="84"/>
      <c r="M178" s="305"/>
      <c r="N178" s="84"/>
      <c r="O178" s="84"/>
      <c r="P178" s="305"/>
      <c r="Q178" s="84"/>
      <c r="R178" s="84"/>
      <c r="S178" s="84"/>
      <c r="T178" s="84"/>
      <c r="U178" s="84"/>
      <c r="V178" s="305"/>
      <c r="W178" s="84"/>
      <c r="X178" s="84"/>
      <c r="Y178" s="305"/>
      <c r="Z178" s="84"/>
      <c r="AA178" s="306"/>
    </row>
    <row r="179" spans="1:27" s="13" customFormat="1">
      <c r="A179" s="14"/>
      <c r="B179" s="14"/>
      <c r="C179" s="14"/>
      <c r="D179" s="14"/>
      <c r="E179" s="15"/>
      <c r="F179" s="16"/>
      <c r="G179" s="266"/>
      <c r="H179" s="84"/>
      <c r="I179" s="84"/>
      <c r="J179" s="84"/>
      <c r="K179" s="84"/>
      <c r="L179" s="84"/>
      <c r="M179" s="305"/>
      <c r="N179" s="84"/>
      <c r="O179" s="84"/>
      <c r="P179" s="305"/>
      <c r="Q179" s="84"/>
      <c r="R179" s="84"/>
      <c r="S179" s="84"/>
      <c r="T179" s="84"/>
      <c r="U179" s="84"/>
      <c r="V179" s="305"/>
      <c r="W179" s="84"/>
      <c r="X179" s="84"/>
      <c r="Y179" s="305"/>
      <c r="Z179" s="84"/>
      <c r="AA179" s="306"/>
    </row>
    <row r="180" spans="1:27" s="13" customFormat="1">
      <c r="A180" s="14"/>
      <c r="B180" s="14"/>
      <c r="C180" s="14"/>
      <c r="D180" s="14"/>
      <c r="E180" s="15"/>
      <c r="F180" s="16"/>
      <c r="G180" s="266"/>
      <c r="H180" s="84"/>
      <c r="I180" s="84"/>
      <c r="J180" s="84"/>
      <c r="K180" s="84"/>
      <c r="L180" s="84"/>
      <c r="M180" s="305"/>
      <c r="N180" s="84"/>
      <c r="O180" s="84"/>
      <c r="P180" s="305"/>
      <c r="Q180" s="84"/>
      <c r="R180" s="84"/>
      <c r="S180" s="84"/>
      <c r="T180" s="84"/>
      <c r="U180" s="84"/>
      <c r="V180" s="305"/>
      <c r="W180" s="84"/>
      <c r="X180" s="84"/>
      <c r="Y180" s="305"/>
      <c r="Z180" s="84"/>
      <c r="AA180" s="306"/>
    </row>
    <row r="181" spans="1:27" s="13" customFormat="1">
      <c r="A181" s="14"/>
      <c r="B181" s="14"/>
      <c r="C181" s="14"/>
      <c r="D181" s="14"/>
      <c r="E181" s="15"/>
      <c r="F181" s="16"/>
      <c r="G181" s="266"/>
      <c r="H181" s="84"/>
      <c r="I181" s="84"/>
      <c r="J181" s="84"/>
      <c r="K181" s="84"/>
      <c r="L181" s="84"/>
      <c r="M181" s="305"/>
      <c r="N181" s="84"/>
      <c r="O181" s="84"/>
      <c r="P181" s="305"/>
      <c r="Q181" s="84"/>
      <c r="R181" s="84"/>
      <c r="S181" s="84"/>
      <c r="T181" s="84"/>
      <c r="U181" s="84"/>
      <c r="V181" s="305"/>
      <c r="W181" s="84"/>
      <c r="X181" s="84"/>
      <c r="Y181" s="305"/>
      <c r="Z181" s="84"/>
      <c r="AA181" s="306"/>
    </row>
    <row r="182" spans="1:27" s="13" customFormat="1">
      <c r="A182" s="14"/>
      <c r="B182" s="14"/>
      <c r="C182" s="14"/>
      <c r="D182" s="14"/>
      <c r="E182" s="15"/>
      <c r="F182" s="16"/>
      <c r="G182" s="266"/>
      <c r="H182" s="84"/>
      <c r="I182" s="84"/>
      <c r="J182" s="84"/>
      <c r="K182" s="84"/>
      <c r="L182" s="84"/>
      <c r="M182" s="305"/>
      <c r="N182" s="84"/>
      <c r="O182" s="84"/>
      <c r="P182" s="305"/>
      <c r="Q182" s="84"/>
      <c r="R182" s="84"/>
      <c r="S182" s="84"/>
      <c r="T182" s="84"/>
      <c r="U182" s="84"/>
      <c r="V182" s="305"/>
      <c r="W182" s="84"/>
      <c r="X182" s="84"/>
      <c r="Y182" s="305"/>
      <c r="Z182" s="84"/>
      <c r="AA182" s="306"/>
    </row>
    <row r="183" spans="1:27" s="13" customFormat="1">
      <c r="A183" s="14"/>
      <c r="B183" s="14"/>
      <c r="C183" s="14"/>
      <c r="D183" s="14"/>
      <c r="E183" s="15"/>
      <c r="F183" s="16"/>
      <c r="G183" s="266"/>
      <c r="H183" s="84"/>
      <c r="I183" s="84"/>
      <c r="J183" s="84"/>
      <c r="K183" s="84"/>
      <c r="L183" s="84"/>
      <c r="M183" s="305"/>
      <c r="N183" s="84"/>
      <c r="O183" s="84"/>
      <c r="P183" s="305"/>
      <c r="Q183" s="84"/>
      <c r="R183" s="84"/>
      <c r="S183" s="84"/>
      <c r="T183" s="84"/>
      <c r="U183" s="84"/>
      <c r="V183" s="305"/>
      <c r="W183" s="84"/>
      <c r="X183" s="84"/>
      <c r="Y183" s="305"/>
      <c r="Z183" s="84"/>
      <c r="AA183" s="306"/>
    </row>
    <row r="184" spans="1:27" s="13" customFormat="1">
      <c r="A184" s="14"/>
      <c r="B184" s="14"/>
      <c r="C184" s="14"/>
      <c r="D184" s="14"/>
      <c r="E184" s="15"/>
      <c r="F184" s="16"/>
      <c r="G184" s="266"/>
      <c r="H184" s="84"/>
      <c r="I184" s="84"/>
      <c r="J184" s="84"/>
      <c r="K184" s="84"/>
      <c r="L184" s="84"/>
      <c r="M184" s="305"/>
      <c r="N184" s="84"/>
      <c r="O184" s="84"/>
      <c r="P184" s="305"/>
      <c r="Q184" s="84"/>
      <c r="R184" s="84"/>
      <c r="S184" s="84"/>
      <c r="T184" s="84"/>
      <c r="U184" s="84"/>
      <c r="V184" s="305"/>
      <c r="W184" s="84"/>
      <c r="X184" s="84"/>
      <c r="Y184" s="305"/>
      <c r="Z184" s="84"/>
      <c r="AA184" s="306"/>
    </row>
  </sheetData>
  <mergeCells count="22">
    <mergeCell ref="I2:Q2"/>
    <mergeCell ref="H3:L3"/>
    <mergeCell ref="M3:Q3"/>
    <mergeCell ref="R3:S3"/>
    <mergeCell ref="H138:L138"/>
    <mergeCell ref="M138:Q138"/>
    <mergeCell ref="R138:S138"/>
    <mergeCell ref="W156:X156"/>
    <mergeCell ref="Y156:AC156"/>
    <mergeCell ref="AD156:AF156"/>
    <mergeCell ref="AG156:AJ156"/>
    <mergeCell ref="G3:G4"/>
    <mergeCell ref="G138:G139"/>
    <mergeCell ref="G151:G152"/>
    <mergeCell ref="G156:G157"/>
    <mergeCell ref="H151:H152"/>
    <mergeCell ref="M151:M152"/>
    <mergeCell ref="I151:J151"/>
    <mergeCell ref="K151:L151"/>
    <mergeCell ref="H156:L156"/>
    <mergeCell ref="M156:Q156"/>
    <mergeCell ref="R156:V156"/>
  </mergeCells>
  <phoneticPr fontId="54" type="noConversion"/>
  <conditionalFormatting sqref="A13:E16 C43:D48 C49">
    <cfRule type="cellIs" dxfId="13" priority="15" stopIfTrue="1" operator="lessThan">
      <formula>0</formula>
    </cfRule>
  </conditionalFormatting>
  <conditionalFormatting sqref="D56">
    <cfRule type="cellIs" dxfId="12" priority="11" stopIfTrue="1" operator="lessThan">
      <formula>0</formula>
    </cfRule>
  </conditionalFormatting>
  <conditionalFormatting sqref="D60">
    <cfRule type="cellIs" dxfId="11" priority="10" stopIfTrue="1" operator="lessThan">
      <formula>0</formula>
    </cfRule>
  </conditionalFormatting>
  <conditionalFormatting sqref="D64:D65">
    <cfRule type="cellIs" dxfId="10" priority="9" stopIfTrue="1" operator="lessThan">
      <formula>0</formula>
    </cfRule>
  </conditionalFormatting>
  <conditionalFormatting sqref="D77">
    <cfRule type="cellIs" dxfId="9" priority="8" stopIfTrue="1" operator="lessThan">
      <formula>0</formula>
    </cfRule>
  </conditionalFormatting>
  <conditionalFormatting sqref="D82:D83">
    <cfRule type="cellIs" dxfId="8" priority="7" stopIfTrue="1" operator="lessThan">
      <formula>0</formula>
    </cfRule>
  </conditionalFormatting>
  <conditionalFormatting sqref="D85:D86">
    <cfRule type="cellIs" dxfId="7" priority="6" stopIfTrue="1" operator="lessThan">
      <formula>0</formula>
    </cfRule>
  </conditionalFormatting>
  <conditionalFormatting sqref="D106">
    <cfRule type="cellIs" dxfId="6" priority="5" stopIfTrue="1" operator="lessThan">
      <formula>0</formula>
    </cfRule>
  </conditionalFormatting>
  <conditionalFormatting sqref="D114">
    <cfRule type="cellIs" dxfId="5" priority="4" stopIfTrue="1" operator="lessThan">
      <formula>0</formula>
    </cfRule>
  </conditionalFormatting>
  <conditionalFormatting sqref="G5:G14">
    <cfRule type="cellIs" dxfId="4" priority="13" stopIfTrue="1" operator="lessThan">
      <formula>0</formula>
    </cfRule>
  </conditionalFormatting>
  <conditionalFormatting sqref="G16:G40">
    <cfRule type="cellIs" dxfId="3" priority="3" stopIfTrue="1" operator="lessThan">
      <formula>0</formula>
    </cfRule>
  </conditionalFormatting>
  <conditionalFormatting sqref="G43:G49">
    <cfRule type="cellIs" dxfId="2" priority="12" stopIfTrue="1" operator="lessThan">
      <formula>0</formula>
    </cfRule>
  </conditionalFormatting>
  <conditionalFormatting sqref="G15:S15">
    <cfRule type="cellIs" dxfId="1" priority="2" operator="equal">
      <formula>0</formula>
    </cfRule>
  </conditionalFormatting>
  <conditionalFormatting sqref="G41:S41">
    <cfRule type="cellIs" dxfId="0" priority="1" operator="equal">
      <formula>0</formula>
    </cfRule>
  </conditionalFormatting>
  <dataValidations count="1">
    <dataValidation type="list" allowBlank="1" showInputMessage="1" showErrorMessage="1" sqref="S2 U2" xr:uid="{00000000-0002-0000-0F00-000000000000}">
      <formula1>"元,万元"</formula1>
    </dataValidation>
  </dataValidations>
  <hyperlinks>
    <hyperlink ref="G42" location="'6.1客房'!F1" display="ROOMS    客房" xr:uid="{00000000-0004-0000-0F00-000000000000}"/>
    <hyperlink ref="G102" location="物业保养!A1" display="POM 物业运营及保养" xr:uid="{00000000-0004-0000-0F00-000001000000}"/>
    <hyperlink ref="G97" location="营销!A1" display="Sales &amp; Marketing 营销" xr:uid="{00000000-0004-0000-0F00-000002000000}"/>
    <hyperlink ref="G90" location="行政!A1" display="A&amp;G 行政部" xr:uid="{00000000-0004-0000-0F00-000003000000}"/>
    <hyperlink ref="G101" location="工程!A1" display="Utility 能源费用" xr:uid="{00000000-0004-0000-0F00-000004000000}"/>
    <hyperlink ref="G51" location="餐饮!A1" display="FOOD &amp; BEVERAGE 餐饮" xr:uid="{00000000-0004-0000-0F00-000005000000}"/>
    <hyperlink ref="T3" location="'汇总-累计'!A1" display="返回" xr:uid="{00000000-0004-0000-0F00-000006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汇总-1月</vt:lpstr>
      <vt:lpstr>汇总-累计</vt:lpstr>
      <vt:lpstr>资管部</vt:lpstr>
      <vt:lpstr>汇总明细-1月</vt:lpstr>
      <vt:lpstr>汇总明细-累计</vt:lpstr>
      <vt:lpstr>当月-能耗</vt:lpstr>
      <vt:lpstr>累计-能耗</vt:lpstr>
      <vt:lpstr>当月排名取数</vt:lpstr>
      <vt:lpstr>累计排名取数</vt:lpstr>
      <vt:lpstr>新事业部</vt:lpstr>
      <vt:lpstr>汇总</vt:lpstr>
      <vt:lpstr>于洪</vt:lpstr>
      <vt:lpstr>滁州</vt:lpstr>
      <vt:lpstr>武汉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zxq</dc:creator>
  <cp:lastModifiedBy>xiaoqing zhao</cp:lastModifiedBy>
  <dcterms:created xsi:type="dcterms:W3CDTF">2015-06-05T18:19:00Z</dcterms:created>
  <dcterms:modified xsi:type="dcterms:W3CDTF">2026-03-05T03:09:57Z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F4DDE1FBB70E4F34AA59871D496B79BF_12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